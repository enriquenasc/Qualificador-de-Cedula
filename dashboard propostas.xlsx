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<sst xmlns="http://schemas.openxmlformats.org/spreadsheetml/2006/main" count="99" uniqueCount="48">
  <si>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</si>
  <si>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</si>
  <si>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</si>
  <si>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</si>
  <si>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</si>
  <si>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Ficaram em ajustes no dia</t>
  </si>
  <si>
    <t xml:space="preserve">Concluídas após ajustes
(exclui as do próprio dia)</t>
  </si>
  <si>
    <t xml:space="preserve">Concluídas no dia
(exclui pós-ajuste)</t>
  </si>
  <si>
    <t xml:space="preserve">Histórico (últimos 30 dias até a data selecionada)</t>
  </si>
  <si>
    <t xml:space="preserve">Data</t>
  </si>
  <si>
    <t xml:space="preserve">Propostas novas</t>
  </si>
  <si>
    <t xml:space="preserve">Em ajustes</t>
  </si>
  <si>
    <t xml:space="preserve">Concl. após ajustes</t>
  </si>
  <si>
    <t xml:space="preserve">Concl. no dia</t>
  </si>
  <si>
    <t xml:space="preserve">Notas: 'Concluídas após ajustes' conta apenas propostas que estavam em ajustes em um dia ANTERIOR ao da conclusão (fase Formalização + status Concluído). Uma proposta que entrou em ajustes e foi concluída no mesmo dia não entra nesse número, e sim em 'Concluídas no dia' (que exclui as que vieram de ajuste de outro dia, para não contar 2x). Se a mesma proposta tiver mais de um registro no mesmo dia, só a última movimentação do dia é contabilizada.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</si>
  <si>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</si>
  <si>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</si>
  <si>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</si>
  <si>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</si>
  <si>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</si>
  <si>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</si>
  <si>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</si>
  <si>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</si>
  <si>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</si>
  <si>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</si>
  <si>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</si>
  <si>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ULTIMA_DO_DIA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</si>
  <si>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</si>
  <si>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</si>
  <si>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</si>
  <si>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</si>
  <si>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</si>
  <si>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</si>
  <si>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Formalização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</si>
  <si>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</si>
  <si>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</si>
  <si>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</si>
  <si>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</si>
  <si>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</si>
  <si>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</si>
  <si>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</si>
  <si>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1004</t>
  </si>
  <si>
    <t xml:space="preserve">Paulo Reis</t>
  </si>
  <si>
    <t xml:space="preserve">0789</t>
  </si>
  <si>
    <t xml:space="preserve">1005</t>
  </si>
  <si>
    <t xml:space="preserve">Rita Alves</t>
  </si>
  <si>
    <t xml:space="preserve">Cole/insira novas linhas sempre ACIMA desta marca, dentro do intervalo com fórmulas (linhas 2 a 5001).</t>
  </si>
  <si>
    <t xml:space="preserve">Ficaram em ajustes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</si>
</sst>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dd/mm/yyyy\ hh:mm"/>
    <numFmt numFmtId="168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ajustes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95596042"/>
        <c:axId val="57192727"/>
      </c:barChart>
      <c:catAx>
        <c:axId val="955960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92727"/>
        <c:crosses val="autoZero"/>
        <c:auto val="1"/>
        <c:lblAlgn val="ctr"/>
        <c:lblOffset val="100"/>
        <c:noMultiLvlLbl val="0"/>
      </c:catAx>
      <c:valAx>
        <c:axId val="57192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960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74714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3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3</v>
      </c>
      <c r="C8" s="6" t="n">
        <f aca="false">IFERROR(INDEX('Resumo Diário'!C:C,MATCH($C$5,'Resumo Diário'!A:A,0)),0)</f>
        <v>2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7" t="s">
        <v>9</v>
      </c>
      <c r="C12" s="7" t="s">
        <v>10</v>
      </c>
      <c r="D12" s="7" t="s">
        <v>11</v>
      </c>
      <c r="E12" s="7" t="s">
        <v>12</v>
      </c>
      <c r="F12" s="7" t="s">
        <v>13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3</v>
      </c>
      <c r="D13" s="9" t="n">
        <f aca="false">IFERROR(INDEX('Resumo Diário'!C:C,MATCH($B13,'Resumo Diário'!$A:$A,0)),"")</f>
        <v>2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0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0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0</v>
      </c>
      <c r="D15" s="9" t="n">
        <f aca="false">IFERROR(INDEX('Resumo Diário'!C:C,MATCH($B15,'Resumo Diário'!$A:$A,0)),"")</f>
        <v>0</v>
      </c>
      <c r="E15" s="9" t="n">
        <f aca="false">IFERROR(INDEX('Resumo Diário'!D:D,MATCH($B15,'Resumo Diário'!$A:$A,0)),"")</f>
        <v>1</v>
      </c>
      <c r="F15" s="9" t="n">
        <f aca="false">IFERROR(INDEX('Resumo Diário'!E:E,MATCH($B15,'Resumo Diário'!$A:$A,0)),"")</f>
        <v>0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1</v>
      </c>
      <c r="D16" s="9" t="n">
        <f aca="false">IFERROR(INDEX('Resumo Diário'!C:C,MATCH($B16,'Resumo Diário'!$A:$A,0)),"")</f>
        <v>1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0</v>
      </c>
      <c r="D17" s="9" t="n">
        <f aca="false">IFERROR(INDEX('Resumo Diário'!C:C,MATCH($B17,'Resumo Diário'!$A:$A,0)),"")</f>
        <v>0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0</v>
      </c>
      <c r="D18" s="9" t="n">
        <f aca="false">IFERROR(INDEX('Resumo Diário'!C:C,MATCH($B18,'Resumo Diário'!$A:$A,0)),"")</f>
        <v>0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0</v>
      </c>
      <c r="D19" s="9" t="n">
        <f aca="false">IFERROR(INDEX('Resumo Diário'!C:C,MATCH($B19,'Resumo Diário'!$A:$A,0)),"")</f>
        <v>0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1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1</v>
      </c>
      <c r="D21" s="9" t="n">
        <f aca="false">IFERROR(INDEX('Resumo Diário'!C:C,MATCH($B21,'Resumo Diário'!$A:$A,0)),"")</f>
        <v>0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</row>
    <row r="45" customFormat="false" ht="15" hidden="false" customHeight="true" outlineLevel="0" collapsed="false">
      <c r="B45" s="10" t="s">
        <v>14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25</v>
      </c>
      <c r="L1" s="11" t="s">
        <v>26</v>
      </c>
    </row>
    <row r="2" customFormat="false" ht="15" hidden="false" customHeight="false" outlineLevel="0" collapsed="false">
      <c r="A2" s="12" t="n">
        <v>46248.3333333333</v>
      </c>
      <c r="B2" s="13" t="s">
        <v>27</v>
      </c>
      <c r="C2" s="13" t="s">
        <v>28</v>
      </c>
      <c r="D2" s="13" t="s">
        <v>29</v>
      </c>
      <c r="E2" s="13" t="s">
        <v>30</v>
      </c>
      <c r="F2" s="13" t="s">
        <v>31</v>
      </c>
      <c r="G2" s="13" t="s">
        <v>32</v>
      </c>
      <c r="H2" s="14" t="n">
        <v>50000</v>
      </c>
      <c r="I2" s="15" t="n">
        <f aca="false">IF(A2="","",INT(A2))</f>
        <v>46248</v>
      </c>
      <c r="J2" s="16" t="n">
        <f aca="false">IF(B2="","",IF(A2=_xlfn.MINIFS($A$2:$A$5001,$B$2:$B$5001,B2),1,0))</f>
        <v>1</v>
      </c>
      <c r="K2" s="16" t="n">
        <f aca="false">IF(B2="","",IF(AND(D2="Formalização",E2="Concluído"),IF(COUNTIFS($B$2:$B$5001,B2,$E$2:$E$5001,"Em ajustes",$A$2:$A$5001,"&lt;"&amp;I2)&gt;0,1,0),0))</f>
        <v>0</v>
      </c>
      <c r="L2" s="16" t="n">
        <f aca="false">IF(B2="","",IF(A2=_xlfn.MAXIFS($A$2:$A$5001,$B$2:$B$5001,B2,$I$2:$I$5001,I2),1,0))</f>
        <v>0</v>
      </c>
    </row>
    <row r="3" customFormat="false" ht="15" hidden="false" customHeight="false" outlineLevel="0" collapsed="false">
      <c r="A3" s="12" t="n">
        <v>46248.375</v>
      </c>
      <c r="B3" s="13" t="s">
        <v>27</v>
      </c>
      <c r="C3" s="13" t="s">
        <v>28</v>
      </c>
      <c r="D3" s="13" t="s">
        <v>29</v>
      </c>
      <c r="E3" s="13" t="s">
        <v>11</v>
      </c>
      <c r="F3" s="13" t="s">
        <v>31</v>
      </c>
      <c r="G3" s="13" t="s">
        <v>32</v>
      </c>
      <c r="H3" s="14" t="n">
        <v>50000</v>
      </c>
      <c r="I3" s="15" t="n">
        <f aca="false">IF(A3="","",INT(A3))</f>
        <v>46248</v>
      </c>
      <c r="J3" s="16" t="n">
        <f aca="false">IF(B3="","",IF(A3=_xlfn.MINIFS($A$2:$A$5001,$B$2:$B$5001,B3),1,0))</f>
        <v>0</v>
      </c>
      <c r="K3" s="16" t="n">
        <f aca="false">IF(B3="","",IF(AND(D3="Formalização",E3="Concluído"),IF(COUNTIFS($B$2:$B$5001,B3,$E$2:$E$5001,"Em ajustes",$A$2:$A$5001,"&lt;"&amp;I3)&gt;0,1,0),0))</f>
        <v>0</v>
      </c>
      <c r="L3" s="16" t="n">
        <f aca="false">IF(B3="","",IF(A3=_xlfn.MAXIFS($A$2:$A$5001,$B$2:$B$5001,B3,$I$2:$I$5001,I3),1,0))</f>
        <v>1</v>
      </c>
    </row>
    <row r="4" customFormat="false" ht="15" hidden="false" customHeight="false" outlineLevel="0" collapsed="false">
      <c r="A4" s="12" t="n">
        <v>46250.375</v>
      </c>
      <c r="B4" s="13" t="s">
        <v>27</v>
      </c>
      <c r="C4" s="13" t="s">
        <v>28</v>
      </c>
      <c r="D4" s="13" t="s">
        <v>33</v>
      </c>
      <c r="E4" s="13" t="s">
        <v>34</v>
      </c>
      <c r="F4" s="13" t="s">
        <v>31</v>
      </c>
      <c r="G4" s="13" t="s">
        <v>32</v>
      </c>
      <c r="H4" s="14" t="n">
        <v>50000</v>
      </c>
      <c r="I4" s="15" t="n">
        <f aca="false">IF(A4="","",INT(A4))</f>
        <v>46250</v>
      </c>
      <c r="J4" s="16" t="n">
        <f aca="false">IF(B4="","",IF(A4=_xlfn.MINIFS($A$2:$A$5001,$B$2:$B$5001,B4),1,0))</f>
        <v>0</v>
      </c>
      <c r="K4" s="16" t="n">
        <f aca="false">IF(B4="","",IF(AND(D4="Formalização",E4="Concluído"),IF(COUNTIFS($B$2:$B$5001,B4,$E$2:$E$5001,"Em ajustes",$A$2:$A$5001,"&lt;"&amp;I4)&gt;0,1,0),0))</f>
        <v>1</v>
      </c>
      <c r="L4" s="16" t="n">
        <f aca="false">IF(B4="","",IF(A4=_xlfn.MAXIFS($A$2:$A$5001,$B$2:$B$5001,B4,$I$2:$I$5001,I4),1,0))</f>
        <v>1</v>
      </c>
    </row>
    <row r="5" customFormat="false" ht="15" hidden="false" customHeight="false" outlineLevel="0" collapsed="false">
      <c r="A5" s="12" t="n">
        <v>46251.1666666667</v>
      </c>
      <c r="B5" s="13" t="s">
        <v>35</v>
      </c>
      <c r="C5" s="13" t="s">
        <v>36</v>
      </c>
      <c r="D5" s="13" t="s">
        <v>29</v>
      </c>
      <c r="E5" s="13" t="s">
        <v>30</v>
      </c>
      <c r="F5" s="13" t="s">
        <v>37</v>
      </c>
      <c r="G5" s="13" t="s">
        <v>38</v>
      </c>
      <c r="H5" s="14" t="n">
        <v>32000</v>
      </c>
      <c r="I5" s="15" t="n">
        <f aca="false">IF(A5="","",INT(A5))</f>
        <v>46251</v>
      </c>
      <c r="J5" s="16" t="n">
        <f aca="false">IF(B5="","",IF(A5=_xlfn.MINIFS($A$2:$A$5001,$B$2:$B$5001,B5),1,0))</f>
        <v>1</v>
      </c>
      <c r="K5" s="16" t="n">
        <f aca="false">IF(B5="","",IF(AND(D5="Formalização",E5="Concluído"),IF(COUNTIFS($B$2:$B$5001,B5,$E$2:$E$5001,"Em ajustes",$A$2:$A$5001,"&lt;"&amp;I5)&gt;0,1,0),0))</f>
        <v>0</v>
      </c>
      <c r="L5" s="16" t="n">
        <f aca="false">IF(B5="","",IF(A5=_xlfn.MAXIFS($A$2:$A$5001,$B$2:$B$5001,B5,$I$2:$I$5001,I5),1,0))</f>
        <v>0</v>
      </c>
    </row>
    <row r="6" customFormat="false" ht="15" hidden="false" customHeight="false" outlineLevel="0" collapsed="false">
      <c r="A6" s="12" t="n">
        <v>46251.2916666667</v>
      </c>
      <c r="B6" s="13" t="s">
        <v>35</v>
      </c>
      <c r="C6" s="13" t="s">
        <v>36</v>
      </c>
      <c r="D6" s="13" t="s">
        <v>29</v>
      </c>
      <c r="E6" s="13" t="s">
        <v>11</v>
      </c>
      <c r="F6" s="13" t="s">
        <v>37</v>
      </c>
      <c r="G6" s="13" t="s">
        <v>38</v>
      </c>
      <c r="H6" s="14" t="n">
        <v>32000</v>
      </c>
      <c r="I6" s="15" t="n">
        <f aca="false">IF(A6="","",INT(A6))</f>
        <v>46251</v>
      </c>
      <c r="J6" s="16" t="n">
        <f aca="false">IF(B6="","",IF(A6=_xlfn.MINIFS($A$2:$A$5001,$B$2:$B$5001,B6),1,0))</f>
        <v>0</v>
      </c>
      <c r="K6" s="16" t="n">
        <f aca="false">IF(B6="","",IF(AND(D6="Formalização",E6="Concluído"),IF(COUNTIFS($B$2:$B$5001,B6,$E$2:$E$5001,"Em ajustes",$A$2:$A$5001,"&lt;"&amp;I6)&gt;0,1,0),0))</f>
        <v>0</v>
      </c>
      <c r="L6" s="16" t="n">
        <f aca="false">IF(B6="","",IF(A6=_xlfn.MAXIFS($A$2:$A$5001,$B$2:$B$5001,B6,$I$2:$I$5001,I6),1,0))</f>
        <v>1</v>
      </c>
    </row>
    <row r="7" customFormat="false" ht="15" hidden="false" customHeight="false" outlineLevel="0" collapsed="false">
      <c r="A7" s="12" t="n">
        <v>46251.375</v>
      </c>
      <c r="B7" s="13" t="s">
        <v>39</v>
      </c>
      <c r="C7" s="13" t="s">
        <v>28</v>
      </c>
      <c r="D7" s="13" t="s">
        <v>29</v>
      </c>
      <c r="E7" s="13" t="s">
        <v>30</v>
      </c>
      <c r="F7" s="13" t="s">
        <v>40</v>
      </c>
      <c r="G7" s="13" t="s">
        <v>32</v>
      </c>
      <c r="H7" s="14" t="n">
        <v>41000</v>
      </c>
      <c r="I7" s="15" t="n">
        <f aca="false">IF(A7="","",INT(A7))</f>
        <v>46251</v>
      </c>
      <c r="J7" s="16" t="n">
        <f aca="false">IF(B7="","",IF(A7=_xlfn.MINIFS($A$2:$A$5001,$B$2:$B$5001,B7),1,0))</f>
        <v>1</v>
      </c>
      <c r="K7" s="16" t="n">
        <f aca="false">IF(B7="","",IF(AND(D7="Formalização",E7="Concluído"),IF(COUNTIFS($B$2:$B$5001,B7,$E$2:$E$5001,"Em ajustes",$A$2:$A$5001,"&lt;"&amp;I7)&gt;0,1,0),0))</f>
        <v>0</v>
      </c>
      <c r="L7" s="16" t="n">
        <f aca="false">IF(B7="","",IF(A7=_xlfn.MAXIFS($A$2:$A$5001,$B$2:$B$5001,B7,$I$2:$I$5001,I7),1,0))</f>
        <v>1</v>
      </c>
    </row>
    <row r="8" customFormat="false" ht="15" hidden="false" customHeight="false" outlineLevel="0" collapsed="false">
      <c r="A8" s="12" t="n">
        <v>46243.375</v>
      </c>
      <c r="B8" s="13" t="s">
        <v>41</v>
      </c>
      <c r="C8" s="13" t="s">
        <v>36</v>
      </c>
      <c r="D8" s="13" t="s">
        <v>29</v>
      </c>
      <c r="E8" s="13" t="s">
        <v>30</v>
      </c>
      <c r="F8" s="13" t="s">
        <v>42</v>
      </c>
      <c r="G8" s="13" t="s">
        <v>43</v>
      </c>
      <c r="H8" s="14" t="n">
        <v>27000</v>
      </c>
      <c r="I8" s="15" t="n">
        <f aca="false">IF(A8="","",INT(A8))</f>
        <v>46243</v>
      </c>
      <c r="J8" s="16" t="n">
        <f aca="false">IF(B8="","",IF(A8=_xlfn.MINIFS($A$2:$A$5001,$B$2:$B$5001,B8),1,0))</f>
        <v>1</v>
      </c>
      <c r="K8" s="16" t="n">
        <f aca="false">IF(B8="","",IF(AND(D8="Formalização",E8="Concluído"),IF(COUNTIFS($B$2:$B$5001,B8,$E$2:$E$5001,"Em ajustes",$A$2:$A$5001,"&lt;"&amp;I8)&gt;0,1,0),0))</f>
        <v>0</v>
      </c>
      <c r="L8" s="16" t="n">
        <f aca="false">IF(B8="","",IF(A8=_xlfn.MAXIFS($A$2:$A$5001,$B$2:$B$5001,B8,$I$2:$I$5001,I8),1,0))</f>
        <v>1</v>
      </c>
    </row>
    <row r="9" customFormat="false" ht="15" hidden="false" customHeight="false" outlineLevel="0" collapsed="false">
      <c r="A9" s="12" t="n">
        <v>46244.375</v>
      </c>
      <c r="B9" s="13" t="s">
        <v>41</v>
      </c>
      <c r="C9" s="13" t="s">
        <v>36</v>
      </c>
      <c r="D9" s="13" t="s">
        <v>29</v>
      </c>
      <c r="E9" s="13" t="s">
        <v>11</v>
      </c>
      <c r="F9" s="13" t="s">
        <v>42</v>
      </c>
      <c r="G9" s="13" t="s">
        <v>43</v>
      </c>
      <c r="H9" s="14" t="n">
        <v>27000</v>
      </c>
      <c r="I9" s="15" t="n">
        <f aca="false">IF(A9="","",INT(A9))</f>
        <v>46244</v>
      </c>
      <c r="J9" s="16" t="n">
        <f aca="false">IF(B9="","",IF(A9=_xlfn.MINIFS($A$2:$A$5001,$B$2:$B$5001,B9),1,0))</f>
        <v>0</v>
      </c>
      <c r="K9" s="16" t="n">
        <f aca="false">IF(B9="","",IF(AND(D9="Formalização",E9="Concluído"),IF(COUNTIFS($B$2:$B$5001,B9,$E$2:$E$5001,"Em ajustes",$A$2:$A$5001,"&lt;"&amp;I9)&gt;0,1,0),0))</f>
        <v>0</v>
      </c>
      <c r="L9" s="16" t="n">
        <f aca="false">IF(B9="","",IF(A9=_xlfn.MAXIFS($A$2:$A$5001,$B$2:$B$5001,B9,$I$2:$I$5001,I9),1,0))</f>
        <v>1</v>
      </c>
    </row>
    <row r="10" customFormat="false" ht="15" hidden="false" customHeight="false" outlineLevel="0" collapsed="false">
      <c r="A10" s="12" t="n">
        <v>46249.375</v>
      </c>
      <c r="B10" s="13" t="s">
        <v>41</v>
      </c>
      <c r="C10" s="13" t="s">
        <v>36</v>
      </c>
      <c r="D10" s="13" t="s">
        <v>33</v>
      </c>
      <c r="E10" s="13" t="s">
        <v>34</v>
      </c>
      <c r="F10" s="13" t="s">
        <v>42</v>
      </c>
      <c r="G10" s="13" t="s">
        <v>43</v>
      </c>
      <c r="H10" s="14" t="n">
        <v>27000</v>
      </c>
      <c r="I10" s="15" t="n">
        <f aca="false">IF(A10="","",INT(A10))</f>
        <v>46249</v>
      </c>
      <c r="J10" s="16" t="n">
        <f aca="false">IF(B10="","",IF(A10=_xlfn.MINIFS($A$2:$A$5001,$B$2:$B$5001,B10),1,0))</f>
        <v>0</v>
      </c>
      <c r="K10" s="16" t="n">
        <f aca="false">IF(B10="","",IF(AND(D10="Formalização",E10="Concluído"),IF(COUNTIFS($B$2:$B$5001,B10,$E$2:$E$5001,"Em ajustes",$A$2:$A$5001,"&lt;"&amp;I10)&gt;0,1,0),0))</f>
        <v>1</v>
      </c>
      <c r="L10" s="16" t="n">
        <f aca="false">IF(B10="","",IF(A10=_xlfn.MAXIFS($A$2:$A$5001,$B$2:$B$5001,B10,$I$2:$I$5001,I10),1,0))</f>
        <v>1</v>
      </c>
    </row>
    <row r="11" customFormat="false" ht="15" hidden="false" customHeight="false" outlineLevel="0" collapsed="false">
      <c r="A11" s="12" t="n">
        <v>46251.125</v>
      </c>
      <c r="B11" s="13" t="s">
        <v>44</v>
      </c>
      <c r="C11" s="13" t="s">
        <v>28</v>
      </c>
      <c r="D11" s="13" t="s">
        <v>29</v>
      </c>
      <c r="E11" s="13" t="s">
        <v>11</v>
      </c>
      <c r="F11" s="13" t="s">
        <v>45</v>
      </c>
      <c r="G11" s="13" t="s">
        <v>32</v>
      </c>
      <c r="H11" s="14" t="n">
        <v>18000</v>
      </c>
      <c r="I11" s="15" t="n">
        <f aca="false">IF(A11="","",INT(A11))</f>
        <v>46251</v>
      </c>
      <c r="J11" s="16" t="n">
        <f aca="false">IF(B11="","",IF(A11=_xlfn.MINIFS($A$2:$A$5001,$B$2:$B$5001,B11),1,0))</f>
        <v>1</v>
      </c>
      <c r="K11" s="16" t="n">
        <f aca="false">IF(B11="","",IF(AND(D11="Formalização",E11="Concluído"),IF(COUNTIFS($B$2:$B$5001,B11,$E$2:$E$5001,"Em ajustes",$A$2:$A$5001,"&lt;"&amp;I11)&gt;0,1,0),0))</f>
        <v>0</v>
      </c>
      <c r="L11" s="16" t="n">
        <f aca="false">IF(B11="","",IF(A11=_xlfn.MAXIFS($A$2:$A$5001,$B$2:$B$5001,B11,$I$2:$I$5001,I11),1,0))</f>
        <v>0</v>
      </c>
    </row>
    <row r="12" customFormat="false" ht="15" hidden="false" customHeight="false" outlineLevel="0" collapsed="false">
      <c r="A12" s="12" t="n">
        <v>46251.25</v>
      </c>
      <c r="B12" s="13" t="s">
        <v>44</v>
      </c>
      <c r="C12" s="13" t="s">
        <v>28</v>
      </c>
      <c r="D12" s="13" t="s">
        <v>29</v>
      </c>
      <c r="E12" s="13" t="s">
        <v>11</v>
      </c>
      <c r="F12" s="13" t="s">
        <v>45</v>
      </c>
      <c r="G12" s="13" t="s">
        <v>32</v>
      </c>
      <c r="H12" s="14" t="n">
        <v>18000</v>
      </c>
      <c r="I12" s="15" t="n">
        <f aca="false">IF(A12="","",INT(A12))</f>
        <v>46251</v>
      </c>
      <c r="J12" s="16" t="n">
        <f aca="false">IF(B12="","",IF(A12=_xlfn.MINIFS($A$2:$A$5001,$B$2:$B$5001,B12),1,0))</f>
        <v>0</v>
      </c>
      <c r="K12" s="16" t="n">
        <f aca="false">IF(B12="","",IF(AND(D12="Formalização",E12="Concluído"),IF(COUNTIFS($B$2:$B$5001,B12,$E$2:$E$5001,"Em ajustes",$A$2:$A$5001,"&lt;"&amp;I12)&gt;0,1,0),0))</f>
        <v>0</v>
      </c>
      <c r="L12" s="16" t="n">
        <f aca="false">IF(B12="","",IF(A12=_xlfn.MAXIFS($A$2:$A$5001,$B$2:$B$5001,B12,$I$2:$I$5001,I12),1,0))</f>
        <v>1</v>
      </c>
    </row>
    <row r="13" customFormat="false" ht="15" hidden="false" customHeight="false" outlineLevel="0" collapsed="false">
      <c r="I13" s="15" t="str">
        <f aca="false">IF(A13="","",INT(A13))</f>
        <v/>
      </c>
      <c r="J13" s="16" t="str">
        <f aca="false">IF(B13="","",IF(A13=_xlfn.MINIFS($A$2:$A$5001,$B$2:$B$5001,B13),1,0))</f>
        <v/>
      </c>
      <c r="K13" s="16" t="str">
        <f aca="false">IF(B13="","",IF(AND(D13="Formalização",E13="Concluído"),IF(COUNTIFS($B$2:$B$5001,B13,$E$2:$E$5001,"Em ajustes",$A$2:$A$5001,"&lt;"&amp;I13)&gt;0,1,0),0))</f>
        <v/>
      </c>
      <c r="L13" s="16" t="str">
        <f aca="false">IF(B13="","",IF(A13=_xlfn.MAXIFS($A$2:$A$5001,$B$2:$B$5001,B13,$I$2:$I$5001,I13),1,0))</f>
        <v/>
      </c>
    </row>
    <row r="14" customFormat="false" ht="15" hidden="false" customHeight="false" outlineLevel="0" collapsed="false">
      <c r="I14" s="15" t="str">
        <f aca="false">IF(A14="","",INT(A14))</f>
        <v/>
      </c>
      <c r="J14" s="16" t="str">
        <f aca="false">IF(B14="","",IF(A14=_xlfn.MINIFS($A$2:$A$5001,$B$2:$B$5001,B14),1,0))</f>
        <v/>
      </c>
      <c r="K14" s="16" t="str">
        <f aca="false">IF(B14="","",IF(AND(D14="Formalização",E14="Concluído"),IF(COUNTIFS($B$2:$B$5001,B14,$E$2:$E$5001,"Em ajustes",$A$2:$A$5001,"&lt;"&amp;I14)&gt;0,1,0),0))</f>
        <v/>
      </c>
      <c r="L14" s="16" t="str">
        <f aca="false">IF(B14="","",IF(A14=_xlfn.MAXIFS($A$2:$A$5001,$B$2:$B$5001,B14,$I$2:$I$5001,I14),1,0))</f>
        <v/>
      </c>
    </row>
    <row r="15" customFormat="false" ht="15" hidden="false" customHeight="false" outlineLevel="0" collapsed="false">
      <c r="I15" s="15" t="str">
        <f aca="false">IF(A15="","",INT(A15))</f>
        <v/>
      </c>
      <c r="J15" s="16" t="str">
        <f aca="false">IF(B15="","",IF(A15=_xlfn.MINIFS($A$2:$A$5001,$B$2:$B$5001,B15),1,0))</f>
        <v/>
      </c>
      <c r="K15" s="16" t="str">
        <f aca="false">IF(B15="","",IF(AND(D15="Formalização",E15="Concluído"),IF(COUNTIFS($B$2:$B$5001,B15,$E$2:$E$5001,"Em ajustes",$A$2:$A$5001,"&lt;"&amp;I15)&gt;0,1,0),0))</f>
        <v/>
      </c>
      <c r="L15" s="16" t="str">
        <f aca="false">IF(B15="","",IF(A15=_xlfn.MAXIFS($A$2:$A$5001,$B$2:$B$5001,B15,$I$2:$I$5001,I15),1,0))</f>
        <v/>
      </c>
    </row>
    <row r="16" customFormat="false" ht="15" hidden="false" customHeight="false" outlineLevel="0" collapsed="false">
      <c r="I16" s="15" t="str">
        <f aca="false">IF(A16="","",INT(A16))</f>
        <v/>
      </c>
      <c r="J16" s="16" t="str">
        <f aca="false">IF(B16="","",IF(A16=_xlfn.MINIFS($A$2:$A$5001,$B$2:$B$5001,B16),1,0))</f>
        <v/>
      </c>
      <c r="K16" s="16" t="str">
        <f aca="false">IF(B16="","",IF(AND(D16="Formalização",E16="Concluído"),IF(COUNTIFS($B$2:$B$5001,B16,$E$2:$E$5001,"Em ajustes",$A$2:$A$5001,"&lt;"&amp;I16)&gt;0,1,0),0))</f>
        <v/>
      </c>
      <c r="L16" s="16" t="str">
        <f aca="false">IF(B16="","",IF(A16=_xlfn.MAXIFS($A$2:$A$5001,$B$2:$B$5001,B16,$I$2:$I$5001,I16),1,0))</f>
        <v/>
      </c>
    </row>
    <row r="17" customFormat="false" ht="15" hidden="false" customHeight="false" outlineLevel="0" collapsed="false">
      <c r="I17" s="15" t="str">
        <f aca="false">IF(A17="","",INT(A17))</f>
        <v/>
      </c>
      <c r="J17" s="16" t="str">
        <f aca="false">IF(B17="","",IF(A17=_xlfn.MINIFS($A$2:$A$5001,$B$2:$B$5001,B17),1,0))</f>
        <v/>
      </c>
      <c r="K17" s="16" t="str">
        <f aca="false">IF(B17="","",IF(AND(D17="Formalização",E17="Concluído"),IF(COUNTIFS($B$2:$B$5001,B17,$E$2:$E$5001,"Em ajustes",$A$2:$A$5001,"&lt;"&amp;I17)&gt;0,1,0),0))</f>
        <v/>
      </c>
      <c r="L17" s="16" t="str">
        <f aca="false">IF(B17="","",IF(A17=_xlfn.MAXIFS($A$2:$A$5001,$B$2:$B$5001,B17,$I$2:$I$5001,I17),1,0))</f>
        <v/>
      </c>
    </row>
    <row r="18" customFormat="false" ht="15" hidden="false" customHeight="false" outlineLevel="0" collapsed="false">
      <c r="I18" s="15" t="str">
        <f aca="false">IF(A18="","",INT(A18))</f>
        <v/>
      </c>
      <c r="J18" s="16" t="str">
        <f aca="false">IF(B18="","",IF(A18=_xlfn.MINIFS($A$2:$A$5001,$B$2:$B$5001,B18),1,0))</f>
        <v/>
      </c>
      <c r="K18" s="16" t="str">
        <f aca="false">IF(B18="","",IF(AND(D18="Formalização",E18="Concluído"),IF(COUNTIFS($B$2:$B$5001,B18,$E$2:$E$5001,"Em ajustes",$A$2:$A$5001,"&lt;"&amp;I18)&gt;0,1,0),0))</f>
        <v/>
      </c>
      <c r="L18" s="16" t="str">
        <f aca="false">IF(B18="","",IF(A18=_xlfn.MAXIFS($A$2:$A$5001,$B$2:$B$5001,B18,$I$2:$I$5001,I18),1,0))</f>
        <v/>
      </c>
    </row>
    <row r="19" customFormat="false" ht="15" hidden="false" customHeight="false" outlineLevel="0" collapsed="false">
      <c r="I19" s="15" t="str">
        <f aca="false">IF(A19="","",INT(A19))</f>
        <v/>
      </c>
      <c r="J19" s="16" t="str">
        <f aca="false">IF(B19="","",IF(A19=_xlfn.MINIFS($A$2:$A$5001,$B$2:$B$5001,B19),1,0))</f>
        <v/>
      </c>
      <c r="K19" s="16" t="str">
        <f aca="false">IF(B19="","",IF(AND(D19="Formalização",E19="Concluído"),IF(COUNTIFS($B$2:$B$5001,B19,$E$2:$E$5001,"Em ajustes",$A$2:$A$5001,"&lt;"&amp;I19)&gt;0,1,0),0))</f>
        <v/>
      </c>
      <c r="L19" s="16" t="str">
        <f aca="false">IF(B19="","",IF(A19=_xlfn.MAXIFS($A$2:$A$5001,$B$2:$B$5001,B19,$I$2:$I$5001,I19),1,0))</f>
        <v/>
      </c>
    </row>
    <row r="20" customFormat="false" ht="15" hidden="false" customHeight="false" outlineLevel="0" collapsed="false">
      <c r="I20" s="15" t="str">
        <f aca="false">IF(A20="","",INT(A20))</f>
        <v/>
      </c>
      <c r="J20" s="16" t="str">
        <f aca="false">IF(B20="","",IF(A20=_xlfn.MINIFS($A$2:$A$5001,$B$2:$B$5001,B20),1,0))</f>
        <v/>
      </c>
      <c r="K20" s="16" t="str">
        <f aca="false">IF(B20="","",IF(AND(D20="Formalização",E20="Concluído"),IF(COUNTIFS($B$2:$B$5001,B20,$E$2:$E$5001,"Em ajustes",$A$2:$A$5001,"&lt;"&amp;I20)&gt;0,1,0),0))</f>
        <v/>
      </c>
      <c r="L20" s="16" t="str">
        <f aca="false">IF(B20="","",IF(A20=_xlfn.MAXIFS($A$2:$A$5001,$B$2:$B$5001,B20,$I$2:$I$5001,I20),1,0))</f>
        <v/>
      </c>
    </row>
    <row r="21" customFormat="false" ht="15" hidden="false" customHeight="false" outlineLevel="0" collapsed="false">
      <c r="I21" s="15" t="str">
        <f aca="false">IF(A21="","",INT(A21))</f>
        <v/>
      </c>
      <c r="J21" s="16" t="str">
        <f aca="false">IF(B21="","",IF(A21=_xlfn.MINIFS($A$2:$A$5001,$B$2:$B$5001,B21),1,0))</f>
        <v/>
      </c>
      <c r="K21" s="16" t="str">
        <f aca="false">IF(B21="","",IF(AND(D21="Formalização",E21="Concluído"),IF(COUNTIFS($B$2:$B$5001,B21,$E$2:$E$5001,"Em ajustes",$A$2:$A$5001,"&lt;"&amp;I21)&gt;0,1,0),0))</f>
        <v/>
      </c>
      <c r="L21" s="16" t="str">
        <f aca="false">IF(B21="","",IF(A21=_xlfn.MAXIFS($A$2:$A$5001,$B$2:$B$5001,B21,$I$2:$I$5001,I21),1,0))</f>
        <v/>
      </c>
    </row>
    <row r="22" customFormat="false" ht="15" hidden="false" customHeight="false" outlineLevel="0" collapsed="false">
      <c r="I22" s="15" t="str">
        <f aca="false">IF(A22="","",INT(A22))</f>
        <v/>
      </c>
      <c r="J22" s="16" t="str">
        <f aca="false">IF(B22="","",IF(A22=_xlfn.MINIFS($A$2:$A$5001,$B$2:$B$5001,B22),1,0))</f>
        <v/>
      </c>
      <c r="K22" s="16" t="str">
        <f aca="false">IF(B22="","",IF(AND(D22="Formalização",E22="Concluído"),IF(COUNTIFS($B$2:$B$5001,B22,$E$2:$E$5001,"Em ajustes",$A$2:$A$5001,"&lt;"&amp;I22)&gt;0,1,0),0))</f>
        <v/>
      </c>
      <c r="L22" s="16" t="str">
        <f aca="false">IF(B22="","",IF(A22=_xlfn.MAXIFS($A$2:$A$5001,$B$2:$B$5001,B22,$I$2:$I$5001,I22),1,0))</f>
        <v/>
      </c>
    </row>
    <row r="23" customFormat="false" ht="15" hidden="false" customHeight="false" outlineLevel="0" collapsed="false">
      <c r="I23" s="15" t="str">
        <f aca="false">IF(A23="","",INT(A23))</f>
        <v/>
      </c>
      <c r="J23" s="16" t="str">
        <f aca="false">IF(B23="","",IF(A23=_xlfn.MINIFS($A$2:$A$5001,$B$2:$B$5001,B23),1,0))</f>
        <v/>
      </c>
      <c r="K23" s="16" t="str">
        <f aca="false">IF(B23="","",IF(AND(D23="Formalização",E23="Concluído"),IF(COUNTIFS($B$2:$B$5001,B23,$E$2:$E$5001,"Em ajustes",$A$2:$A$5001,"&lt;"&amp;I23)&gt;0,1,0),0))</f>
        <v/>
      </c>
      <c r="L23" s="16" t="str">
        <f aca="false">IF(B23="","",IF(A23=_xlfn.MAXIFS($A$2:$A$5001,$B$2:$B$5001,B23,$I$2:$I$5001,I23),1,0))</f>
        <v/>
      </c>
    </row>
    <row r="24" customFormat="false" ht="15" hidden="false" customHeight="false" outlineLevel="0" collapsed="false">
      <c r="I24" s="15" t="str">
        <f aca="false">IF(A24="","",INT(A24))</f>
        <v/>
      </c>
      <c r="J24" s="16" t="str">
        <f aca="false">IF(B24="","",IF(A24=_xlfn.MINIFS($A$2:$A$5001,$B$2:$B$5001,B24),1,0))</f>
        <v/>
      </c>
      <c r="K24" s="16" t="str">
        <f aca="false">IF(B24="","",IF(AND(D24="Formalização",E24="Concluído"),IF(COUNTIFS($B$2:$B$5001,B24,$E$2:$E$5001,"Em ajustes",$A$2:$A$5001,"&lt;"&amp;I24)&gt;0,1,0),0))</f>
        <v/>
      </c>
      <c r="L24" s="16" t="str">
        <f aca="false">IF(B24="","",IF(A24=_xlfn.MAXIFS($A$2:$A$5001,$B$2:$B$5001,B24,$I$2:$I$5001,I24),1,0))</f>
        <v/>
      </c>
    </row>
    <row r="25" customFormat="false" ht="15" hidden="false" customHeight="false" outlineLevel="0" collapsed="false">
      <c r="I25" s="15" t="str">
        <f aca="false">IF(A25="","",INT(A25))</f>
        <v/>
      </c>
      <c r="J25" s="16" t="str">
        <f aca="false">IF(B25="","",IF(A25=_xlfn.MINIFS($A$2:$A$5001,$B$2:$B$5001,B25),1,0))</f>
        <v/>
      </c>
      <c r="K25" s="16" t="str">
        <f aca="false">IF(B25="","",IF(AND(D25="Formalização",E25="Concluído"),IF(COUNTIFS($B$2:$B$5001,B25,$E$2:$E$5001,"Em ajustes",$A$2:$A$5001,"&lt;"&amp;I25)&gt;0,1,0),0))</f>
        <v/>
      </c>
      <c r="L25" s="16" t="str">
        <f aca="false">IF(B25="","",IF(A25=_xlfn.MAXIFS($A$2:$A$5001,$B$2:$B$5001,B25,$I$2:$I$5001,I25),1,0))</f>
        <v/>
      </c>
    </row>
    <row r="26" customFormat="false" ht="15" hidden="false" customHeight="false" outlineLevel="0" collapsed="false">
      <c r="I26" s="15" t="str">
        <f aca="false">IF(A26="","",INT(A26))</f>
        <v/>
      </c>
      <c r="J26" s="16" t="str">
        <f aca="false">IF(B26="","",IF(A26=_xlfn.MINIFS($A$2:$A$5001,$B$2:$B$5001,B26),1,0))</f>
        <v/>
      </c>
      <c r="K26" s="16" t="str">
        <f aca="false">IF(B26="","",IF(AND(D26="Formalização",E26="Concluído"),IF(COUNTIFS($B$2:$B$5001,B26,$E$2:$E$5001,"Em ajustes",$A$2:$A$5001,"&lt;"&amp;I26)&gt;0,1,0),0))</f>
        <v/>
      </c>
      <c r="L26" s="16" t="str">
        <f aca="false">IF(B26="","",IF(A26=_xlfn.MAXIFS($A$2:$A$5001,$B$2:$B$5001,B26,$I$2:$I$5001,I26),1,0))</f>
        <v/>
      </c>
    </row>
    <row r="27" customFormat="false" ht="15" hidden="false" customHeight="false" outlineLevel="0" collapsed="false">
      <c r="I27" s="15" t="str">
        <f aca="false">IF(A27="","",INT(A27))</f>
        <v/>
      </c>
      <c r="J27" s="16" t="str">
        <f aca="false">IF(B27="","",IF(A27=_xlfn.MINIFS($A$2:$A$5001,$B$2:$B$5001,B27),1,0))</f>
        <v/>
      </c>
      <c r="K27" s="16" t="str">
        <f aca="false">IF(B27="","",IF(AND(D27="Formalização",E27="Concluído"),IF(COUNTIFS($B$2:$B$5001,B27,$E$2:$E$5001,"Em ajustes",$A$2:$A$5001,"&lt;"&amp;I27)&gt;0,1,0),0))</f>
        <v/>
      </c>
      <c r="L27" s="16" t="str">
        <f aca="false">IF(B27="","",IF(A27=_xlfn.MAXIFS($A$2:$A$5001,$B$2:$B$5001,B27,$I$2:$I$5001,I27),1,0))</f>
        <v/>
      </c>
    </row>
    <row r="28" customFormat="false" ht="15" hidden="false" customHeight="false" outlineLevel="0" collapsed="false">
      <c r="I28" s="15" t="str">
        <f aca="false">IF(A28="","",INT(A28))</f>
        <v/>
      </c>
      <c r="J28" s="16" t="str">
        <f aca="false">IF(B28="","",IF(A28=_xlfn.MINIFS($A$2:$A$5001,$B$2:$B$5001,B28),1,0))</f>
        <v/>
      </c>
      <c r="K28" s="16" t="str">
        <f aca="false">IF(B28="","",IF(AND(D28="Formalização",E28="Concluído"),IF(COUNTIFS($B$2:$B$5001,B28,$E$2:$E$5001,"Em ajustes",$A$2:$A$5001,"&lt;"&amp;I28)&gt;0,1,0),0))</f>
        <v/>
      </c>
      <c r="L28" s="16" t="str">
        <f aca="false">IF(B28="","",IF(A28=_xlfn.MAXIFS($A$2:$A$5001,$B$2:$B$5001,B28,$I$2:$I$5001,I28),1,0))</f>
        <v/>
      </c>
    </row>
    <row r="29" customFormat="false" ht="15" hidden="false" customHeight="false" outlineLevel="0" collapsed="false">
      <c r="I29" s="15" t="str">
        <f aca="false">IF(A29="","",INT(A29))</f>
        <v/>
      </c>
      <c r="J29" s="16" t="str">
        <f aca="false">IF(B29="","",IF(A29=_xlfn.MINIFS($A$2:$A$5001,$B$2:$B$5001,B29),1,0))</f>
        <v/>
      </c>
      <c r="K29" s="16" t="str">
        <f aca="false">IF(B29="","",IF(AND(D29="Formalização",E29="Concluído"),IF(COUNTIFS($B$2:$B$5001,B29,$E$2:$E$5001,"Em ajustes",$A$2:$A$5001,"&lt;"&amp;I29)&gt;0,1,0),0))</f>
        <v/>
      </c>
      <c r="L29" s="16" t="str">
        <f aca="false">IF(B29="","",IF(A29=_xlfn.MAXIFS($A$2:$A$5001,$B$2:$B$5001,B29,$I$2:$I$5001,I29),1,0))</f>
        <v/>
      </c>
    </row>
    <row r="30" customFormat="false" ht="15" hidden="false" customHeight="false" outlineLevel="0" collapsed="false">
      <c r="I30" s="15" t="str">
        <f aca="false">IF(A30="","",INT(A30))</f>
        <v/>
      </c>
      <c r="J30" s="16" t="str">
        <f aca="false">IF(B30="","",IF(A30=_xlfn.MINIFS($A$2:$A$5001,$B$2:$B$5001,B30),1,0))</f>
        <v/>
      </c>
      <c r="K30" s="16" t="str">
        <f aca="false">IF(B30="","",IF(AND(D30="Formalização",E30="Concluído"),IF(COUNTIFS($B$2:$B$5001,B30,$E$2:$E$5001,"Em ajustes",$A$2:$A$5001,"&lt;"&amp;I30)&gt;0,1,0),0))</f>
        <v/>
      </c>
      <c r="L30" s="16" t="str">
        <f aca="false">IF(B30="","",IF(A30=_xlfn.MAXIFS($A$2:$A$5001,$B$2:$B$5001,B30,$I$2:$I$5001,I30),1,0))</f>
        <v/>
      </c>
    </row>
    <row r="31" customFormat="false" ht="15" hidden="false" customHeight="false" outlineLevel="0" collapsed="false">
      <c r="I31" s="15" t="str">
        <f aca="false">IF(A31="","",INT(A31))</f>
        <v/>
      </c>
      <c r="J31" s="16" t="str">
        <f aca="false">IF(B31="","",IF(A31=_xlfn.MINIFS($A$2:$A$5001,$B$2:$B$5001,B31),1,0))</f>
        <v/>
      </c>
      <c r="K31" s="16" t="str">
        <f aca="false">IF(B31="","",IF(AND(D31="Formalização",E31="Concluído"),IF(COUNTIFS($B$2:$B$5001,B31,$E$2:$E$5001,"Em ajustes",$A$2:$A$5001,"&lt;"&amp;I31)&gt;0,1,0),0))</f>
        <v/>
      </c>
      <c r="L31" s="16" t="str">
        <f aca="false">IF(B31="","",IF(A31=_xlfn.MAXIFS($A$2:$A$5001,$B$2:$B$5001,B31,$I$2:$I$5001,I31),1,0))</f>
        <v/>
      </c>
    </row>
    <row r="32" customFormat="false" ht="15" hidden="false" customHeight="false" outlineLevel="0" collapsed="false">
      <c r="I32" s="15" t="str">
        <f aca="false">IF(A32="","",INT(A32))</f>
        <v/>
      </c>
      <c r="J32" s="16" t="str">
        <f aca="false">IF(B32="","",IF(A32=_xlfn.MINIFS($A$2:$A$5001,$B$2:$B$5001,B32),1,0))</f>
        <v/>
      </c>
      <c r="K32" s="16" t="str">
        <f aca="false">IF(B32="","",IF(AND(D32="Formalização",E32="Concluído"),IF(COUNTIFS($B$2:$B$5001,B32,$E$2:$E$5001,"Em ajustes",$A$2:$A$5001,"&lt;"&amp;I32)&gt;0,1,0),0))</f>
        <v/>
      </c>
      <c r="L32" s="16" t="str">
        <f aca="false">IF(B32="","",IF(A32=_xlfn.MAXIFS($A$2:$A$5001,$B$2:$B$5001,B32,$I$2:$I$5001,I32),1,0))</f>
        <v/>
      </c>
    </row>
    <row r="33" customFormat="false" ht="15" hidden="false" customHeight="false" outlineLevel="0" collapsed="false">
      <c r="I33" s="15" t="str">
        <f aca="false">IF(A33="","",INT(A33))</f>
        <v/>
      </c>
      <c r="J33" s="16" t="str">
        <f aca="false">IF(B33="","",IF(A33=_xlfn.MINIFS($A$2:$A$5001,$B$2:$B$5001,B33),1,0))</f>
        <v/>
      </c>
      <c r="K33" s="16" t="str">
        <f aca="false">IF(B33="","",IF(AND(D33="Formalização",E33="Concluído"),IF(COUNTIFS($B$2:$B$5001,B33,$E$2:$E$5001,"Em ajustes",$A$2:$A$5001,"&lt;"&amp;I33)&gt;0,1,0),0))</f>
        <v/>
      </c>
      <c r="L33" s="16" t="str">
        <f aca="false">IF(B33="","",IF(A33=_xlfn.MAXIFS($A$2:$A$5001,$B$2:$B$5001,B33,$I$2:$I$5001,I33),1,0))</f>
        <v/>
      </c>
    </row>
    <row r="34" customFormat="false" ht="15" hidden="false" customHeight="false" outlineLevel="0" collapsed="false">
      <c r="I34" s="15" t="str">
        <f aca="false">IF(A34="","",INT(A34))</f>
        <v/>
      </c>
      <c r="J34" s="16" t="str">
        <f aca="false">IF(B34="","",IF(A34=_xlfn.MINIFS($A$2:$A$5001,$B$2:$B$5001,B34),1,0))</f>
        <v/>
      </c>
      <c r="K34" s="16" t="str">
        <f aca="false">IF(B34="","",IF(AND(D34="Formalização",E34="Concluído"),IF(COUNTIFS($B$2:$B$5001,B34,$E$2:$E$5001,"Em ajustes",$A$2:$A$5001,"&lt;"&amp;I34)&gt;0,1,0),0))</f>
        <v/>
      </c>
      <c r="L34" s="16" t="str">
        <f aca="false">IF(B34="","",IF(A34=_xlfn.MAXIFS($A$2:$A$5001,$B$2:$B$5001,B34,$I$2:$I$5001,I34),1,0))</f>
        <v/>
      </c>
    </row>
    <row r="35" customFormat="false" ht="15" hidden="false" customHeight="false" outlineLevel="0" collapsed="false">
      <c r="I35" s="15" t="str">
        <f aca="false">IF(A35="","",INT(A35))</f>
        <v/>
      </c>
      <c r="J35" s="16" t="str">
        <f aca="false">IF(B35="","",IF(A35=_xlfn.MINIFS($A$2:$A$5001,$B$2:$B$5001,B35),1,0))</f>
        <v/>
      </c>
      <c r="K35" s="16" t="str">
        <f aca="false">IF(B35="","",IF(AND(D35="Formalização",E35="Concluído"),IF(COUNTIFS($B$2:$B$5001,B35,$E$2:$E$5001,"Em ajustes",$A$2:$A$5001,"&lt;"&amp;I35)&gt;0,1,0),0))</f>
        <v/>
      </c>
      <c r="L35" s="16" t="str">
        <f aca="false">IF(B35="","",IF(A35=_xlfn.MAXIFS($A$2:$A$5001,$B$2:$B$5001,B35,$I$2:$I$5001,I35),1,0))</f>
        <v/>
      </c>
    </row>
    <row r="36" customFormat="false" ht="15" hidden="false" customHeight="false" outlineLevel="0" collapsed="false">
      <c r="I36" s="15" t="str">
        <f aca="false">IF(A36="","",INT(A36))</f>
        <v/>
      </c>
      <c r="J36" s="16" t="str">
        <f aca="false">IF(B36="","",IF(A36=_xlfn.MINIFS($A$2:$A$5001,$B$2:$B$5001,B36),1,0))</f>
        <v/>
      </c>
      <c r="K36" s="16" t="str">
        <f aca="false">IF(B36="","",IF(AND(D36="Formalização",E36="Concluído"),IF(COUNTIFS($B$2:$B$5001,B36,$E$2:$E$5001,"Em ajustes",$A$2:$A$5001,"&lt;"&amp;I36)&gt;0,1,0),0))</f>
        <v/>
      </c>
      <c r="L36" s="16" t="str">
        <f aca="false">IF(B36="","",IF(A36=_xlfn.MAXIFS($A$2:$A$5001,$B$2:$B$5001,B36,$I$2:$I$5001,I36),1,0))</f>
        <v/>
      </c>
    </row>
    <row r="37" customFormat="false" ht="15" hidden="false" customHeight="false" outlineLevel="0" collapsed="false">
      <c r="I37" s="15" t="str">
        <f aca="false">IF(A37="","",INT(A37))</f>
        <v/>
      </c>
      <c r="J37" s="16" t="str">
        <f aca="false">IF(B37="","",IF(A37=_xlfn.MINIFS($A$2:$A$5001,$B$2:$B$5001,B37),1,0))</f>
        <v/>
      </c>
      <c r="K37" s="16" t="str">
        <f aca="false">IF(B37="","",IF(AND(D37="Formalização",E37="Concluído"),IF(COUNTIFS($B$2:$B$5001,B37,$E$2:$E$5001,"Em ajustes",$A$2:$A$5001,"&lt;"&amp;I37)&gt;0,1,0),0))</f>
        <v/>
      </c>
      <c r="L37" s="16" t="str">
        <f aca="false">IF(B37="","",IF(A37=_xlfn.MAXIFS($A$2:$A$5001,$B$2:$B$5001,B37,$I$2:$I$5001,I37),1,0))</f>
        <v/>
      </c>
    </row>
    <row r="38" customFormat="false" ht="15" hidden="false" customHeight="false" outlineLevel="0" collapsed="false">
      <c r="I38" s="15" t="str">
        <f aca="false">IF(A38="","",INT(A38))</f>
        <v/>
      </c>
      <c r="J38" s="16" t="str">
        <f aca="false">IF(B38="","",IF(A38=_xlfn.MINIFS($A$2:$A$5001,$B$2:$B$5001,B38),1,0))</f>
        <v/>
      </c>
      <c r="K38" s="16" t="str">
        <f aca="false">IF(B38="","",IF(AND(D38="Formalização",E38="Concluído"),IF(COUNTIFS($B$2:$B$5001,B38,$E$2:$E$5001,"Em ajustes",$A$2:$A$5001,"&lt;"&amp;I38)&gt;0,1,0),0))</f>
        <v/>
      </c>
      <c r="L38" s="16" t="str">
        <f aca="false">IF(B38="","",IF(A38=_xlfn.MAXIFS($A$2:$A$5001,$B$2:$B$5001,B38,$I$2:$I$5001,I38),1,0))</f>
        <v/>
      </c>
    </row>
    <row r="39" customFormat="false" ht="15" hidden="false" customHeight="false" outlineLevel="0" collapsed="false">
      <c r="I39" s="15" t="str">
        <f aca="false">IF(A39="","",INT(A39))</f>
        <v/>
      </c>
      <c r="J39" s="16" t="str">
        <f aca="false">IF(B39="","",IF(A39=_xlfn.MINIFS($A$2:$A$5001,$B$2:$B$5001,B39),1,0))</f>
        <v/>
      </c>
      <c r="K39" s="16" t="str">
        <f aca="false">IF(B39="","",IF(AND(D39="Formalização",E39="Concluído"),IF(COUNTIFS($B$2:$B$5001,B39,$E$2:$E$5001,"Em ajustes",$A$2:$A$5001,"&lt;"&amp;I39)&gt;0,1,0),0))</f>
        <v/>
      </c>
      <c r="L39" s="16" t="str">
        <f aca="false">IF(B39="","",IF(A39=_xlfn.MAXIFS($A$2:$A$5001,$B$2:$B$5001,B39,$I$2:$I$5001,I39),1,0))</f>
        <v/>
      </c>
    </row>
    <row r="40" customFormat="false" ht="15" hidden="false" customHeight="false" outlineLevel="0" collapsed="false">
      <c r="I40" s="15" t="str">
        <f aca="false">IF(A40="","",INT(A40))</f>
        <v/>
      </c>
      <c r="J40" s="16" t="str">
        <f aca="false">IF(B40="","",IF(A40=_xlfn.MINIFS($A$2:$A$5001,$B$2:$B$5001,B40),1,0))</f>
        <v/>
      </c>
      <c r="K40" s="16" t="str">
        <f aca="false">IF(B40="","",IF(AND(D40="Formalização",E40="Concluído"),IF(COUNTIFS($B$2:$B$5001,B40,$E$2:$E$5001,"Em ajustes",$A$2:$A$5001,"&lt;"&amp;I40)&gt;0,1,0),0))</f>
        <v/>
      </c>
      <c r="L40" s="16" t="str">
        <f aca="false">IF(B40="","",IF(A40=_xlfn.MAXIFS($A$2:$A$5001,$B$2:$B$5001,B40,$I$2:$I$5001,I40),1,0))</f>
        <v/>
      </c>
    </row>
    <row r="41" customFormat="false" ht="15" hidden="false" customHeight="false" outlineLevel="0" collapsed="false">
      <c r="I41" s="15" t="str">
        <f aca="false">IF(A41="","",INT(A41))</f>
        <v/>
      </c>
      <c r="J41" s="16" t="str">
        <f aca="false">IF(B41="","",IF(A41=_xlfn.MINIFS($A$2:$A$5001,$B$2:$B$5001,B41),1,0))</f>
        <v/>
      </c>
      <c r="K41" s="16" t="str">
        <f aca="false">IF(B41="","",IF(AND(D41="Formalização",E41="Concluído"),IF(COUNTIFS($B$2:$B$5001,B41,$E$2:$E$5001,"Em ajustes",$A$2:$A$5001,"&lt;"&amp;I41)&gt;0,1,0),0))</f>
        <v/>
      </c>
      <c r="L41" s="16" t="str">
        <f aca="false">IF(B41="","",IF(A41=_xlfn.MAXIFS($A$2:$A$5001,$B$2:$B$5001,B41,$I$2:$I$5001,I41),1,0))</f>
        <v/>
      </c>
    </row>
    <row r="42" customFormat="false" ht="15" hidden="false" customHeight="false" outlineLevel="0" collapsed="false">
      <c r="I42" s="15" t="str">
        <f aca="false">IF(A42="","",INT(A42))</f>
        <v/>
      </c>
      <c r="J42" s="16" t="str">
        <f aca="false">IF(B42="","",IF(A42=_xlfn.MINIFS($A$2:$A$5001,$B$2:$B$5001,B42),1,0))</f>
        <v/>
      </c>
      <c r="K42" s="16" t="str">
        <f aca="false">IF(B42="","",IF(AND(D42="Formalização",E42="Concluído"),IF(COUNTIFS($B$2:$B$5001,B42,$E$2:$E$5001,"Em ajustes",$A$2:$A$5001,"&lt;"&amp;I42)&gt;0,1,0),0))</f>
        <v/>
      </c>
      <c r="L42" s="16" t="str">
        <f aca="false">IF(B42="","",IF(A42=_xlfn.MAXIFS($A$2:$A$5001,$B$2:$B$5001,B42,$I$2:$I$5001,I42),1,0))</f>
        <v/>
      </c>
    </row>
    <row r="43" customFormat="false" ht="15" hidden="false" customHeight="false" outlineLevel="0" collapsed="false">
      <c r="I43" s="15" t="str">
        <f aca="false">IF(A43="","",INT(A43))</f>
        <v/>
      </c>
      <c r="J43" s="16" t="str">
        <f aca="false">IF(B43="","",IF(A43=_xlfn.MINIFS($A$2:$A$5001,$B$2:$B$5001,B43),1,0))</f>
        <v/>
      </c>
      <c r="K43" s="16" t="str">
        <f aca="false">IF(B43="","",IF(AND(D43="Formalização",E43="Concluído"),IF(COUNTIFS($B$2:$B$5001,B43,$E$2:$E$5001,"Em ajustes",$A$2:$A$5001,"&lt;"&amp;I43)&gt;0,1,0),0))</f>
        <v/>
      </c>
      <c r="L43" s="16" t="str">
        <f aca="false">IF(B43="","",IF(A43=_xlfn.MAXIFS($A$2:$A$5001,$B$2:$B$5001,B43,$I$2:$I$5001,I43),1,0))</f>
        <v/>
      </c>
    </row>
    <row r="44" customFormat="false" ht="15" hidden="false" customHeight="false" outlineLevel="0" collapsed="false">
      <c r="I44" s="15" t="str">
        <f aca="false">IF(A44="","",INT(A44))</f>
        <v/>
      </c>
      <c r="J44" s="16" t="str">
        <f aca="false">IF(B44="","",IF(A44=_xlfn.MINIFS($A$2:$A$5001,$B$2:$B$5001,B44),1,0))</f>
        <v/>
      </c>
      <c r="K44" s="16" t="str">
        <f aca="false">IF(B44="","",IF(AND(D44="Formalização",E44="Concluído"),IF(COUNTIFS($B$2:$B$5001,B44,$E$2:$E$5001,"Em ajustes",$A$2:$A$5001,"&lt;"&amp;I44)&gt;0,1,0),0))</f>
        <v/>
      </c>
      <c r="L44" s="16" t="str">
        <f aca="false">IF(B44="","",IF(A44=_xlfn.MAXIFS($A$2:$A$5001,$B$2:$B$5001,B44,$I$2:$I$5001,I44),1,0))</f>
        <v/>
      </c>
    </row>
    <row r="45" customFormat="false" ht="15" hidden="false" customHeight="false" outlineLevel="0" collapsed="false">
      <c r="I45" s="15" t="str">
        <f aca="false">IF(A45="","",INT(A45))</f>
        <v/>
      </c>
      <c r="J45" s="16" t="str">
        <f aca="false">IF(B45="","",IF(A45=_xlfn.MINIFS($A$2:$A$5001,$B$2:$B$5001,B45),1,0))</f>
        <v/>
      </c>
      <c r="K45" s="16" t="str">
        <f aca="false">IF(B45="","",IF(AND(D45="Formalização",E45="Concluído"),IF(COUNTIFS($B$2:$B$5001,B45,$E$2:$E$5001,"Em ajustes",$A$2:$A$5001,"&lt;"&amp;I45)&gt;0,1,0),0))</f>
        <v/>
      </c>
      <c r="L45" s="16" t="str">
        <f aca="false">IF(B45="","",IF(A45=_xlfn.MAXIFS($A$2:$A$5001,$B$2:$B$5001,B45,$I$2:$I$5001,I45),1,0))</f>
        <v/>
      </c>
    </row>
    <row r="46" customFormat="false" ht="15" hidden="false" customHeight="false" outlineLevel="0" collapsed="false">
      <c r="I46" s="15" t="str">
        <f aca="false">IF(A46="","",INT(A46))</f>
        <v/>
      </c>
      <c r="J46" s="16" t="str">
        <f aca="false">IF(B46="","",IF(A46=_xlfn.MINIFS($A$2:$A$5001,$B$2:$B$5001,B46),1,0))</f>
        <v/>
      </c>
      <c r="K46" s="16" t="str">
        <f aca="false">IF(B46="","",IF(AND(D46="Formalização",E46="Concluído"),IF(COUNTIFS($B$2:$B$5001,B46,$E$2:$E$5001,"Em ajustes",$A$2:$A$5001,"&lt;"&amp;I46)&gt;0,1,0),0))</f>
        <v/>
      </c>
      <c r="L46" s="16" t="str">
        <f aca="false">IF(B46="","",IF(A46=_xlfn.MAXIFS($A$2:$A$5001,$B$2:$B$5001,B46,$I$2:$I$5001,I46),1,0))</f>
        <v/>
      </c>
    </row>
    <row r="47" customFormat="false" ht="15" hidden="false" customHeight="false" outlineLevel="0" collapsed="false">
      <c r="I47" s="15" t="str">
        <f aca="false">IF(A47="","",INT(A47))</f>
        <v/>
      </c>
      <c r="J47" s="16" t="str">
        <f aca="false">IF(B47="","",IF(A47=_xlfn.MINIFS($A$2:$A$5001,$B$2:$B$5001,B47),1,0))</f>
        <v/>
      </c>
      <c r="K47" s="16" t="str">
        <f aca="false">IF(B47="","",IF(AND(D47="Formalização",E47="Concluído"),IF(COUNTIFS($B$2:$B$5001,B47,$E$2:$E$5001,"Em ajustes",$A$2:$A$5001,"&lt;"&amp;I47)&gt;0,1,0),0))</f>
        <v/>
      </c>
      <c r="L47" s="16" t="str">
        <f aca="false">IF(B47="","",IF(A47=_xlfn.MAXIFS($A$2:$A$5001,$B$2:$B$5001,B47,$I$2:$I$5001,I47),1,0))</f>
        <v/>
      </c>
    </row>
    <row r="48" customFormat="false" ht="15" hidden="false" customHeight="false" outlineLevel="0" collapsed="false">
      <c r="I48" s="15" t="str">
        <f aca="false">IF(A48="","",INT(A48))</f>
        <v/>
      </c>
      <c r="J48" s="16" t="str">
        <f aca="false">IF(B48="","",IF(A48=_xlfn.MINIFS($A$2:$A$5001,$B$2:$B$5001,B48),1,0))</f>
        <v/>
      </c>
      <c r="K48" s="16" t="str">
        <f aca="false">IF(B48="","",IF(AND(D48="Formalização",E48="Concluído"),IF(COUNTIFS($B$2:$B$5001,B48,$E$2:$E$5001,"Em ajustes",$A$2:$A$5001,"&lt;"&amp;I48)&gt;0,1,0),0))</f>
        <v/>
      </c>
      <c r="L48" s="16" t="str">
        <f aca="false">IF(B48="","",IF(A48=_xlfn.MAXIFS($A$2:$A$5001,$B$2:$B$5001,B48,$I$2:$I$5001,I48),1,0))</f>
        <v/>
      </c>
    </row>
    <row r="49" customFormat="false" ht="15" hidden="false" customHeight="false" outlineLevel="0" collapsed="false">
      <c r="I49" s="15" t="str">
        <f aca="false">IF(A49="","",INT(A49))</f>
        <v/>
      </c>
      <c r="J49" s="16" t="str">
        <f aca="false">IF(B49="","",IF(A49=_xlfn.MINIFS($A$2:$A$5001,$B$2:$B$5001,B49),1,0))</f>
        <v/>
      </c>
      <c r="K49" s="16" t="str">
        <f aca="false">IF(B49="","",IF(AND(D49="Formalização",E49="Concluído"),IF(COUNTIFS($B$2:$B$5001,B49,$E$2:$E$5001,"Em ajustes",$A$2:$A$5001,"&lt;"&amp;I49)&gt;0,1,0),0))</f>
        <v/>
      </c>
      <c r="L49" s="16" t="str">
        <f aca="false">IF(B49="","",IF(A49=_xlfn.MAXIFS($A$2:$A$5001,$B$2:$B$5001,B49,$I$2:$I$5001,I49),1,0))</f>
        <v/>
      </c>
    </row>
    <row r="50" customFormat="false" ht="15" hidden="false" customHeight="false" outlineLevel="0" collapsed="false">
      <c r="I50" s="15" t="str">
        <f aca="false">IF(A50="","",INT(A50))</f>
        <v/>
      </c>
      <c r="J50" s="16" t="str">
        <f aca="false">IF(B50="","",IF(A50=_xlfn.MINIFS($A$2:$A$5001,$B$2:$B$5001,B50),1,0))</f>
        <v/>
      </c>
      <c r="K50" s="16" t="str">
        <f aca="false">IF(B50="","",IF(AND(D50="Formalização",E50="Concluído"),IF(COUNTIFS($B$2:$B$5001,B50,$E$2:$E$5001,"Em ajustes",$A$2:$A$5001,"&lt;"&amp;I50)&gt;0,1,0),0))</f>
        <v/>
      </c>
      <c r="L50" s="16" t="str">
        <f aca="false">IF(B50="","",IF(A50=_xlfn.MAXIFS($A$2:$A$5001,$B$2:$B$5001,B50,$I$2:$I$5001,I50),1,0))</f>
        <v/>
      </c>
    </row>
    <row r="51" customFormat="false" ht="15" hidden="false" customHeight="false" outlineLevel="0" collapsed="false">
      <c r="I51" s="15" t="str">
        <f aca="false">IF(A51="","",INT(A51))</f>
        <v/>
      </c>
      <c r="J51" s="16" t="str">
        <f aca="false">IF(B51="","",IF(A51=_xlfn.MINIFS($A$2:$A$5001,$B$2:$B$5001,B51),1,0))</f>
        <v/>
      </c>
      <c r="K51" s="16" t="str">
        <f aca="false">IF(B51="","",IF(AND(D51="Formalização",E51="Concluído"),IF(COUNTIFS($B$2:$B$5001,B51,$E$2:$E$5001,"Em ajustes",$A$2:$A$5001,"&lt;"&amp;I51)&gt;0,1,0),0))</f>
        <v/>
      </c>
      <c r="L51" s="16" t="str">
        <f aca="false">IF(B51="","",IF(A51=_xlfn.MAXIFS($A$2:$A$5001,$B$2:$B$5001,B51,$I$2:$I$5001,I51),1,0))</f>
        <v/>
      </c>
    </row>
    <row r="52" customFormat="false" ht="15" hidden="false" customHeight="false" outlineLevel="0" collapsed="false">
      <c r="I52" s="15" t="str">
        <f aca="false">IF(A52="","",INT(A52))</f>
        <v/>
      </c>
      <c r="J52" s="16" t="str">
        <f aca="false">IF(B52="","",IF(A52=_xlfn.MINIFS($A$2:$A$5001,$B$2:$B$5001,B52),1,0))</f>
        <v/>
      </c>
      <c r="K52" s="16" t="str">
        <f aca="false">IF(B52="","",IF(AND(D52="Formalização",E52="Concluído"),IF(COUNTIFS($B$2:$B$5001,B52,$E$2:$E$5001,"Em ajustes",$A$2:$A$5001,"&lt;"&amp;I52)&gt;0,1,0),0))</f>
        <v/>
      </c>
      <c r="L52" s="16" t="str">
        <f aca="false">IF(B52="","",IF(A52=_xlfn.MAXIFS($A$2:$A$5001,$B$2:$B$5001,B52,$I$2:$I$5001,I52),1,0))</f>
        <v/>
      </c>
    </row>
    <row r="53" customFormat="false" ht="15" hidden="false" customHeight="false" outlineLevel="0" collapsed="false">
      <c r="I53" s="15" t="str">
        <f aca="false">IF(A53="","",INT(A53))</f>
        <v/>
      </c>
      <c r="J53" s="16" t="str">
        <f aca="false">IF(B53="","",IF(A53=_xlfn.MINIFS($A$2:$A$5001,$B$2:$B$5001,B53),1,0))</f>
        <v/>
      </c>
      <c r="K53" s="16" t="str">
        <f aca="false">IF(B53="","",IF(AND(D53="Formalização",E53="Concluído"),IF(COUNTIFS($B$2:$B$5001,B53,$E$2:$E$5001,"Em ajustes",$A$2:$A$5001,"&lt;"&amp;I53)&gt;0,1,0),0))</f>
        <v/>
      </c>
      <c r="L53" s="16" t="str">
        <f aca="false">IF(B53="","",IF(A53=_xlfn.MAXIFS($A$2:$A$5001,$B$2:$B$5001,B53,$I$2:$I$5001,I53),1,0))</f>
        <v/>
      </c>
    </row>
    <row r="54" customFormat="false" ht="15" hidden="false" customHeight="false" outlineLevel="0" collapsed="false">
      <c r="I54" s="15" t="str">
        <f aca="false">IF(A54="","",INT(A54))</f>
        <v/>
      </c>
      <c r="J54" s="16" t="str">
        <f aca="false">IF(B54="","",IF(A54=_xlfn.MINIFS($A$2:$A$5001,$B$2:$B$5001,B54),1,0))</f>
        <v/>
      </c>
      <c r="K54" s="16" t="str">
        <f aca="false">IF(B54="","",IF(AND(D54="Formalização",E54="Concluído"),IF(COUNTIFS($B$2:$B$5001,B54,$E$2:$E$5001,"Em ajustes",$A$2:$A$5001,"&lt;"&amp;I54)&gt;0,1,0),0))</f>
        <v/>
      </c>
      <c r="L54" s="16" t="str">
        <f aca="false">IF(B54="","",IF(A54=_xlfn.MAXIFS($A$2:$A$5001,$B$2:$B$5001,B54,$I$2:$I$5001,I54),1,0))</f>
        <v/>
      </c>
    </row>
    <row r="55" customFormat="false" ht="15" hidden="false" customHeight="false" outlineLevel="0" collapsed="false">
      <c r="I55" s="15" t="str">
        <f aca="false">IF(A55="","",INT(A55))</f>
        <v/>
      </c>
      <c r="J55" s="16" t="str">
        <f aca="false">IF(B55="","",IF(A55=_xlfn.MINIFS($A$2:$A$5001,$B$2:$B$5001,B55),1,0))</f>
        <v/>
      </c>
      <c r="K55" s="16" t="str">
        <f aca="false">IF(B55="","",IF(AND(D55="Formalização",E55="Concluído"),IF(COUNTIFS($B$2:$B$5001,B55,$E$2:$E$5001,"Em ajustes",$A$2:$A$5001,"&lt;"&amp;I55)&gt;0,1,0),0))</f>
        <v/>
      </c>
      <c r="L55" s="16" t="str">
        <f aca="false">IF(B55="","",IF(A55=_xlfn.MAXIFS($A$2:$A$5001,$B$2:$B$5001,B55,$I$2:$I$5001,I55),1,0))</f>
        <v/>
      </c>
    </row>
    <row r="56" customFormat="false" ht="15" hidden="false" customHeight="false" outlineLevel="0" collapsed="false">
      <c r="I56" s="15" t="str">
        <f aca="false">IF(A56="","",INT(A56))</f>
        <v/>
      </c>
      <c r="J56" s="16" t="str">
        <f aca="false">IF(B56="","",IF(A56=_xlfn.MINIFS($A$2:$A$5001,$B$2:$B$5001,B56),1,0))</f>
        <v/>
      </c>
      <c r="K56" s="16" t="str">
        <f aca="false">IF(B56="","",IF(AND(D56="Formalização",E56="Concluído"),IF(COUNTIFS($B$2:$B$5001,B56,$E$2:$E$5001,"Em ajustes",$A$2:$A$5001,"&lt;"&amp;I56)&gt;0,1,0),0))</f>
        <v/>
      </c>
      <c r="L56" s="16" t="str">
        <f aca="false">IF(B56="","",IF(A56=_xlfn.MAXIFS($A$2:$A$5001,$B$2:$B$5001,B56,$I$2:$I$5001,I56),1,0))</f>
        <v/>
      </c>
    </row>
    <row r="57" customFormat="false" ht="15" hidden="false" customHeight="false" outlineLevel="0" collapsed="false">
      <c r="I57" s="15" t="str">
        <f aca="false">IF(A57="","",INT(A57))</f>
        <v/>
      </c>
      <c r="J57" s="16" t="str">
        <f aca="false">IF(B57="","",IF(A57=_xlfn.MINIFS($A$2:$A$5001,$B$2:$B$5001,B57),1,0))</f>
        <v/>
      </c>
      <c r="K57" s="16" t="str">
        <f aca="false">IF(B57="","",IF(AND(D57="Formalização",E57="Concluído"),IF(COUNTIFS($B$2:$B$5001,B57,$E$2:$E$5001,"Em ajustes",$A$2:$A$5001,"&lt;"&amp;I57)&gt;0,1,0),0))</f>
        <v/>
      </c>
      <c r="L57" s="16" t="str">
        <f aca="false">IF(B57="","",IF(A57=_xlfn.MAXIFS($A$2:$A$5001,$B$2:$B$5001,B57,$I$2:$I$5001,I57),1,0))</f>
        <v/>
      </c>
    </row>
    <row r="58" customFormat="false" ht="15" hidden="false" customHeight="false" outlineLevel="0" collapsed="false">
      <c r="I58" s="15" t="str">
        <f aca="false">IF(A58="","",INT(A58))</f>
        <v/>
      </c>
      <c r="J58" s="16" t="str">
        <f aca="false">IF(B58="","",IF(A58=_xlfn.MINIFS($A$2:$A$5001,$B$2:$B$5001,B58),1,0))</f>
        <v/>
      </c>
      <c r="K58" s="16" t="str">
        <f aca="false">IF(B58="","",IF(AND(D58="Formalização",E58="Concluído"),IF(COUNTIFS($B$2:$B$5001,B58,$E$2:$E$5001,"Em ajustes",$A$2:$A$5001,"&lt;"&amp;I58)&gt;0,1,0),0))</f>
        <v/>
      </c>
      <c r="L58" s="16" t="str">
        <f aca="false">IF(B58="","",IF(A58=_xlfn.MAXIFS($A$2:$A$5001,$B$2:$B$5001,B58,$I$2:$I$5001,I58),1,0))</f>
        <v/>
      </c>
    </row>
    <row r="59" customFormat="false" ht="15" hidden="false" customHeight="false" outlineLevel="0" collapsed="false">
      <c r="I59" s="15" t="str">
        <f aca="false">IF(A59="","",INT(A59))</f>
        <v/>
      </c>
      <c r="J59" s="16" t="str">
        <f aca="false">IF(B59="","",IF(A59=_xlfn.MINIFS($A$2:$A$5001,$B$2:$B$5001,B59),1,0))</f>
        <v/>
      </c>
      <c r="K59" s="16" t="str">
        <f aca="false">IF(B59="","",IF(AND(D59="Formalização",E59="Concluído"),IF(COUNTIFS($B$2:$B$5001,B59,$E$2:$E$5001,"Em ajustes",$A$2:$A$5001,"&lt;"&amp;I59)&gt;0,1,0),0))</f>
        <v/>
      </c>
      <c r="L59" s="16" t="str">
        <f aca="false">IF(B59="","",IF(A59=_xlfn.MAXIFS($A$2:$A$5001,$B$2:$B$5001,B59,$I$2:$I$5001,I59),1,0))</f>
        <v/>
      </c>
    </row>
    <row r="60" customFormat="false" ht="15" hidden="false" customHeight="false" outlineLevel="0" collapsed="false">
      <c r="I60" s="15" t="str">
        <f aca="false">IF(A60="","",INT(A60))</f>
        <v/>
      </c>
      <c r="J60" s="16" t="str">
        <f aca="false">IF(B60="","",IF(A60=_xlfn.MINIFS($A$2:$A$5001,$B$2:$B$5001,B60),1,0))</f>
        <v/>
      </c>
      <c r="K60" s="16" t="str">
        <f aca="false">IF(B60="","",IF(AND(D60="Formalização",E60="Concluído"),IF(COUNTIFS($B$2:$B$5001,B60,$E$2:$E$5001,"Em ajustes",$A$2:$A$5001,"&lt;"&amp;I60)&gt;0,1,0),0))</f>
        <v/>
      </c>
      <c r="L60" s="16" t="str">
        <f aca="false">IF(B60="","",IF(A60=_xlfn.MAXIFS($A$2:$A$5001,$B$2:$B$5001,B60,$I$2:$I$5001,I60),1,0))</f>
        <v/>
      </c>
    </row>
    <row r="61" customFormat="false" ht="15" hidden="false" customHeight="false" outlineLevel="0" collapsed="false">
      <c r="I61" s="15" t="str">
        <f aca="false">IF(A61="","",INT(A61))</f>
        <v/>
      </c>
      <c r="J61" s="16" t="str">
        <f aca="false">IF(B61="","",IF(A61=_xlfn.MINIFS($A$2:$A$5001,$B$2:$B$5001,B61),1,0))</f>
        <v/>
      </c>
      <c r="K61" s="16" t="str">
        <f aca="false">IF(B61="","",IF(AND(D61="Formalização",E61="Concluído"),IF(COUNTIFS($B$2:$B$5001,B61,$E$2:$E$5001,"Em ajustes",$A$2:$A$5001,"&lt;"&amp;I61)&gt;0,1,0),0))</f>
        <v/>
      </c>
      <c r="L61" s="16" t="str">
        <f aca="false">IF(B61="","",IF(A61=_xlfn.MAXIFS($A$2:$A$5001,$B$2:$B$5001,B61,$I$2:$I$5001,I61),1,0))</f>
        <v/>
      </c>
    </row>
    <row r="62" customFormat="false" ht="15" hidden="false" customHeight="false" outlineLevel="0" collapsed="false">
      <c r="I62" s="15" t="str">
        <f aca="false">IF(A62="","",INT(A62))</f>
        <v/>
      </c>
      <c r="J62" s="16" t="str">
        <f aca="false">IF(B62="","",IF(A62=_xlfn.MINIFS($A$2:$A$5001,$B$2:$B$5001,B62),1,0))</f>
        <v/>
      </c>
      <c r="K62" s="16" t="str">
        <f aca="false">IF(B62="","",IF(AND(D62="Formalização",E62="Concluído"),IF(COUNTIFS($B$2:$B$5001,B62,$E$2:$E$5001,"Em ajustes",$A$2:$A$5001,"&lt;"&amp;I62)&gt;0,1,0),0))</f>
        <v/>
      </c>
      <c r="L62" s="16" t="str">
        <f aca="false">IF(B62="","",IF(A62=_xlfn.MAXIFS($A$2:$A$5001,$B$2:$B$5001,B62,$I$2:$I$5001,I62),1,0))</f>
        <v/>
      </c>
    </row>
    <row r="63" customFormat="false" ht="15" hidden="false" customHeight="false" outlineLevel="0" collapsed="false">
      <c r="I63" s="15" t="str">
        <f aca="false">IF(A63="","",INT(A63))</f>
        <v/>
      </c>
      <c r="J63" s="16" t="str">
        <f aca="false">IF(B63="","",IF(A63=_xlfn.MINIFS($A$2:$A$5001,$B$2:$B$5001,B63),1,0))</f>
        <v/>
      </c>
      <c r="K63" s="16" t="str">
        <f aca="false">IF(B63="","",IF(AND(D63="Formalização",E63="Concluído"),IF(COUNTIFS($B$2:$B$5001,B63,$E$2:$E$5001,"Em ajustes",$A$2:$A$5001,"&lt;"&amp;I63)&gt;0,1,0),0))</f>
        <v/>
      </c>
      <c r="L63" s="16" t="str">
        <f aca="false">IF(B63="","",IF(A63=_xlfn.MAXIFS($A$2:$A$5001,$B$2:$B$5001,B63,$I$2:$I$5001,I63),1,0))</f>
        <v/>
      </c>
    </row>
    <row r="64" customFormat="false" ht="15" hidden="false" customHeight="false" outlineLevel="0" collapsed="false">
      <c r="I64" s="15" t="str">
        <f aca="false">IF(A64="","",INT(A64))</f>
        <v/>
      </c>
      <c r="J64" s="16" t="str">
        <f aca="false">IF(B64="","",IF(A64=_xlfn.MINIFS($A$2:$A$5001,$B$2:$B$5001,B64),1,0))</f>
        <v/>
      </c>
      <c r="K64" s="16" t="str">
        <f aca="false">IF(B64="","",IF(AND(D64="Formalização",E64="Concluído"),IF(COUNTIFS($B$2:$B$5001,B64,$E$2:$E$5001,"Em ajustes",$A$2:$A$5001,"&lt;"&amp;I64)&gt;0,1,0),0))</f>
        <v/>
      </c>
      <c r="L64" s="16" t="str">
        <f aca="false">IF(B64="","",IF(A64=_xlfn.MAXIFS($A$2:$A$5001,$B$2:$B$5001,B64,$I$2:$I$5001,I64),1,0))</f>
        <v/>
      </c>
    </row>
    <row r="65" customFormat="false" ht="15" hidden="false" customHeight="false" outlineLevel="0" collapsed="false">
      <c r="I65" s="15" t="str">
        <f aca="false">IF(A65="","",INT(A65))</f>
        <v/>
      </c>
      <c r="J65" s="16" t="str">
        <f aca="false">IF(B65="","",IF(A65=_xlfn.MINIFS($A$2:$A$5001,$B$2:$B$5001,B65),1,0))</f>
        <v/>
      </c>
      <c r="K65" s="16" t="str">
        <f aca="false">IF(B65="","",IF(AND(D65="Formalização",E65="Concluído"),IF(COUNTIFS($B$2:$B$5001,B65,$E$2:$E$5001,"Em ajustes",$A$2:$A$5001,"&lt;"&amp;I65)&gt;0,1,0),0))</f>
        <v/>
      </c>
      <c r="L65" s="16" t="str">
        <f aca="false">IF(B65="","",IF(A65=_xlfn.MAXIFS($A$2:$A$5001,$B$2:$B$5001,B65,$I$2:$I$5001,I65),1,0))</f>
        <v/>
      </c>
    </row>
    <row r="66" customFormat="false" ht="15" hidden="false" customHeight="false" outlineLevel="0" collapsed="false">
      <c r="I66" s="15" t="str">
        <f aca="false">IF(A66="","",INT(A66))</f>
        <v/>
      </c>
      <c r="J66" s="16" t="str">
        <f aca="false">IF(B66="","",IF(A66=_xlfn.MINIFS($A$2:$A$5001,$B$2:$B$5001,B66),1,0))</f>
        <v/>
      </c>
      <c r="K66" s="16" t="str">
        <f aca="false">IF(B66="","",IF(AND(D66="Formalização",E66="Concluído"),IF(COUNTIFS($B$2:$B$5001,B66,$E$2:$E$5001,"Em ajustes",$A$2:$A$5001,"&lt;"&amp;I66)&gt;0,1,0),0))</f>
        <v/>
      </c>
      <c r="L66" s="16" t="str">
        <f aca="false">IF(B66="","",IF(A66=_xlfn.MAXIFS($A$2:$A$5001,$B$2:$B$5001,B66,$I$2:$I$5001,I66),1,0))</f>
        <v/>
      </c>
    </row>
    <row r="67" customFormat="false" ht="15" hidden="false" customHeight="false" outlineLevel="0" collapsed="false">
      <c r="I67" s="15" t="str">
        <f aca="false">IF(A67="","",INT(A67))</f>
        <v/>
      </c>
      <c r="J67" s="16" t="str">
        <f aca="false">IF(B67="","",IF(A67=_xlfn.MINIFS($A$2:$A$5001,$B$2:$B$5001,B67),1,0))</f>
        <v/>
      </c>
      <c r="K67" s="16" t="str">
        <f aca="false">IF(B67="","",IF(AND(D67="Formalização",E67="Concluído"),IF(COUNTIFS($B$2:$B$5001,B67,$E$2:$E$5001,"Em ajustes",$A$2:$A$5001,"&lt;"&amp;I67)&gt;0,1,0),0))</f>
        <v/>
      </c>
      <c r="L67" s="16" t="str">
        <f aca="false">IF(B67="","",IF(A67=_xlfn.MAXIFS($A$2:$A$5001,$B$2:$B$5001,B67,$I$2:$I$5001,I67),1,0))</f>
        <v/>
      </c>
    </row>
    <row r="68" customFormat="false" ht="15" hidden="false" customHeight="false" outlineLevel="0" collapsed="false">
      <c r="I68" s="15" t="str">
        <f aca="false">IF(A68="","",INT(A68))</f>
        <v/>
      </c>
      <c r="J68" s="16" t="str">
        <f aca="false">IF(B68="","",IF(A68=_xlfn.MINIFS($A$2:$A$5001,$B$2:$B$5001,B68),1,0))</f>
        <v/>
      </c>
      <c r="K68" s="16" t="str">
        <f aca="false">IF(B68="","",IF(AND(D68="Formalização",E68="Concluído"),IF(COUNTIFS($B$2:$B$5001,B68,$E$2:$E$5001,"Em ajustes",$A$2:$A$5001,"&lt;"&amp;I68)&gt;0,1,0),0))</f>
        <v/>
      </c>
      <c r="L68" s="16" t="str">
        <f aca="false">IF(B68="","",IF(A68=_xlfn.MAXIFS($A$2:$A$5001,$B$2:$B$5001,B68,$I$2:$I$5001,I68),1,0))</f>
        <v/>
      </c>
    </row>
    <row r="69" customFormat="false" ht="15" hidden="false" customHeight="false" outlineLevel="0" collapsed="false">
      <c r="I69" s="15" t="str">
        <f aca="false">IF(A69="","",INT(A69))</f>
        <v/>
      </c>
      <c r="J69" s="16" t="str">
        <f aca="false">IF(B69="","",IF(A69=_xlfn.MINIFS($A$2:$A$5001,$B$2:$B$5001,B69),1,0))</f>
        <v/>
      </c>
      <c r="K69" s="16" t="str">
        <f aca="false">IF(B69="","",IF(AND(D69="Formalização",E69="Concluído"),IF(COUNTIFS($B$2:$B$5001,B69,$E$2:$E$5001,"Em ajustes",$A$2:$A$5001,"&lt;"&amp;I69)&gt;0,1,0),0))</f>
        <v/>
      </c>
      <c r="L69" s="16" t="str">
        <f aca="false">IF(B69="","",IF(A69=_xlfn.MAXIFS($A$2:$A$5001,$B$2:$B$5001,B69,$I$2:$I$5001,I69),1,0))</f>
        <v/>
      </c>
    </row>
    <row r="70" customFormat="false" ht="15" hidden="false" customHeight="false" outlineLevel="0" collapsed="false">
      <c r="I70" s="15" t="str">
        <f aca="false">IF(A70="","",INT(A70))</f>
        <v/>
      </c>
      <c r="J70" s="16" t="str">
        <f aca="false">IF(B70="","",IF(A70=_xlfn.MINIFS($A$2:$A$5001,$B$2:$B$5001,B70),1,0))</f>
        <v/>
      </c>
      <c r="K70" s="16" t="str">
        <f aca="false">IF(B70="","",IF(AND(D70="Formalização",E70="Concluído"),IF(COUNTIFS($B$2:$B$5001,B70,$E$2:$E$5001,"Em ajustes",$A$2:$A$5001,"&lt;"&amp;I70)&gt;0,1,0),0))</f>
        <v/>
      </c>
      <c r="L70" s="16" t="str">
        <f aca="false">IF(B70="","",IF(A70=_xlfn.MAXIFS($A$2:$A$5001,$B$2:$B$5001,B70,$I$2:$I$5001,I70),1,0))</f>
        <v/>
      </c>
    </row>
    <row r="71" customFormat="false" ht="15" hidden="false" customHeight="false" outlineLevel="0" collapsed="false">
      <c r="I71" s="15" t="str">
        <f aca="false">IF(A71="","",INT(A71))</f>
        <v/>
      </c>
      <c r="J71" s="16" t="str">
        <f aca="false">IF(B71="","",IF(A71=_xlfn.MINIFS($A$2:$A$5001,$B$2:$B$5001,B71),1,0))</f>
        <v/>
      </c>
      <c r="K71" s="16" t="str">
        <f aca="false">IF(B71="","",IF(AND(D71="Formalização",E71="Concluído"),IF(COUNTIFS($B$2:$B$5001,B71,$E$2:$E$5001,"Em ajustes",$A$2:$A$5001,"&lt;"&amp;I71)&gt;0,1,0),0))</f>
        <v/>
      </c>
      <c r="L71" s="16" t="str">
        <f aca="false">IF(B71="","",IF(A71=_xlfn.MAXIFS($A$2:$A$5001,$B$2:$B$5001,B71,$I$2:$I$5001,I71),1,0))</f>
        <v/>
      </c>
    </row>
    <row r="72" customFormat="false" ht="15" hidden="false" customHeight="false" outlineLevel="0" collapsed="false">
      <c r="I72" s="15" t="str">
        <f aca="false">IF(A72="","",INT(A72))</f>
        <v/>
      </c>
      <c r="J72" s="16" t="str">
        <f aca="false">IF(B72="","",IF(A72=_xlfn.MINIFS($A$2:$A$5001,$B$2:$B$5001,B72),1,0))</f>
        <v/>
      </c>
      <c r="K72" s="16" t="str">
        <f aca="false">IF(B72="","",IF(AND(D72="Formalização",E72="Concluído"),IF(COUNTIFS($B$2:$B$5001,B72,$E$2:$E$5001,"Em ajustes",$A$2:$A$5001,"&lt;"&amp;I72)&gt;0,1,0),0))</f>
        <v/>
      </c>
      <c r="L72" s="16" t="str">
        <f aca="false">IF(B72="","",IF(A72=_xlfn.MAXIFS($A$2:$A$5001,$B$2:$B$5001,B72,$I$2:$I$5001,I72),1,0))</f>
        <v/>
      </c>
    </row>
    <row r="73" customFormat="false" ht="15" hidden="false" customHeight="false" outlineLevel="0" collapsed="false">
      <c r="I73" s="15" t="str">
        <f aca="false">IF(A73="","",INT(A73))</f>
        <v/>
      </c>
      <c r="J73" s="16" t="str">
        <f aca="false">IF(B73="","",IF(A73=_xlfn.MINIFS($A$2:$A$5001,$B$2:$B$5001,B73),1,0))</f>
        <v/>
      </c>
      <c r="K73" s="16" t="str">
        <f aca="false">IF(B73="","",IF(AND(D73="Formalização",E73="Concluído"),IF(COUNTIFS($B$2:$B$5001,B73,$E$2:$E$5001,"Em ajustes",$A$2:$A$5001,"&lt;"&amp;I73)&gt;0,1,0),0))</f>
        <v/>
      </c>
      <c r="L73" s="16" t="str">
        <f aca="false">IF(B73="","",IF(A73=_xlfn.MAXIFS($A$2:$A$5001,$B$2:$B$5001,B73,$I$2:$I$5001,I73),1,0))</f>
        <v/>
      </c>
    </row>
    <row r="74" customFormat="false" ht="15" hidden="false" customHeight="false" outlineLevel="0" collapsed="false">
      <c r="I74" s="15" t="str">
        <f aca="false">IF(A74="","",INT(A74))</f>
        <v/>
      </c>
      <c r="J74" s="16" t="str">
        <f aca="false">IF(B74="","",IF(A74=_xlfn.MINIFS($A$2:$A$5001,$B$2:$B$5001,B74),1,0))</f>
        <v/>
      </c>
      <c r="K74" s="16" t="str">
        <f aca="false">IF(B74="","",IF(AND(D74="Formalização",E74="Concluído"),IF(COUNTIFS($B$2:$B$5001,B74,$E$2:$E$5001,"Em ajustes",$A$2:$A$5001,"&lt;"&amp;I74)&gt;0,1,0),0))</f>
        <v/>
      </c>
      <c r="L74" s="16" t="str">
        <f aca="false">IF(B74="","",IF(A74=_xlfn.MAXIFS($A$2:$A$5001,$B$2:$B$5001,B74,$I$2:$I$5001,I74),1,0))</f>
        <v/>
      </c>
    </row>
    <row r="75" customFormat="false" ht="15" hidden="false" customHeight="false" outlineLevel="0" collapsed="false">
      <c r="I75" s="15" t="str">
        <f aca="false">IF(A75="","",INT(A75))</f>
        <v/>
      </c>
      <c r="J75" s="16" t="str">
        <f aca="false">IF(B75="","",IF(A75=_xlfn.MINIFS($A$2:$A$5001,$B$2:$B$5001,B75),1,0))</f>
        <v/>
      </c>
      <c r="K75" s="16" t="str">
        <f aca="false">IF(B75="","",IF(AND(D75="Formalização",E75="Concluído"),IF(COUNTIFS($B$2:$B$5001,B75,$E$2:$E$5001,"Em ajustes",$A$2:$A$5001,"&lt;"&amp;I75)&gt;0,1,0),0))</f>
        <v/>
      </c>
      <c r="L75" s="16" t="str">
        <f aca="false">IF(B75="","",IF(A75=_xlfn.MAXIFS($A$2:$A$5001,$B$2:$B$5001,B75,$I$2:$I$5001,I75),1,0))</f>
        <v/>
      </c>
    </row>
    <row r="76" customFormat="false" ht="15" hidden="false" customHeight="false" outlineLevel="0" collapsed="false">
      <c r="I76" s="15" t="str">
        <f aca="false">IF(A76="","",INT(A76))</f>
        <v/>
      </c>
      <c r="J76" s="16" t="str">
        <f aca="false">IF(B76="","",IF(A76=_xlfn.MINIFS($A$2:$A$5001,$B$2:$B$5001,B76),1,0))</f>
        <v/>
      </c>
      <c r="K76" s="16" t="str">
        <f aca="false">IF(B76="","",IF(AND(D76="Formalização",E76="Concluído"),IF(COUNTIFS($B$2:$B$5001,B76,$E$2:$E$5001,"Em ajustes",$A$2:$A$5001,"&lt;"&amp;I76)&gt;0,1,0),0))</f>
        <v/>
      </c>
      <c r="L76" s="16" t="str">
        <f aca="false">IF(B76="","",IF(A76=_xlfn.MAXIFS($A$2:$A$5001,$B$2:$B$5001,B76,$I$2:$I$5001,I76),1,0))</f>
        <v/>
      </c>
    </row>
    <row r="77" customFormat="false" ht="15" hidden="false" customHeight="false" outlineLevel="0" collapsed="false">
      <c r="I77" s="15" t="str">
        <f aca="false">IF(A77="","",INT(A77))</f>
        <v/>
      </c>
      <c r="J77" s="16" t="str">
        <f aca="false">IF(B77="","",IF(A77=_xlfn.MINIFS($A$2:$A$5001,$B$2:$B$5001,B77),1,0))</f>
        <v/>
      </c>
      <c r="K77" s="16" t="str">
        <f aca="false">IF(B77="","",IF(AND(D77="Formalização",E77="Concluído"),IF(COUNTIFS($B$2:$B$5001,B77,$E$2:$E$5001,"Em ajustes",$A$2:$A$5001,"&lt;"&amp;I77)&gt;0,1,0),0))</f>
        <v/>
      </c>
      <c r="L77" s="16" t="str">
        <f aca="false">IF(B77="","",IF(A77=_xlfn.MAXIFS($A$2:$A$5001,$B$2:$B$5001,B77,$I$2:$I$5001,I77),1,0))</f>
        <v/>
      </c>
    </row>
    <row r="78" customFormat="false" ht="15" hidden="false" customHeight="false" outlineLevel="0" collapsed="false">
      <c r="I78" s="15" t="str">
        <f aca="false">IF(A78="","",INT(A78))</f>
        <v/>
      </c>
      <c r="J78" s="16" t="str">
        <f aca="false">IF(B78="","",IF(A78=_xlfn.MINIFS($A$2:$A$5001,$B$2:$B$5001,B78),1,0))</f>
        <v/>
      </c>
      <c r="K78" s="16" t="str">
        <f aca="false">IF(B78="","",IF(AND(D78="Formalização",E78="Concluído"),IF(COUNTIFS($B$2:$B$5001,B78,$E$2:$E$5001,"Em ajustes",$A$2:$A$5001,"&lt;"&amp;I78)&gt;0,1,0),0))</f>
        <v/>
      </c>
      <c r="L78" s="16" t="str">
        <f aca="false">IF(B78="","",IF(A78=_xlfn.MAXIFS($A$2:$A$5001,$B$2:$B$5001,B78,$I$2:$I$5001,I78),1,0))</f>
        <v/>
      </c>
    </row>
    <row r="79" customFormat="false" ht="15" hidden="false" customHeight="false" outlineLevel="0" collapsed="false">
      <c r="I79" s="15" t="str">
        <f aca="false">IF(A79="","",INT(A79))</f>
        <v/>
      </c>
      <c r="J79" s="16" t="str">
        <f aca="false">IF(B79="","",IF(A79=_xlfn.MINIFS($A$2:$A$5001,$B$2:$B$5001,B79),1,0))</f>
        <v/>
      </c>
      <c r="K79" s="16" t="str">
        <f aca="false">IF(B79="","",IF(AND(D79="Formalização",E79="Concluído"),IF(COUNTIFS($B$2:$B$5001,B79,$E$2:$E$5001,"Em ajustes",$A$2:$A$5001,"&lt;"&amp;I79)&gt;0,1,0),0))</f>
        <v/>
      </c>
      <c r="L79" s="16" t="str">
        <f aca="false">IF(B79="","",IF(A79=_xlfn.MAXIFS($A$2:$A$5001,$B$2:$B$5001,B79,$I$2:$I$5001,I79),1,0))</f>
        <v/>
      </c>
    </row>
    <row r="80" customFormat="false" ht="15" hidden="false" customHeight="false" outlineLevel="0" collapsed="false">
      <c r="I80" s="15" t="str">
        <f aca="false">IF(A80="","",INT(A80))</f>
        <v/>
      </c>
      <c r="J80" s="16" t="str">
        <f aca="false">IF(B80="","",IF(A80=_xlfn.MINIFS($A$2:$A$5001,$B$2:$B$5001,B80),1,0))</f>
        <v/>
      </c>
      <c r="K80" s="16" t="str">
        <f aca="false">IF(B80="","",IF(AND(D80="Formalização",E80="Concluído"),IF(COUNTIFS($B$2:$B$5001,B80,$E$2:$E$5001,"Em ajustes",$A$2:$A$5001,"&lt;"&amp;I80)&gt;0,1,0),0))</f>
        <v/>
      </c>
      <c r="L80" s="16" t="str">
        <f aca="false">IF(B80="","",IF(A80=_xlfn.MAXIFS($A$2:$A$5001,$B$2:$B$5001,B80,$I$2:$I$5001,I80),1,0))</f>
        <v/>
      </c>
    </row>
    <row r="81" customFormat="false" ht="15" hidden="false" customHeight="false" outlineLevel="0" collapsed="false">
      <c r="I81" s="15" t="str">
        <f aca="false">IF(A81="","",INT(A81))</f>
        <v/>
      </c>
      <c r="J81" s="16" t="str">
        <f aca="false">IF(B81="","",IF(A81=_xlfn.MINIFS($A$2:$A$5001,$B$2:$B$5001,B81),1,0))</f>
        <v/>
      </c>
      <c r="K81" s="16" t="str">
        <f aca="false">IF(B81="","",IF(AND(D81="Formalização",E81="Concluído"),IF(COUNTIFS($B$2:$B$5001,B81,$E$2:$E$5001,"Em ajustes",$A$2:$A$5001,"&lt;"&amp;I81)&gt;0,1,0),0))</f>
        <v/>
      </c>
      <c r="L81" s="16" t="str">
        <f aca="false">IF(B81="","",IF(A81=_xlfn.MAXIFS($A$2:$A$5001,$B$2:$B$5001,B81,$I$2:$I$5001,I81),1,0))</f>
        <v/>
      </c>
    </row>
    <row r="82" customFormat="false" ht="15" hidden="false" customHeight="false" outlineLevel="0" collapsed="false">
      <c r="I82" s="15" t="str">
        <f aca="false">IF(A82="","",INT(A82))</f>
        <v/>
      </c>
      <c r="J82" s="16" t="str">
        <f aca="false">IF(B82="","",IF(A82=_xlfn.MINIFS($A$2:$A$5001,$B$2:$B$5001,B82),1,0))</f>
        <v/>
      </c>
      <c r="K82" s="16" t="str">
        <f aca="false">IF(B82="","",IF(AND(D82="Formalização",E82="Concluído"),IF(COUNTIFS($B$2:$B$5001,B82,$E$2:$E$5001,"Em ajustes",$A$2:$A$5001,"&lt;"&amp;I82)&gt;0,1,0),0))</f>
        <v/>
      </c>
      <c r="L82" s="16" t="str">
        <f aca="false">IF(B82="","",IF(A82=_xlfn.MAXIFS($A$2:$A$5001,$B$2:$B$5001,B82,$I$2:$I$5001,I82),1,0))</f>
        <v/>
      </c>
    </row>
    <row r="83" customFormat="false" ht="15" hidden="false" customHeight="false" outlineLevel="0" collapsed="false">
      <c r="I83" s="15" t="str">
        <f aca="false">IF(A83="","",INT(A83))</f>
        <v/>
      </c>
      <c r="J83" s="16" t="str">
        <f aca="false">IF(B83="","",IF(A83=_xlfn.MINIFS($A$2:$A$5001,$B$2:$B$5001,B83),1,0))</f>
        <v/>
      </c>
      <c r="K83" s="16" t="str">
        <f aca="false">IF(B83="","",IF(AND(D83="Formalização",E83="Concluído"),IF(COUNTIFS($B$2:$B$5001,B83,$E$2:$E$5001,"Em ajustes",$A$2:$A$5001,"&lt;"&amp;I83)&gt;0,1,0),0))</f>
        <v/>
      </c>
      <c r="L83" s="16" t="str">
        <f aca="false">IF(B83="","",IF(A83=_xlfn.MAXIFS($A$2:$A$5001,$B$2:$B$5001,B83,$I$2:$I$5001,I83),1,0))</f>
        <v/>
      </c>
    </row>
    <row r="84" customFormat="false" ht="15" hidden="false" customHeight="false" outlineLevel="0" collapsed="false">
      <c r="I84" s="15" t="str">
        <f aca="false">IF(A84="","",INT(A84))</f>
        <v/>
      </c>
      <c r="J84" s="16" t="str">
        <f aca="false">IF(B84="","",IF(A84=_xlfn.MINIFS($A$2:$A$5001,$B$2:$B$5001,B84),1,0))</f>
        <v/>
      </c>
      <c r="K84" s="16" t="str">
        <f aca="false">IF(B84="","",IF(AND(D84="Formalização",E84="Concluído"),IF(COUNTIFS($B$2:$B$5001,B84,$E$2:$E$5001,"Em ajustes",$A$2:$A$5001,"&lt;"&amp;I84)&gt;0,1,0),0))</f>
        <v/>
      </c>
      <c r="L84" s="16" t="str">
        <f aca="false">IF(B84="","",IF(A84=_xlfn.MAXIFS($A$2:$A$5001,$B$2:$B$5001,B84,$I$2:$I$5001,I84),1,0))</f>
        <v/>
      </c>
    </row>
    <row r="85" customFormat="false" ht="15" hidden="false" customHeight="false" outlineLevel="0" collapsed="false">
      <c r="I85" s="15" t="str">
        <f aca="false">IF(A85="","",INT(A85))</f>
        <v/>
      </c>
      <c r="J85" s="16" t="str">
        <f aca="false">IF(B85="","",IF(A85=_xlfn.MINIFS($A$2:$A$5001,$B$2:$B$5001,B85),1,0))</f>
        <v/>
      </c>
      <c r="K85" s="16" t="str">
        <f aca="false">IF(B85="","",IF(AND(D85="Formalização",E85="Concluído"),IF(COUNTIFS($B$2:$B$5001,B85,$E$2:$E$5001,"Em ajustes",$A$2:$A$5001,"&lt;"&amp;I85)&gt;0,1,0),0))</f>
        <v/>
      </c>
      <c r="L85" s="16" t="str">
        <f aca="false">IF(B85="","",IF(A85=_xlfn.MAXIFS($A$2:$A$5001,$B$2:$B$5001,B85,$I$2:$I$5001,I85),1,0))</f>
        <v/>
      </c>
    </row>
    <row r="86" customFormat="false" ht="15" hidden="false" customHeight="false" outlineLevel="0" collapsed="false">
      <c r="I86" s="15" t="str">
        <f aca="false">IF(A86="","",INT(A86))</f>
        <v/>
      </c>
      <c r="J86" s="16" t="str">
        <f aca="false">IF(B86="","",IF(A86=_xlfn.MINIFS($A$2:$A$5001,$B$2:$B$5001,B86),1,0))</f>
        <v/>
      </c>
      <c r="K86" s="16" t="str">
        <f aca="false">IF(B86="","",IF(AND(D86="Formalização",E86="Concluído"),IF(COUNTIFS($B$2:$B$5001,B86,$E$2:$E$5001,"Em ajustes",$A$2:$A$5001,"&lt;"&amp;I86)&gt;0,1,0),0))</f>
        <v/>
      </c>
      <c r="L86" s="16" t="str">
        <f aca="false">IF(B86="","",IF(A86=_xlfn.MAXIFS($A$2:$A$5001,$B$2:$B$5001,B86,$I$2:$I$5001,I86),1,0))</f>
        <v/>
      </c>
    </row>
    <row r="87" customFormat="false" ht="15" hidden="false" customHeight="false" outlineLevel="0" collapsed="false">
      <c r="I87" s="15" t="str">
        <f aca="false">IF(A87="","",INT(A87))</f>
        <v/>
      </c>
      <c r="J87" s="16" t="str">
        <f aca="false">IF(B87="","",IF(A87=_xlfn.MINIFS($A$2:$A$5001,$B$2:$B$5001,B87),1,0))</f>
        <v/>
      </c>
      <c r="K87" s="16" t="str">
        <f aca="false">IF(B87="","",IF(AND(D87="Formalização",E87="Concluído"),IF(COUNTIFS($B$2:$B$5001,B87,$E$2:$E$5001,"Em ajustes",$A$2:$A$5001,"&lt;"&amp;I87)&gt;0,1,0),0))</f>
        <v/>
      </c>
      <c r="L87" s="16" t="str">
        <f aca="false">IF(B87="","",IF(A87=_xlfn.MAXIFS($A$2:$A$5001,$B$2:$B$5001,B87,$I$2:$I$5001,I87),1,0))</f>
        <v/>
      </c>
    </row>
    <row r="88" customFormat="false" ht="15" hidden="false" customHeight="false" outlineLevel="0" collapsed="false">
      <c r="I88" s="15" t="str">
        <f aca="false">IF(A88="","",INT(A88))</f>
        <v/>
      </c>
      <c r="J88" s="16" t="str">
        <f aca="false">IF(B88="","",IF(A88=_xlfn.MINIFS($A$2:$A$5001,$B$2:$B$5001,B88),1,0))</f>
        <v/>
      </c>
      <c r="K88" s="16" t="str">
        <f aca="false">IF(B88="","",IF(AND(D88="Formalização",E88="Concluído"),IF(COUNTIFS($B$2:$B$5001,B88,$E$2:$E$5001,"Em ajustes",$A$2:$A$5001,"&lt;"&amp;I88)&gt;0,1,0),0))</f>
        <v/>
      </c>
      <c r="L88" s="16" t="str">
        <f aca="false">IF(B88="","",IF(A88=_xlfn.MAXIFS($A$2:$A$5001,$B$2:$B$5001,B88,$I$2:$I$5001,I88),1,0))</f>
        <v/>
      </c>
    </row>
    <row r="89" customFormat="false" ht="15" hidden="false" customHeight="false" outlineLevel="0" collapsed="false">
      <c r="I89" s="15" t="str">
        <f aca="false">IF(A89="","",INT(A89))</f>
        <v/>
      </c>
      <c r="J89" s="16" t="str">
        <f aca="false">IF(B89="","",IF(A89=_xlfn.MINIFS($A$2:$A$5001,$B$2:$B$5001,B89),1,0))</f>
        <v/>
      </c>
      <c r="K89" s="16" t="str">
        <f aca="false">IF(B89="","",IF(AND(D89="Formalização",E89="Concluído"),IF(COUNTIFS($B$2:$B$5001,B89,$E$2:$E$5001,"Em ajustes",$A$2:$A$5001,"&lt;"&amp;I89)&gt;0,1,0),0))</f>
        <v/>
      </c>
      <c r="L89" s="16" t="str">
        <f aca="false">IF(B89="","",IF(A89=_xlfn.MAXIFS($A$2:$A$5001,$B$2:$B$5001,B89,$I$2:$I$5001,I89),1,0))</f>
        <v/>
      </c>
    </row>
    <row r="90" customFormat="false" ht="15" hidden="false" customHeight="false" outlineLevel="0" collapsed="false">
      <c r="I90" s="15" t="str">
        <f aca="false">IF(A90="","",INT(A90))</f>
        <v/>
      </c>
      <c r="J90" s="16" t="str">
        <f aca="false">IF(B90="","",IF(A90=_xlfn.MINIFS($A$2:$A$5001,$B$2:$B$5001,B90),1,0))</f>
        <v/>
      </c>
      <c r="K90" s="16" t="str">
        <f aca="false">IF(B90="","",IF(AND(D90="Formalização",E90="Concluído"),IF(COUNTIFS($B$2:$B$5001,B90,$E$2:$E$5001,"Em ajustes",$A$2:$A$5001,"&lt;"&amp;I90)&gt;0,1,0),0))</f>
        <v/>
      </c>
      <c r="L90" s="16" t="str">
        <f aca="false">IF(B90="","",IF(A90=_xlfn.MAXIFS($A$2:$A$5001,$B$2:$B$5001,B90,$I$2:$I$5001,I90),1,0))</f>
        <v/>
      </c>
    </row>
    <row r="91" customFormat="false" ht="15" hidden="false" customHeight="false" outlineLevel="0" collapsed="false">
      <c r="I91" s="15" t="str">
        <f aca="false">IF(A91="","",INT(A91))</f>
        <v/>
      </c>
      <c r="J91" s="16" t="str">
        <f aca="false">IF(B91="","",IF(A91=_xlfn.MINIFS($A$2:$A$5001,$B$2:$B$5001,B91),1,0))</f>
        <v/>
      </c>
      <c r="K91" s="16" t="str">
        <f aca="false">IF(B91="","",IF(AND(D91="Formalização",E91="Concluído"),IF(COUNTIFS($B$2:$B$5001,B91,$E$2:$E$5001,"Em ajustes",$A$2:$A$5001,"&lt;"&amp;I91)&gt;0,1,0),0))</f>
        <v/>
      </c>
      <c r="L91" s="16" t="str">
        <f aca="false">IF(B91="","",IF(A91=_xlfn.MAXIFS($A$2:$A$5001,$B$2:$B$5001,B91,$I$2:$I$5001,I91),1,0))</f>
        <v/>
      </c>
    </row>
    <row r="92" customFormat="false" ht="15" hidden="false" customHeight="false" outlineLevel="0" collapsed="false">
      <c r="I92" s="15" t="str">
        <f aca="false">IF(A92="","",INT(A92))</f>
        <v/>
      </c>
      <c r="J92" s="16" t="str">
        <f aca="false">IF(B92="","",IF(A92=_xlfn.MINIFS($A$2:$A$5001,$B$2:$B$5001,B92),1,0))</f>
        <v/>
      </c>
      <c r="K92" s="16" t="str">
        <f aca="false">IF(B92="","",IF(AND(D92="Formalização",E92="Concluído"),IF(COUNTIFS($B$2:$B$5001,B92,$E$2:$E$5001,"Em ajustes",$A$2:$A$5001,"&lt;"&amp;I92)&gt;0,1,0),0))</f>
        <v/>
      </c>
      <c r="L92" s="16" t="str">
        <f aca="false">IF(B92="","",IF(A92=_xlfn.MAXIFS($A$2:$A$5001,$B$2:$B$5001,B92,$I$2:$I$5001,I92),1,0))</f>
        <v/>
      </c>
    </row>
    <row r="93" customFormat="false" ht="15" hidden="false" customHeight="false" outlineLevel="0" collapsed="false">
      <c r="I93" s="15" t="str">
        <f aca="false">IF(A93="","",INT(A93))</f>
        <v/>
      </c>
      <c r="J93" s="16" t="str">
        <f aca="false">IF(B93="","",IF(A93=_xlfn.MINIFS($A$2:$A$5001,$B$2:$B$5001,B93),1,0))</f>
        <v/>
      </c>
      <c r="K93" s="16" t="str">
        <f aca="false">IF(B93="","",IF(AND(D93="Formalização",E93="Concluído"),IF(COUNTIFS($B$2:$B$5001,B93,$E$2:$E$5001,"Em ajustes",$A$2:$A$5001,"&lt;"&amp;I93)&gt;0,1,0),0))</f>
        <v/>
      </c>
      <c r="L93" s="16" t="str">
        <f aca="false">IF(B93="","",IF(A93=_xlfn.MAXIFS($A$2:$A$5001,$B$2:$B$5001,B93,$I$2:$I$5001,I93),1,0))</f>
        <v/>
      </c>
    </row>
    <row r="94" customFormat="false" ht="15" hidden="false" customHeight="false" outlineLevel="0" collapsed="false">
      <c r="I94" s="15" t="str">
        <f aca="false">IF(A94="","",INT(A94))</f>
        <v/>
      </c>
      <c r="J94" s="16" t="str">
        <f aca="false">IF(B94="","",IF(A94=_xlfn.MINIFS($A$2:$A$5001,$B$2:$B$5001,B94),1,0))</f>
        <v/>
      </c>
      <c r="K94" s="16" t="str">
        <f aca="false">IF(B94="","",IF(AND(D94="Formalização",E94="Concluído"),IF(COUNTIFS($B$2:$B$5001,B94,$E$2:$E$5001,"Em ajustes",$A$2:$A$5001,"&lt;"&amp;I94)&gt;0,1,0),0))</f>
        <v/>
      </c>
      <c r="L94" s="16" t="str">
        <f aca="false">IF(B94="","",IF(A94=_xlfn.MAXIFS($A$2:$A$5001,$B$2:$B$5001,B94,$I$2:$I$5001,I94),1,0))</f>
        <v/>
      </c>
    </row>
    <row r="95" customFormat="false" ht="15" hidden="false" customHeight="false" outlineLevel="0" collapsed="false">
      <c r="I95" s="15" t="str">
        <f aca="false">IF(A95="","",INT(A95))</f>
        <v/>
      </c>
      <c r="J95" s="16" t="str">
        <f aca="false">IF(B95="","",IF(A95=_xlfn.MINIFS($A$2:$A$5001,$B$2:$B$5001,B95),1,0))</f>
        <v/>
      </c>
      <c r="K95" s="16" t="str">
        <f aca="false">IF(B95="","",IF(AND(D95="Formalização",E95="Concluído"),IF(COUNTIFS($B$2:$B$5001,B95,$E$2:$E$5001,"Em ajustes",$A$2:$A$5001,"&lt;"&amp;I95)&gt;0,1,0),0))</f>
        <v/>
      </c>
      <c r="L95" s="16" t="str">
        <f aca="false">IF(B95="","",IF(A95=_xlfn.MAXIFS($A$2:$A$5001,$B$2:$B$5001,B95,$I$2:$I$5001,I95),1,0))</f>
        <v/>
      </c>
    </row>
    <row r="96" customFormat="false" ht="15" hidden="false" customHeight="false" outlineLevel="0" collapsed="false">
      <c r="I96" s="15" t="str">
        <f aca="false">IF(A96="","",INT(A96))</f>
        <v/>
      </c>
      <c r="J96" s="16" t="str">
        <f aca="false">IF(B96="","",IF(A96=_xlfn.MINIFS($A$2:$A$5001,$B$2:$B$5001,B96),1,0))</f>
        <v/>
      </c>
      <c r="K96" s="16" t="str">
        <f aca="false">IF(B96="","",IF(AND(D96="Formalização",E96="Concluído"),IF(COUNTIFS($B$2:$B$5001,B96,$E$2:$E$5001,"Em ajustes",$A$2:$A$5001,"&lt;"&amp;I96)&gt;0,1,0),0))</f>
        <v/>
      </c>
      <c r="L96" s="16" t="str">
        <f aca="false">IF(B96="","",IF(A96=_xlfn.MAXIFS($A$2:$A$5001,$B$2:$B$5001,B96,$I$2:$I$5001,I96),1,0))</f>
        <v/>
      </c>
    </row>
    <row r="97" customFormat="false" ht="15" hidden="false" customHeight="false" outlineLevel="0" collapsed="false">
      <c r="I97" s="15" t="str">
        <f aca="false">IF(A97="","",INT(A97))</f>
        <v/>
      </c>
      <c r="J97" s="16" t="str">
        <f aca="false">IF(B97="","",IF(A97=_xlfn.MINIFS($A$2:$A$5001,$B$2:$B$5001,B97),1,0))</f>
        <v/>
      </c>
      <c r="K97" s="16" t="str">
        <f aca="false">IF(B97="","",IF(AND(D97="Formalização",E97="Concluído"),IF(COUNTIFS($B$2:$B$5001,B97,$E$2:$E$5001,"Em ajustes",$A$2:$A$5001,"&lt;"&amp;I97)&gt;0,1,0),0))</f>
        <v/>
      </c>
      <c r="L97" s="16" t="str">
        <f aca="false">IF(B97="","",IF(A97=_xlfn.MAXIFS($A$2:$A$5001,$B$2:$B$5001,B97,$I$2:$I$5001,I97),1,0))</f>
        <v/>
      </c>
    </row>
    <row r="98" customFormat="false" ht="15" hidden="false" customHeight="false" outlineLevel="0" collapsed="false">
      <c r="I98" s="15" t="str">
        <f aca="false">IF(A98="","",INT(A98))</f>
        <v/>
      </c>
      <c r="J98" s="16" t="str">
        <f aca="false">IF(B98="","",IF(A98=_xlfn.MINIFS($A$2:$A$5001,$B$2:$B$5001,B98),1,0))</f>
        <v/>
      </c>
      <c r="K98" s="16" t="str">
        <f aca="false">IF(B98="","",IF(AND(D98="Formalização",E98="Concluído"),IF(COUNTIFS($B$2:$B$5001,B98,$E$2:$E$5001,"Em ajustes",$A$2:$A$5001,"&lt;"&amp;I98)&gt;0,1,0),0))</f>
        <v/>
      </c>
      <c r="L98" s="16" t="str">
        <f aca="false">IF(B98="","",IF(A98=_xlfn.MAXIFS($A$2:$A$5001,$B$2:$B$5001,B98,$I$2:$I$5001,I98),1,0))</f>
        <v/>
      </c>
    </row>
    <row r="99" customFormat="false" ht="15" hidden="false" customHeight="false" outlineLevel="0" collapsed="false">
      <c r="I99" s="15" t="str">
        <f aca="false">IF(A99="","",INT(A99))</f>
        <v/>
      </c>
      <c r="J99" s="16" t="str">
        <f aca="false">IF(B99="","",IF(A99=_xlfn.MINIFS($A$2:$A$5001,$B$2:$B$5001,B99),1,0))</f>
        <v/>
      </c>
      <c r="K99" s="16" t="str">
        <f aca="false">IF(B99="","",IF(AND(D99="Formalização",E99="Concluído"),IF(COUNTIFS($B$2:$B$5001,B99,$E$2:$E$5001,"Em ajustes",$A$2:$A$5001,"&lt;"&amp;I99)&gt;0,1,0),0))</f>
        <v/>
      </c>
      <c r="L99" s="16" t="str">
        <f aca="false">IF(B99="","",IF(A99=_xlfn.MAXIFS($A$2:$A$5001,$B$2:$B$5001,B99,$I$2:$I$5001,I99),1,0))</f>
        <v/>
      </c>
    </row>
    <row r="100" customFormat="false" ht="15" hidden="false" customHeight="false" outlineLevel="0" collapsed="false">
      <c r="I100" s="15" t="str">
        <f aca="false">IF(A100="","",INT(A100))</f>
        <v/>
      </c>
      <c r="J100" s="16" t="str">
        <f aca="false">IF(B100="","",IF(A100=_xlfn.MINIFS($A$2:$A$5001,$B$2:$B$5001,B100),1,0))</f>
        <v/>
      </c>
      <c r="K100" s="16" t="str">
        <f aca="false">IF(B100="","",IF(AND(D100="Formalização",E100="Concluído"),IF(COUNTIFS($B$2:$B$5001,B100,$E$2:$E$5001,"Em ajustes",$A$2:$A$5001,"&lt;"&amp;I100)&gt;0,1,0),0))</f>
        <v/>
      </c>
      <c r="L100" s="16" t="str">
        <f aca="false">IF(B100="","",IF(A100=_xlfn.MAXIFS($A$2:$A$5001,$B$2:$B$5001,B100,$I$2:$I$5001,I100),1,0))</f>
        <v/>
      </c>
    </row>
    <row r="101" customFormat="false" ht="15" hidden="false" customHeight="false" outlineLevel="0" collapsed="false">
      <c r="I101" s="15" t="str">
        <f aca="false">IF(A101="","",INT(A101))</f>
        <v/>
      </c>
      <c r="J101" s="16" t="str">
        <f aca="false">IF(B101="","",IF(A101=_xlfn.MINIFS($A$2:$A$5001,$B$2:$B$5001,B101),1,0))</f>
        <v/>
      </c>
      <c r="K101" s="16" t="str">
        <f aca="false">IF(B101="","",IF(AND(D101="Formalização",E101="Concluído"),IF(COUNTIFS($B$2:$B$5001,B101,$E$2:$E$5001,"Em ajustes",$A$2:$A$5001,"&lt;"&amp;I101)&gt;0,1,0),0))</f>
        <v/>
      </c>
      <c r="L101" s="16" t="str">
        <f aca="false">IF(B101="","",IF(A101=_xlfn.MAXIFS($A$2:$A$5001,$B$2:$B$5001,B101,$I$2:$I$5001,I101),1,0))</f>
        <v/>
      </c>
    </row>
    <row r="102" customFormat="false" ht="15" hidden="false" customHeight="false" outlineLevel="0" collapsed="false">
      <c r="I102" s="15" t="str">
        <f aca="false">IF(A102="","",INT(A102))</f>
        <v/>
      </c>
      <c r="J102" s="16" t="str">
        <f aca="false">IF(B102="","",IF(A102=_xlfn.MINIFS($A$2:$A$5001,$B$2:$B$5001,B102),1,0))</f>
        <v/>
      </c>
      <c r="K102" s="16" t="str">
        <f aca="false">IF(B102="","",IF(AND(D102="Formalização",E102="Concluído"),IF(COUNTIFS($B$2:$B$5001,B102,$E$2:$E$5001,"Em ajustes",$A$2:$A$5001,"&lt;"&amp;I102)&gt;0,1,0),0))</f>
        <v/>
      </c>
      <c r="L102" s="16" t="str">
        <f aca="false">IF(B102="","",IF(A102=_xlfn.MAXIFS($A$2:$A$5001,$B$2:$B$5001,B102,$I$2:$I$5001,I102),1,0))</f>
        <v/>
      </c>
    </row>
    <row r="103" customFormat="false" ht="15" hidden="false" customHeight="false" outlineLevel="0" collapsed="false">
      <c r="I103" s="15" t="str">
        <f aca="false">IF(A103="","",INT(A103))</f>
        <v/>
      </c>
      <c r="J103" s="16" t="str">
        <f aca="false">IF(B103="","",IF(A103=_xlfn.MINIFS($A$2:$A$5001,$B$2:$B$5001,B103),1,0))</f>
        <v/>
      </c>
      <c r="K103" s="16" t="str">
        <f aca="false">IF(B103="","",IF(AND(D103="Formalização",E103="Concluído"),IF(COUNTIFS($B$2:$B$5001,B103,$E$2:$E$5001,"Em ajustes",$A$2:$A$5001,"&lt;"&amp;I103)&gt;0,1,0),0))</f>
        <v/>
      </c>
      <c r="L103" s="16" t="str">
        <f aca="false">IF(B103="","",IF(A103=_xlfn.MAXIFS($A$2:$A$5001,$B$2:$B$5001,B103,$I$2:$I$5001,I103),1,0))</f>
        <v/>
      </c>
    </row>
    <row r="104" customFormat="false" ht="15" hidden="false" customHeight="false" outlineLevel="0" collapsed="false">
      <c r="I104" s="15" t="str">
        <f aca="false">IF(A104="","",INT(A104))</f>
        <v/>
      </c>
      <c r="J104" s="16" t="str">
        <f aca="false">IF(B104="","",IF(A104=_xlfn.MINIFS($A$2:$A$5001,$B$2:$B$5001,B104),1,0))</f>
        <v/>
      </c>
      <c r="K104" s="16" t="str">
        <f aca="false">IF(B104="","",IF(AND(D104="Formalização",E104="Concluído"),IF(COUNTIFS($B$2:$B$5001,B104,$E$2:$E$5001,"Em ajustes",$A$2:$A$5001,"&lt;"&amp;I104)&gt;0,1,0),0))</f>
        <v/>
      </c>
      <c r="L104" s="16" t="str">
        <f aca="false">IF(B104="","",IF(A104=_xlfn.MAXIFS($A$2:$A$5001,$B$2:$B$5001,B104,$I$2:$I$5001,I104),1,0))</f>
        <v/>
      </c>
    </row>
    <row r="105" customFormat="false" ht="15" hidden="false" customHeight="false" outlineLevel="0" collapsed="false">
      <c r="I105" s="15" t="str">
        <f aca="false">IF(A105="","",INT(A105))</f>
        <v/>
      </c>
      <c r="J105" s="16" t="str">
        <f aca="false">IF(B105="","",IF(A105=_xlfn.MINIFS($A$2:$A$5001,$B$2:$B$5001,B105),1,0))</f>
        <v/>
      </c>
      <c r="K105" s="16" t="str">
        <f aca="false">IF(B105="","",IF(AND(D105="Formalização",E105="Concluído"),IF(COUNTIFS($B$2:$B$5001,B105,$E$2:$E$5001,"Em ajustes",$A$2:$A$5001,"&lt;"&amp;I105)&gt;0,1,0),0))</f>
        <v/>
      </c>
      <c r="L105" s="16" t="str">
        <f aca="false">IF(B105="","",IF(A105=_xlfn.MAXIFS($A$2:$A$5001,$B$2:$B$5001,B105,$I$2:$I$5001,I105),1,0))</f>
        <v/>
      </c>
    </row>
    <row r="106" customFormat="false" ht="15" hidden="false" customHeight="false" outlineLevel="0" collapsed="false">
      <c r="I106" s="15" t="str">
        <f aca="false">IF(A106="","",INT(A106))</f>
        <v/>
      </c>
      <c r="J106" s="16" t="str">
        <f aca="false">IF(B106="","",IF(A106=_xlfn.MINIFS($A$2:$A$5001,$B$2:$B$5001,B106),1,0))</f>
        <v/>
      </c>
      <c r="K106" s="16" t="str">
        <f aca="false">IF(B106="","",IF(AND(D106="Formalização",E106="Concluído"),IF(COUNTIFS($B$2:$B$5001,B106,$E$2:$E$5001,"Em ajustes",$A$2:$A$5001,"&lt;"&amp;I106)&gt;0,1,0),0))</f>
        <v/>
      </c>
      <c r="L106" s="16" t="str">
        <f aca="false">IF(B106="","",IF(A106=_xlfn.MAXIFS($A$2:$A$5001,$B$2:$B$5001,B106,$I$2:$I$5001,I106),1,0))</f>
        <v/>
      </c>
    </row>
    <row r="107" customFormat="false" ht="15" hidden="false" customHeight="false" outlineLevel="0" collapsed="false">
      <c r="I107" s="15" t="str">
        <f aca="false">IF(A107="","",INT(A107))</f>
        <v/>
      </c>
      <c r="J107" s="16" t="str">
        <f aca="false">IF(B107="","",IF(A107=_xlfn.MINIFS($A$2:$A$5001,$B$2:$B$5001,B107),1,0))</f>
        <v/>
      </c>
      <c r="K107" s="16" t="str">
        <f aca="false">IF(B107="","",IF(AND(D107="Formalização",E107="Concluído"),IF(COUNTIFS($B$2:$B$5001,B107,$E$2:$E$5001,"Em ajustes",$A$2:$A$5001,"&lt;"&amp;I107)&gt;0,1,0),0))</f>
        <v/>
      </c>
      <c r="L107" s="16" t="str">
        <f aca="false">IF(B107="","",IF(A107=_xlfn.MAXIFS($A$2:$A$5001,$B$2:$B$5001,B107,$I$2:$I$5001,I107),1,0))</f>
        <v/>
      </c>
    </row>
    <row r="108" customFormat="false" ht="15" hidden="false" customHeight="false" outlineLevel="0" collapsed="false">
      <c r="I108" s="15" t="str">
        <f aca="false">IF(A108="","",INT(A108))</f>
        <v/>
      </c>
      <c r="J108" s="16" t="str">
        <f aca="false">IF(B108="","",IF(A108=_xlfn.MINIFS($A$2:$A$5001,$B$2:$B$5001,B108),1,0))</f>
        <v/>
      </c>
      <c r="K108" s="16" t="str">
        <f aca="false">IF(B108="","",IF(AND(D108="Formalização",E108="Concluído"),IF(COUNTIFS($B$2:$B$5001,B108,$E$2:$E$5001,"Em ajustes",$A$2:$A$5001,"&lt;"&amp;I108)&gt;0,1,0),0))</f>
        <v/>
      </c>
      <c r="L108" s="16" t="str">
        <f aca="false">IF(B108="","",IF(A108=_xlfn.MAXIFS($A$2:$A$5001,$B$2:$B$5001,B108,$I$2:$I$5001,I108),1,0))</f>
        <v/>
      </c>
    </row>
    <row r="109" customFormat="false" ht="15" hidden="false" customHeight="false" outlineLevel="0" collapsed="false">
      <c r="I109" s="15" t="str">
        <f aca="false">IF(A109="","",INT(A109))</f>
        <v/>
      </c>
      <c r="J109" s="16" t="str">
        <f aca="false">IF(B109="","",IF(A109=_xlfn.MINIFS($A$2:$A$5001,$B$2:$B$5001,B109),1,0))</f>
        <v/>
      </c>
      <c r="K109" s="16" t="str">
        <f aca="false">IF(B109="","",IF(AND(D109="Formalização",E109="Concluído"),IF(COUNTIFS($B$2:$B$5001,B109,$E$2:$E$5001,"Em ajustes",$A$2:$A$5001,"&lt;"&amp;I109)&gt;0,1,0),0))</f>
        <v/>
      </c>
      <c r="L109" s="16" t="str">
        <f aca="false">IF(B109="","",IF(A109=_xlfn.MAXIFS($A$2:$A$5001,$B$2:$B$5001,B109,$I$2:$I$5001,I109),1,0))</f>
        <v/>
      </c>
    </row>
    <row r="110" customFormat="false" ht="15" hidden="false" customHeight="false" outlineLevel="0" collapsed="false">
      <c r="I110" s="15" t="str">
        <f aca="false">IF(A110="","",INT(A110))</f>
        <v/>
      </c>
      <c r="J110" s="16" t="str">
        <f aca="false">IF(B110="","",IF(A110=_xlfn.MINIFS($A$2:$A$5001,$B$2:$B$5001,B110),1,0))</f>
        <v/>
      </c>
      <c r="K110" s="16" t="str">
        <f aca="false">IF(B110="","",IF(AND(D110="Formalização",E110="Concluído"),IF(COUNTIFS($B$2:$B$5001,B110,$E$2:$E$5001,"Em ajustes",$A$2:$A$5001,"&lt;"&amp;I110)&gt;0,1,0),0))</f>
        <v/>
      </c>
      <c r="L110" s="16" t="str">
        <f aca="false">IF(B110="","",IF(A110=_xlfn.MAXIFS($A$2:$A$5001,$B$2:$B$5001,B110,$I$2:$I$5001,I110),1,0))</f>
        <v/>
      </c>
    </row>
    <row r="111" customFormat="false" ht="15" hidden="false" customHeight="false" outlineLevel="0" collapsed="false">
      <c r="I111" s="15" t="str">
        <f aca="false">IF(A111="","",INT(A111))</f>
        <v/>
      </c>
      <c r="J111" s="16" t="str">
        <f aca="false">IF(B111="","",IF(A111=_xlfn.MINIFS($A$2:$A$5001,$B$2:$B$5001,B111),1,0))</f>
        <v/>
      </c>
      <c r="K111" s="16" t="str">
        <f aca="false">IF(B111="","",IF(AND(D111="Formalização",E111="Concluído"),IF(COUNTIFS($B$2:$B$5001,B111,$E$2:$E$5001,"Em ajustes",$A$2:$A$5001,"&lt;"&amp;I111)&gt;0,1,0),0))</f>
        <v/>
      </c>
      <c r="L111" s="16" t="str">
        <f aca="false">IF(B111="","",IF(A111=_xlfn.MAXIFS($A$2:$A$5001,$B$2:$B$5001,B111,$I$2:$I$5001,I111),1,0))</f>
        <v/>
      </c>
    </row>
    <row r="112" customFormat="false" ht="15" hidden="false" customHeight="false" outlineLevel="0" collapsed="false">
      <c r="I112" s="15" t="str">
        <f aca="false">IF(A112="","",INT(A112))</f>
        <v/>
      </c>
      <c r="J112" s="16" t="str">
        <f aca="false">IF(B112="","",IF(A112=_xlfn.MINIFS($A$2:$A$5001,$B$2:$B$5001,B112),1,0))</f>
        <v/>
      </c>
      <c r="K112" s="16" t="str">
        <f aca="false">IF(B112="","",IF(AND(D112="Formalização",E112="Concluído"),IF(COUNTIFS($B$2:$B$5001,B112,$E$2:$E$5001,"Em ajustes",$A$2:$A$5001,"&lt;"&amp;I112)&gt;0,1,0),0))</f>
        <v/>
      </c>
      <c r="L112" s="16" t="str">
        <f aca="false">IF(B112="","",IF(A112=_xlfn.MAXIFS($A$2:$A$5001,$B$2:$B$5001,B112,$I$2:$I$5001,I112),1,0))</f>
        <v/>
      </c>
    </row>
    <row r="113" customFormat="false" ht="15" hidden="false" customHeight="false" outlineLevel="0" collapsed="false">
      <c r="I113" s="15" t="str">
        <f aca="false">IF(A113="","",INT(A113))</f>
        <v/>
      </c>
      <c r="J113" s="16" t="str">
        <f aca="false">IF(B113="","",IF(A113=_xlfn.MINIFS($A$2:$A$5001,$B$2:$B$5001,B113),1,0))</f>
        <v/>
      </c>
      <c r="K113" s="16" t="str">
        <f aca="false">IF(B113="","",IF(AND(D113="Formalização",E113="Concluído"),IF(COUNTIFS($B$2:$B$5001,B113,$E$2:$E$5001,"Em ajustes",$A$2:$A$5001,"&lt;"&amp;I113)&gt;0,1,0),0))</f>
        <v/>
      </c>
      <c r="L113" s="16" t="str">
        <f aca="false">IF(B113="","",IF(A113=_xlfn.MAXIFS($A$2:$A$5001,$B$2:$B$5001,B113,$I$2:$I$5001,I113),1,0))</f>
        <v/>
      </c>
    </row>
    <row r="114" customFormat="false" ht="15" hidden="false" customHeight="false" outlineLevel="0" collapsed="false">
      <c r="I114" s="15" t="str">
        <f aca="false">IF(A114="","",INT(A114))</f>
        <v/>
      </c>
      <c r="J114" s="16" t="str">
        <f aca="false">IF(B114="","",IF(A114=_xlfn.MINIFS($A$2:$A$5001,$B$2:$B$5001,B114),1,0))</f>
        <v/>
      </c>
      <c r="K114" s="16" t="str">
        <f aca="false">IF(B114="","",IF(AND(D114="Formalização",E114="Concluído"),IF(COUNTIFS($B$2:$B$5001,B114,$E$2:$E$5001,"Em ajustes",$A$2:$A$5001,"&lt;"&amp;I114)&gt;0,1,0),0))</f>
        <v/>
      </c>
      <c r="L114" s="16" t="str">
        <f aca="false">IF(B114="","",IF(A114=_xlfn.MAXIFS($A$2:$A$5001,$B$2:$B$5001,B114,$I$2:$I$5001,I114),1,0))</f>
        <v/>
      </c>
    </row>
    <row r="115" customFormat="false" ht="15" hidden="false" customHeight="false" outlineLevel="0" collapsed="false">
      <c r="I115" s="15" t="str">
        <f aca="false">IF(A115="","",INT(A115))</f>
        <v/>
      </c>
      <c r="J115" s="16" t="str">
        <f aca="false">IF(B115="","",IF(A115=_xlfn.MINIFS($A$2:$A$5001,$B$2:$B$5001,B115),1,0))</f>
        <v/>
      </c>
      <c r="K115" s="16" t="str">
        <f aca="false">IF(B115="","",IF(AND(D115="Formalização",E115="Concluído"),IF(COUNTIFS($B$2:$B$5001,B115,$E$2:$E$5001,"Em ajustes",$A$2:$A$5001,"&lt;"&amp;I115)&gt;0,1,0),0))</f>
        <v/>
      </c>
      <c r="L115" s="16" t="str">
        <f aca="false">IF(B115="","",IF(A115=_xlfn.MAXIFS($A$2:$A$5001,$B$2:$B$5001,B115,$I$2:$I$5001,I115),1,0))</f>
        <v/>
      </c>
    </row>
    <row r="116" customFormat="false" ht="15" hidden="false" customHeight="false" outlineLevel="0" collapsed="false">
      <c r="I116" s="15" t="str">
        <f aca="false">IF(A116="","",INT(A116))</f>
        <v/>
      </c>
      <c r="J116" s="16" t="str">
        <f aca="false">IF(B116="","",IF(A116=_xlfn.MINIFS($A$2:$A$5001,$B$2:$B$5001,B116),1,0))</f>
        <v/>
      </c>
      <c r="K116" s="16" t="str">
        <f aca="false">IF(B116="","",IF(AND(D116="Formalização",E116="Concluído"),IF(COUNTIFS($B$2:$B$5001,B116,$E$2:$E$5001,"Em ajustes",$A$2:$A$5001,"&lt;"&amp;I116)&gt;0,1,0),0))</f>
        <v/>
      </c>
      <c r="L116" s="16" t="str">
        <f aca="false">IF(B116="","",IF(A116=_xlfn.MAXIFS($A$2:$A$5001,$B$2:$B$5001,B116,$I$2:$I$5001,I116),1,0))</f>
        <v/>
      </c>
    </row>
    <row r="117" customFormat="false" ht="15" hidden="false" customHeight="false" outlineLevel="0" collapsed="false">
      <c r="I117" s="15" t="str">
        <f aca="false">IF(A117="","",INT(A117))</f>
        <v/>
      </c>
      <c r="J117" s="16" t="str">
        <f aca="false">IF(B117="","",IF(A117=_xlfn.MINIFS($A$2:$A$5001,$B$2:$B$5001,B117),1,0))</f>
        <v/>
      </c>
      <c r="K117" s="16" t="str">
        <f aca="false">IF(B117="","",IF(AND(D117="Formalização",E117="Concluído"),IF(COUNTIFS($B$2:$B$5001,B117,$E$2:$E$5001,"Em ajustes",$A$2:$A$5001,"&lt;"&amp;I117)&gt;0,1,0),0))</f>
        <v/>
      </c>
      <c r="L117" s="16" t="str">
        <f aca="false">IF(B117="","",IF(A117=_xlfn.MAXIFS($A$2:$A$5001,$B$2:$B$5001,B117,$I$2:$I$5001,I117),1,0))</f>
        <v/>
      </c>
    </row>
    <row r="118" customFormat="false" ht="15" hidden="false" customHeight="false" outlineLevel="0" collapsed="false">
      <c r="I118" s="15" t="str">
        <f aca="false">IF(A118="","",INT(A118))</f>
        <v/>
      </c>
      <c r="J118" s="16" t="str">
        <f aca="false">IF(B118="","",IF(A118=_xlfn.MINIFS($A$2:$A$5001,$B$2:$B$5001,B118),1,0))</f>
        <v/>
      </c>
      <c r="K118" s="16" t="str">
        <f aca="false">IF(B118="","",IF(AND(D118="Formalização",E118="Concluído"),IF(COUNTIFS($B$2:$B$5001,B118,$E$2:$E$5001,"Em ajustes",$A$2:$A$5001,"&lt;"&amp;I118)&gt;0,1,0),0))</f>
        <v/>
      </c>
      <c r="L118" s="16" t="str">
        <f aca="false">IF(B118="","",IF(A118=_xlfn.MAXIFS($A$2:$A$5001,$B$2:$B$5001,B118,$I$2:$I$5001,I118),1,0))</f>
        <v/>
      </c>
    </row>
    <row r="119" customFormat="false" ht="15" hidden="false" customHeight="false" outlineLevel="0" collapsed="false">
      <c r="I119" s="15" t="str">
        <f aca="false">IF(A119="","",INT(A119))</f>
        <v/>
      </c>
      <c r="J119" s="16" t="str">
        <f aca="false">IF(B119="","",IF(A119=_xlfn.MINIFS($A$2:$A$5001,$B$2:$B$5001,B119),1,0))</f>
        <v/>
      </c>
      <c r="K119" s="16" t="str">
        <f aca="false">IF(B119="","",IF(AND(D119="Formalização",E119="Concluído"),IF(COUNTIFS($B$2:$B$5001,B119,$E$2:$E$5001,"Em ajustes",$A$2:$A$5001,"&lt;"&amp;I119)&gt;0,1,0),0))</f>
        <v/>
      </c>
      <c r="L119" s="16" t="str">
        <f aca="false">IF(B119="","",IF(A119=_xlfn.MAXIFS($A$2:$A$5001,$B$2:$B$5001,B119,$I$2:$I$5001,I119),1,0))</f>
        <v/>
      </c>
    </row>
    <row r="120" customFormat="false" ht="15" hidden="false" customHeight="false" outlineLevel="0" collapsed="false">
      <c r="I120" s="15" t="str">
        <f aca="false">IF(A120="","",INT(A120))</f>
        <v/>
      </c>
      <c r="J120" s="16" t="str">
        <f aca="false">IF(B120="","",IF(A120=_xlfn.MINIFS($A$2:$A$5001,$B$2:$B$5001,B120),1,0))</f>
        <v/>
      </c>
      <c r="K120" s="16" t="str">
        <f aca="false">IF(B120="","",IF(AND(D120="Formalização",E120="Concluído"),IF(COUNTIFS($B$2:$B$5001,B120,$E$2:$E$5001,"Em ajustes",$A$2:$A$5001,"&lt;"&amp;I120)&gt;0,1,0),0))</f>
        <v/>
      </c>
      <c r="L120" s="16" t="str">
        <f aca="false">IF(B120="","",IF(A120=_xlfn.MAXIFS($A$2:$A$5001,$B$2:$B$5001,B120,$I$2:$I$5001,I120),1,0))</f>
        <v/>
      </c>
    </row>
    <row r="121" customFormat="false" ht="15" hidden="false" customHeight="false" outlineLevel="0" collapsed="false">
      <c r="I121" s="15" t="str">
        <f aca="false">IF(A121="","",INT(A121))</f>
        <v/>
      </c>
      <c r="J121" s="16" t="str">
        <f aca="false">IF(B121="","",IF(A121=_xlfn.MINIFS($A$2:$A$5001,$B$2:$B$5001,B121),1,0))</f>
        <v/>
      </c>
      <c r="K121" s="16" t="str">
        <f aca="false">IF(B121="","",IF(AND(D121="Formalização",E121="Concluído"),IF(COUNTIFS($B$2:$B$5001,B121,$E$2:$E$5001,"Em ajustes",$A$2:$A$5001,"&lt;"&amp;I121)&gt;0,1,0),0))</f>
        <v/>
      </c>
      <c r="L121" s="16" t="str">
        <f aca="false">IF(B121="","",IF(A121=_xlfn.MAXIFS($A$2:$A$5001,$B$2:$B$5001,B121,$I$2:$I$5001,I121),1,0))</f>
        <v/>
      </c>
    </row>
    <row r="122" customFormat="false" ht="15" hidden="false" customHeight="false" outlineLevel="0" collapsed="false">
      <c r="I122" s="15" t="str">
        <f aca="false">IF(A122="","",INT(A122))</f>
        <v/>
      </c>
      <c r="J122" s="16" t="str">
        <f aca="false">IF(B122="","",IF(A122=_xlfn.MINIFS($A$2:$A$5001,$B$2:$B$5001,B122),1,0))</f>
        <v/>
      </c>
      <c r="K122" s="16" t="str">
        <f aca="false">IF(B122="","",IF(AND(D122="Formalização",E122="Concluído"),IF(COUNTIFS($B$2:$B$5001,B122,$E$2:$E$5001,"Em ajustes",$A$2:$A$5001,"&lt;"&amp;I122)&gt;0,1,0),0))</f>
        <v/>
      </c>
      <c r="L122" s="16" t="str">
        <f aca="false">IF(B122="","",IF(A122=_xlfn.MAXIFS($A$2:$A$5001,$B$2:$B$5001,B122,$I$2:$I$5001,I122),1,0))</f>
        <v/>
      </c>
    </row>
    <row r="123" customFormat="false" ht="15" hidden="false" customHeight="false" outlineLevel="0" collapsed="false">
      <c r="I123" s="15" t="str">
        <f aca="false">IF(A123="","",INT(A123))</f>
        <v/>
      </c>
      <c r="J123" s="16" t="str">
        <f aca="false">IF(B123="","",IF(A123=_xlfn.MINIFS($A$2:$A$5001,$B$2:$B$5001,B123),1,0))</f>
        <v/>
      </c>
      <c r="K123" s="16" t="str">
        <f aca="false">IF(B123="","",IF(AND(D123="Formalização",E123="Concluído"),IF(COUNTIFS($B$2:$B$5001,B123,$E$2:$E$5001,"Em ajustes",$A$2:$A$5001,"&lt;"&amp;I123)&gt;0,1,0),0))</f>
        <v/>
      </c>
      <c r="L123" s="16" t="str">
        <f aca="false">IF(B123="","",IF(A123=_xlfn.MAXIFS($A$2:$A$5001,$B$2:$B$5001,B123,$I$2:$I$5001,I123),1,0))</f>
        <v/>
      </c>
    </row>
    <row r="124" customFormat="false" ht="15" hidden="false" customHeight="false" outlineLevel="0" collapsed="false">
      <c r="I124" s="15" t="str">
        <f aca="false">IF(A124="","",INT(A124))</f>
        <v/>
      </c>
      <c r="J124" s="16" t="str">
        <f aca="false">IF(B124="","",IF(A124=_xlfn.MINIFS($A$2:$A$5001,$B$2:$B$5001,B124),1,0))</f>
        <v/>
      </c>
      <c r="K124" s="16" t="str">
        <f aca="false">IF(B124="","",IF(AND(D124="Formalização",E124="Concluído"),IF(COUNTIFS($B$2:$B$5001,B124,$E$2:$E$5001,"Em ajustes",$A$2:$A$5001,"&lt;"&amp;I124)&gt;0,1,0),0))</f>
        <v/>
      </c>
      <c r="L124" s="16" t="str">
        <f aca="false">IF(B124="","",IF(A124=_xlfn.MAXIFS($A$2:$A$5001,$B$2:$B$5001,B124,$I$2:$I$5001,I124),1,0))</f>
        <v/>
      </c>
    </row>
    <row r="125" customFormat="false" ht="15" hidden="false" customHeight="false" outlineLevel="0" collapsed="false">
      <c r="I125" s="15" t="str">
        <f aca="false">IF(A125="","",INT(A125))</f>
        <v/>
      </c>
      <c r="J125" s="16" t="str">
        <f aca="false">IF(B125="","",IF(A125=_xlfn.MINIFS($A$2:$A$5001,$B$2:$B$5001,B125),1,0))</f>
        <v/>
      </c>
      <c r="K125" s="16" t="str">
        <f aca="false">IF(B125="","",IF(AND(D125="Formalização",E125="Concluído"),IF(COUNTIFS($B$2:$B$5001,B125,$E$2:$E$5001,"Em ajustes",$A$2:$A$5001,"&lt;"&amp;I125)&gt;0,1,0),0))</f>
        <v/>
      </c>
      <c r="L125" s="16" t="str">
        <f aca="false">IF(B125="","",IF(A125=_xlfn.MAXIFS($A$2:$A$5001,$B$2:$B$5001,B125,$I$2:$I$5001,I125),1,0))</f>
        <v/>
      </c>
    </row>
    <row r="126" customFormat="false" ht="15" hidden="false" customHeight="false" outlineLevel="0" collapsed="false">
      <c r="I126" s="15" t="str">
        <f aca="false">IF(A126="","",INT(A126))</f>
        <v/>
      </c>
      <c r="J126" s="16" t="str">
        <f aca="false">IF(B126="","",IF(A126=_xlfn.MINIFS($A$2:$A$5001,$B$2:$B$5001,B126),1,0))</f>
        <v/>
      </c>
      <c r="K126" s="16" t="str">
        <f aca="false">IF(B126="","",IF(AND(D126="Formalização",E126="Concluído"),IF(COUNTIFS($B$2:$B$5001,B126,$E$2:$E$5001,"Em ajustes",$A$2:$A$5001,"&lt;"&amp;I126)&gt;0,1,0),0))</f>
        <v/>
      </c>
      <c r="L126" s="16" t="str">
        <f aca="false">IF(B126="","",IF(A126=_xlfn.MAXIFS($A$2:$A$5001,$B$2:$B$5001,B126,$I$2:$I$5001,I126),1,0))</f>
        <v/>
      </c>
    </row>
    <row r="127" customFormat="false" ht="15" hidden="false" customHeight="false" outlineLevel="0" collapsed="false">
      <c r="I127" s="15" t="str">
        <f aca="false">IF(A127="","",INT(A127))</f>
        <v/>
      </c>
      <c r="J127" s="16" t="str">
        <f aca="false">IF(B127="","",IF(A127=_xlfn.MINIFS($A$2:$A$5001,$B$2:$B$5001,B127),1,0))</f>
        <v/>
      </c>
      <c r="K127" s="16" t="str">
        <f aca="false">IF(B127="","",IF(AND(D127="Formalização",E127="Concluído"),IF(COUNTIFS($B$2:$B$5001,B127,$E$2:$E$5001,"Em ajustes",$A$2:$A$5001,"&lt;"&amp;I127)&gt;0,1,0),0))</f>
        <v/>
      </c>
      <c r="L127" s="16" t="str">
        <f aca="false">IF(B127="","",IF(A127=_xlfn.MAXIFS($A$2:$A$5001,$B$2:$B$5001,B127,$I$2:$I$5001,I127),1,0))</f>
        <v/>
      </c>
    </row>
    <row r="128" customFormat="false" ht="15" hidden="false" customHeight="false" outlineLevel="0" collapsed="false">
      <c r="I128" s="15" t="str">
        <f aca="false">IF(A128="","",INT(A128))</f>
        <v/>
      </c>
      <c r="J128" s="16" t="str">
        <f aca="false">IF(B128="","",IF(A128=_xlfn.MINIFS($A$2:$A$5001,$B$2:$B$5001,B128),1,0))</f>
        <v/>
      </c>
      <c r="K128" s="16" t="str">
        <f aca="false">IF(B128="","",IF(AND(D128="Formalização",E128="Concluído"),IF(COUNTIFS($B$2:$B$5001,B128,$E$2:$E$5001,"Em ajustes",$A$2:$A$5001,"&lt;"&amp;I128)&gt;0,1,0),0))</f>
        <v/>
      </c>
      <c r="L128" s="16" t="str">
        <f aca="false">IF(B128="","",IF(A128=_xlfn.MAXIFS($A$2:$A$5001,$B$2:$B$5001,B128,$I$2:$I$5001,I128),1,0))</f>
        <v/>
      </c>
    </row>
    <row r="129" customFormat="false" ht="15" hidden="false" customHeight="false" outlineLevel="0" collapsed="false">
      <c r="I129" s="15" t="str">
        <f aca="false">IF(A129="","",INT(A129))</f>
        <v/>
      </c>
      <c r="J129" s="16" t="str">
        <f aca="false">IF(B129="","",IF(A129=_xlfn.MINIFS($A$2:$A$5001,$B$2:$B$5001,B129),1,0))</f>
        <v/>
      </c>
      <c r="K129" s="16" t="str">
        <f aca="false">IF(B129="","",IF(AND(D129="Formalização",E129="Concluído"),IF(COUNTIFS($B$2:$B$5001,B129,$E$2:$E$5001,"Em ajustes",$A$2:$A$5001,"&lt;"&amp;I129)&gt;0,1,0),0))</f>
        <v/>
      </c>
      <c r="L129" s="16" t="str">
        <f aca="false">IF(B129="","",IF(A129=_xlfn.MAXIFS($A$2:$A$5001,$B$2:$B$5001,B129,$I$2:$I$5001,I129),1,0))</f>
        <v/>
      </c>
    </row>
    <row r="130" customFormat="false" ht="15" hidden="false" customHeight="false" outlineLevel="0" collapsed="false">
      <c r="I130" s="15" t="str">
        <f aca="false">IF(A130="","",INT(A130))</f>
        <v/>
      </c>
      <c r="J130" s="16" t="str">
        <f aca="false">IF(B130="","",IF(A130=_xlfn.MINIFS($A$2:$A$5001,$B$2:$B$5001,B130),1,0))</f>
        <v/>
      </c>
      <c r="K130" s="16" t="str">
        <f aca="false">IF(B130="","",IF(AND(D130="Formalização",E130="Concluído"),IF(COUNTIFS($B$2:$B$5001,B130,$E$2:$E$5001,"Em ajustes",$A$2:$A$5001,"&lt;"&amp;I130)&gt;0,1,0),0))</f>
        <v/>
      </c>
      <c r="L130" s="16" t="str">
        <f aca="false">IF(B130="","",IF(A130=_xlfn.MAXIFS($A$2:$A$5001,$B$2:$B$5001,B130,$I$2:$I$5001,I130),1,0))</f>
        <v/>
      </c>
    </row>
    <row r="131" customFormat="false" ht="15" hidden="false" customHeight="false" outlineLevel="0" collapsed="false">
      <c r="I131" s="15" t="str">
        <f aca="false">IF(A131="","",INT(A131))</f>
        <v/>
      </c>
      <c r="J131" s="16" t="str">
        <f aca="false">IF(B131="","",IF(A131=_xlfn.MINIFS($A$2:$A$5001,$B$2:$B$5001,B131),1,0))</f>
        <v/>
      </c>
      <c r="K131" s="16" t="str">
        <f aca="false">IF(B131="","",IF(AND(D131="Formalização",E131="Concluído"),IF(COUNTIFS($B$2:$B$5001,B131,$E$2:$E$5001,"Em ajustes",$A$2:$A$5001,"&lt;"&amp;I131)&gt;0,1,0),0))</f>
        <v/>
      </c>
      <c r="L131" s="16" t="str">
        <f aca="false">IF(B131="","",IF(A131=_xlfn.MAXIFS($A$2:$A$5001,$B$2:$B$5001,B131,$I$2:$I$5001,I131),1,0))</f>
        <v/>
      </c>
    </row>
    <row r="132" customFormat="false" ht="15" hidden="false" customHeight="false" outlineLevel="0" collapsed="false">
      <c r="I132" s="15" t="str">
        <f aca="false">IF(A132="","",INT(A132))</f>
        <v/>
      </c>
      <c r="J132" s="16" t="str">
        <f aca="false">IF(B132="","",IF(A132=_xlfn.MINIFS($A$2:$A$5001,$B$2:$B$5001,B132),1,0))</f>
        <v/>
      </c>
      <c r="K132" s="16" t="str">
        <f aca="false">IF(B132="","",IF(AND(D132="Formalização",E132="Concluído"),IF(COUNTIFS($B$2:$B$5001,B132,$E$2:$E$5001,"Em ajustes",$A$2:$A$5001,"&lt;"&amp;I132)&gt;0,1,0),0))</f>
        <v/>
      </c>
      <c r="L132" s="16" t="str">
        <f aca="false">IF(B132="","",IF(A132=_xlfn.MAXIFS($A$2:$A$5001,$B$2:$B$5001,B132,$I$2:$I$5001,I132),1,0))</f>
        <v/>
      </c>
    </row>
    <row r="133" customFormat="false" ht="15" hidden="false" customHeight="false" outlineLevel="0" collapsed="false">
      <c r="I133" s="15" t="str">
        <f aca="false">IF(A133="","",INT(A133))</f>
        <v/>
      </c>
      <c r="J133" s="16" t="str">
        <f aca="false">IF(B133="","",IF(A133=_xlfn.MINIFS($A$2:$A$5001,$B$2:$B$5001,B133),1,0))</f>
        <v/>
      </c>
      <c r="K133" s="16" t="str">
        <f aca="false">IF(B133="","",IF(AND(D133="Formalização",E133="Concluído"),IF(COUNTIFS($B$2:$B$5001,B133,$E$2:$E$5001,"Em ajustes",$A$2:$A$5001,"&lt;"&amp;I133)&gt;0,1,0),0))</f>
        <v/>
      </c>
      <c r="L133" s="16" t="str">
        <f aca="false">IF(B133="","",IF(A133=_xlfn.MAXIFS($A$2:$A$5001,$B$2:$B$5001,B133,$I$2:$I$5001,I133),1,0))</f>
        <v/>
      </c>
    </row>
    <row r="134" customFormat="false" ht="15" hidden="false" customHeight="false" outlineLevel="0" collapsed="false">
      <c r="I134" s="15" t="str">
        <f aca="false">IF(A134="","",INT(A134))</f>
        <v/>
      </c>
      <c r="J134" s="16" t="str">
        <f aca="false">IF(B134="","",IF(A134=_xlfn.MINIFS($A$2:$A$5001,$B$2:$B$5001,B134),1,0))</f>
        <v/>
      </c>
      <c r="K134" s="16" t="str">
        <f aca="false">IF(B134="","",IF(AND(D134="Formalização",E134="Concluído"),IF(COUNTIFS($B$2:$B$5001,B134,$E$2:$E$5001,"Em ajustes",$A$2:$A$5001,"&lt;"&amp;I134)&gt;0,1,0),0))</f>
        <v/>
      </c>
      <c r="L134" s="16" t="str">
        <f aca="false">IF(B134="","",IF(A134=_xlfn.MAXIFS($A$2:$A$5001,$B$2:$B$5001,B134,$I$2:$I$5001,I134),1,0))</f>
        <v/>
      </c>
    </row>
    <row r="135" customFormat="false" ht="15" hidden="false" customHeight="false" outlineLevel="0" collapsed="false">
      <c r="I135" s="15" t="str">
        <f aca="false">IF(A135="","",INT(A135))</f>
        <v/>
      </c>
      <c r="J135" s="16" t="str">
        <f aca="false">IF(B135="","",IF(A135=_xlfn.MINIFS($A$2:$A$5001,$B$2:$B$5001,B135),1,0))</f>
        <v/>
      </c>
      <c r="K135" s="16" t="str">
        <f aca="false">IF(B135="","",IF(AND(D135="Formalização",E135="Concluído"),IF(COUNTIFS($B$2:$B$5001,B135,$E$2:$E$5001,"Em ajustes",$A$2:$A$5001,"&lt;"&amp;I135)&gt;0,1,0),0))</f>
        <v/>
      </c>
      <c r="L135" s="16" t="str">
        <f aca="false">IF(B135="","",IF(A135=_xlfn.MAXIFS($A$2:$A$5001,$B$2:$B$5001,B135,$I$2:$I$5001,I135),1,0))</f>
        <v/>
      </c>
    </row>
    <row r="136" customFormat="false" ht="15" hidden="false" customHeight="false" outlineLevel="0" collapsed="false">
      <c r="I136" s="15" t="str">
        <f aca="false">IF(A136="","",INT(A136))</f>
        <v/>
      </c>
      <c r="J136" s="16" t="str">
        <f aca="false">IF(B136="","",IF(A136=_xlfn.MINIFS($A$2:$A$5001,$B$2:$B$5001,B136),1,0))</f>
        <v/>
      </c>
      <c r="K136" s="16" t="str">
        <f aca="false">IF(B136="","",IF(AND(D136="Formalização",E136="Concluído"),IF(COUNTIFS($B$2:$B$5001,B136,$E$2:$E$5001,"Em ajustes",$A$2:$A$5001,"&lt;"&amp;I136)&gt;0,1,0),0))</f>
        <v/>
      </c>
      <c r="L136" s="16" t="str">
        <f aca="false">IF(B136="","",IF(A136=_xlfn.MAXIFS($A$2:$A$5001,$B$2:$B$5001,B136,$I$2:$I$5001,I136),1,0))</f>
        <v/>
      </c>
    </row>
    <row r="137" customFormat="false" ht="15" hidden="false" customHeight="false" outlineLevel="0" collapsed="false">
      <c r="I137" s="15" t="str">
        <f aca="false">IF(A137="","",INT(A137))</f>
        <v/>
      </c>
      <c r="J137" s="16" t="str">
        <f aca="false">IF(B137="","",IF(A137=_xlfn.MINIFS($A$2:$A$5001,$B$2:$B$5001,B137),1,0))</f>
        <v/>
      </c>
      <c r="K137" s="16" t="str">
        <f aca="false">IF(B137="","",IF(AND(D137="Formalização",E137="Concluído"),IF(COUNTIFS($B$2:$B$5001,B137,$E$2:$E$5001,"Em ajustes",$A$2:$A$5001,"&lt;"&amp;I137)&gt;0,1,0),0))</f>
        <v/>
      </c>
      <c r="L137" s="16" t="str">
        <f aca="false">IF(B137="","",IF(A137=_xlfn.MAXIFS($A$2:$A$5001,$B$2:$B$5001,B137,$I$2:$I$5001,I137),1,0))</f>
        <v/>
      </c>
    </row>
    <row r="138" customFormat="false" ht="15" hidden="false" customHeight="false" outlineLevel="0" collapsed="false">
      <c r="I138" s="15" t="str">
        <f aca="false">IF(A138="","",INT(A138))</f>
        <v/>
      </c>
      <c r="J138" s="16" t="str">
        <f aca="false">IF(B138="","",IF(A138=_xlfn.MINIFS($A$2:$A$5001,$B$2:$B$5001,B138),1,0))</f>
        <v/>
      </c>
      <c r="K138" s="16" t="str">
        <f aca="false">IF(B138="","",IF(AND(D138="Formalização",E138="Concluído"),IF(COUNTIFS($B$2:$B$5001,B138,$E$2:$E$5001,"Em ajustes",$A$2:$A$5001,"&lt;"&amp;I138)&gt;0,1,0),0))</f>
        <v/>
      </c>
      <c r="L138" s="16" t="str">
        <f aca="false">IF(B138="","",IF(A138=_xlfn.MAXIFS($A$2:$A$5001,$B$2:$B$5001,B138,$I$2:$I$5001,I138),1,0))</f>
        <v/>
      </c>
    </row>
    <row r="139" customFormat="false" ht="15" hidden="false" customHeight="false" outlineLevel="0" collapsed="false">
      <c r="I139" s="15" t="str">
        <f aca="false">IF(A139="","",INT(A139))</f>
        <v/>
      </c>
      <c r="J139" s="16" t="str">
        <f aca="false">IF(B139="","",IF(A139=_xlfn.MINIFS($A$2:$A$5001,$B$2:$B$5001,B139),1,0))</f>
        <v/>
      </c>
      <c r="K139" s="16" t="str">
        <f aca="false">IF(B139="","",IF(AND(D139="Formalização",E139="Concluído"),IF(COUNTIFS($B$2:$B$5001,B139,$E$2:$E$5001,"Em ajustes",$A$2:$A$5001,"&lt;"&amp;I139)&gt;0,1,0),0))</f>
        <v/>
      </c>
      <c r="L139" s="16" t="str">
        <f aca="false">IF(B139="","",IF(A139=_xlfn.MAXIFS($A$2:$A$5001,$B$2:$B$5001,B139,$I$2:$I$5001,I139),1,0))</f>
        <v/>
      </c>
    </row>
    <row r="140" customFormat="false" ht="15" hidden="false" customHeight="false" outlineLevel="0" collapsed="false">
      <c r="I140" s="15" t="str">
        <f aca="false">IF(A140="","",INT(A140))</f>
        <v/>
      </c>
      <c r="J140" s="16" t="str">
        <f aca="false">IF(B140="","",IF(A140=_xlfn.MINIFS($A$2:$A$5001,$B$2:$B$5001,B140),1,0))</f>
        <v/>
      </c>
      <c r="K140" s="16" t="str">
        <f aca="false">IF(B140="","",IF(AND(D140="Formalização",E140="Concluído"),IF(COUNTIFS($B$2:$B$5001,B140,$E$2:$E$5001,"Em ajustes",$A$2:$A$5001,"&lt;"&amp;I140)&gt;0,1,0),0))</f>
        <v/>
      </c>
      <c r="L140" s="16" t="str">
        <f aca="false">IF(B140="","",IF(A140=_xlfn.MAXIFS($A$2:$A$5001,$B$2:$B$5001,B140,$I$2:$I$5001,I140),1,0))</f>
        <v/>
      </c>
    </row>
    <row r="141" customFormat="false" ht="15" hidden="false" customHeight="false" outlineLevel="0" collapsed="false">
      <c r="I141" s="15" t="str">
        <f aca="false">IF(A141="","",INT(A141))</f>
        <v/>
      </c>
      <c r="J141" s="16" t="str">
        <f aca="false">IF(B141="","",IF(A141=_xlfn.MINIFS($A$2:$A$5001,$B$2:$B$5001,B141),1,0))</f>
        <v/>
      </c>
      <c r="K141" s="16" t="str">
        <f aca="false">IF(B141="","",IF(AND(D141="Formalização",E141="Concluído"),IF(COUNTIFS($B$2:$B$5001,B141,$E$2:$E$5001,"Em ajustes",$A$2:$A$5001,"&lt;"&amp;I141)&gt;0,1,0),0))</f>
        <v/>
      </c>
      <c r="L141" s="16" t="str">
        <f aca="false">IF(B141="","",IF(A141=_xlfn.MAXIFS($A$2:$A$5001,$B$2:$B$5001,B141,$I$2:$I$5001,I141),1,0))</f>
        <v/>
      </c>
    </row>
    <row r="142" customFormat="false" ht="15" hidden="false" customHeight="false" outlineLevel="0" collapsed="false">
      <c r="I142" s="15" t="str">
        <f aca="false">IF(A142="","",INT(A142))</f>
        <v/>
      </c>
      <c r="J142" s="16" t="str">
        <f aca="false">IF(B142="","",IF(A142=_xlfn.MINIFS($A$2:$A$5001,$B$2:$B$5001,B142),1,0))</f>
        <v/>
      </c>
      <c r="K142" s="16" t="str">
        <f aca="false">IF(B142="","",IF(AND(D142="Formalização",E142="Concluído"),IF(COUNTIFS($B$2:$B$5001,B142,$E$2:$E$5001,"Em ajustes",$A$2:$A$5001,"&lt;"&amp;I142)&gt;0,1,0),0))</f>
        <v/>
      </c>
      <c r="L142" s="16" t="str">
        <f aca="false">IF(B142="","",IF(A142=_xlfn.MAXIFS($A$2:$A$5001,$B$2:$B$5001,B142,$I$2:$I$5001,I142),1,0))</f>
        <v/>
      </c>
    </row>
    <row r="143" customFormat="false" ht="15" hidden="false" customHeight="false" outlineLevel="0" collapsed="false">
      <c r="I143" s="15" t="str">
        <f aca="false">IF(A143="","",INT(A143))</f>
        <v/>
      </c>
      <c r="J143" s="16" t="str">
        <f aca="false">IF(B143="","",IF(A143=_xlfn.MINIFS($A$2:$A$5001,$B$2:$B$5001,B143),1,0))</f>
        <v/>
      </c>
      <c r="K143" s="16" t="str">
        <f aca="false">IF(B143="","",IF(AND(D143="Formalização",E143="Concluído"),IF(COUNTIFS($B$2:$B$5001,B143,$E$2:$E$5001,"Em ajustes",$A$2:$A$5001,"&lt;"&amp;I143)&gt;0,1,0),0))</f>
        <v/>
      </c>
      <c r="L143" s="16" t="str">
        <f aca="false">IF(B143="","",IF(A143=_xlfn.MAXIFS($A$2:$A$5001,$B$2:$B$5001,B143,$I$2:$I$5001,I143),1,0))</f>
        <v/>
      </c>
    </row>
    <row r="144" customFormat="false" ht="15" hidden="false" customHeight="false" outlineLevel="0" collapsed="false">
      <c r="I144" s="15" t="str">
        <f aca="false">IF(A144="","",INT(A144))</f>
        <v/>
      </c>
      <c r="J144" s="16" t="str">
        <f aca="false">IF(B144="","",IF(A144=_xlfn.MINIFS($A$2:$A$5001,$B$2:$B$5001,B144),1,0))</f>
        <v/>
      </c>
      <c r="K144" s="16" t="str">
        <f aca="false">IF(B144="","",IF(AND(D144="Formalização",E144="Concluído"),IF(COUNTIFS($B$2:$B$5001,B144,$E$2:$E$5001,"Em ajustes",$A$2:$A$5001,"&lt;"&amp;I144)&gt;0,1,0),0))</f>
        <v/>
      </c>
      <c r="L144" s="16" t="str">
        <f aca="false">IF(B144="","",IF(A144=_xlfn.MAXIFS($A$2:$A$5001,$B$2:$B$5001,B144,$I$2:$I$5001,I144),1,0))</f>
        <v/>
      </c>
    </row>
    <row r="145" customFormat="false" ht="15" hidden="false" customHeight="false" outlineLevel="0" collapsed="false">
      <c r="I145" s="15" t="str">
        <f aca="false">IF(A145="","",INT(A145))</f>
        <v/>
      </c>
      <c r="J145" s="16" t="str">
        <f aca="false">IF(B145="","",IF(A145=_xlfn.MINIFS($A$2:$A$5001,$B$2:$B$5001,B145),1,0))</f>
        <v/>
      </c>
      <c r="K145" s="16" t="str">
        <f aca="false">IF(B145="","",IF(AND(D145="Formalização",E145="Concluído"),IF(COUNTIFS($B$2:$B$5001,B145,$E$2:$E$5001,"Em ajustes",$A$2:$A$5001,"&lt;"&amp;I145)&gt;0,1,0),0))</f>
        <v/>
      </c>
      <c r="L145" s="16" t="str">
        <f aca="false">IF(B145="","",IF(A145=_xlfn.MAXIFS($A$2:$A$5001,$B$2:$B$5001,B145,$I$2:$I$5001,I145),1,0))</f>
        <v/>
      </c>
    </row>
    <row r="146" customFormat="false" ht="15" hidden="false" customHeight="false" outlineLevel="0" collapsed="false">
      <c r="I146" s="15" t="str">
        <f aca="false">IF(A146="","",INT(A146))</f>
        <v/>
      </c>
      <c r="J146" s="16" t="str">
        <f aca="false">IF(B146="","",IF(A146=_xlfn.MINIFS($A$2:$A$5001,$B$2:$B$5001,B146),1,0))</f>
        <v/>
      </c>
      <c r="K146" s="16" t="str">
        <f aca="false">IF(B146="","",IF(AND(D146="Formalização",E146="Concluído"),IF(COUNTIFS($B$2:$B$5001,B146,$E$2:$E$5001,"Em ajustes",$A$2:$A$5001,"&lt;"&amp;I146)&gt;0,1,0),0))</f>
        <v/>
      </c>
      <c r="L146" s="16" t="str">
        <f aca="false">IF(B146="","",IF(A146=_xlfn.MAXIFS($A$2:$A$5001,$B$2:$B$5001,B146,$I$2:$I$5001,I146),1,0))</f>
        <v/>
      </c>
    </row>
    <row r="147" customFormat="false" ht="15" hidden="false" customHeight="false" outlineLevel="0" collapsed="false">
      <c r="I147" s="15" t="str">
        <f aca="false">IF(A147="","",INT(A147))</f>
        <v/>
      </c>
      <c r="J147" s="16" t="str">
        <f aca="false">IF(B147="","",IF(A147=_xlfn.MINIFS($A$2:$A$5001,$B$2:$B$5001,B147),1,0))</f>
        <v/>
      </c>
      <c r="K147" s="16" t="str">
        <f aca="false">IF(B147="","",IF(AND(D147="Formalização",E147="Concluído"),IF(COUNTIFS($B$2:$B$5001,B147,$E$2:$E$5001,"Em ajustes",$A$2:$A$5001,"&lt;"&amp;I147)&gt;0,1,0),0))</f>
        <v/>
      </c>
      <c r="L147" s="16" t="str">
        <f aca="false">IF(B147="","",IF(A147=_xlfn.MAXIFS($A$2:$A$5001,$B$2:$B$5001,B147,$I$2:$I$5001,I147),1,0))</f>
        <v/>
      </c>
    </row>
    <row r="148" customFormat="false" ht="15" hidden="false" customHeight="false" outlineLevel="0" collapsed="false">
      <c r="I148" s="15" t="str">
        <f aca="false">IF(A148="","",INT(A148))</f>
        <v/>
      </c>
      <c r="J148" s="16" t="str">
        <f aca="false">IF(B148="","",IF(A148=_xlfn.MINIFS($A$2:$A$5001,$B$2:$B$5001,B148),1,0))</f>
        <v/>
      </c>
      <c r="K148" s="16" t="str">
        <f aca="false">IF(B148="","",IF(AND(D148="Formalização",E148="Concluído"),IF(COUNTIFS($B$2:$B$5001,B148,$E$2:$E$5001,"Em ajustes",$A$2:$A$5001,"&lt;"&amp;I148)&gt;0,1,0),0))</f>
        <v/>
      </c>
      <c r="L148" s="16" t="str">
        <f aca="false">IF(B148="","",IF(A148=_xlfn.MAXIFS($A$2:$A$5001,$B$2:$B$5001,B148,$I$2:$I$5001,I148),1,0))</f>
        <v/>
      </c>
    </row>
    <row r="149" customFormat="false" ht="15" hidden="false" customHeight="false" outlineLevel="0" collapsed="false">
      <c r="I149" s="15" t="str">
        <f aca="false">IF(A149="","",INT(A149))</f>
        <v/>
      </c>
      <c r="J149" s="16" t="str">
        <f aca="false">IF(B149="","",IF(A149=_xlfn.MINIFS($A$2:$A$5001,$B$2:$B$5001,B149),1,0))</f>
        <v/>
      </c>
      <c r="K149" s="16" t="str">
        <f aca="false">IF(B149="","",IF(AND(D149="Formalização",E149="Concluído"),IF(COUNTIFS($B$2:$B$5001,B149,$E$2:$E$5001,"Em ajustes",$A$2:$A$5001,"&lt;"&amp;I149)&gt;0,1,0),0))</f>
        <v/>
      </c>
      <c r="L149" s="16" t="str">
        <f aca="false">IF(B149="","",IF(A149=_xlfn.MAXIFS($A$2:$A$5001,$B$2:$B$5001,B149,$I$2:$I$5001,I149),1,0))</f>
        <v/>
      </c>
    </row>
    <row r="150" customFormat="false" ht="15" hidden="false" customHeight="false" outlineLevel="0" collapsed="false">
      <c r="I150" s="15" t="str">
        <f aca="false">IF(A150="","",INT(A150))</f>
        <v/>
      </c>
      <c r="J150" s="16" t="str">
        <f aca="false">IF(B150="","",IF(A150=_xlfn.MINIFS($A$2:$A$5001,$B$2:$B$5001,B150),1,0))</f>
        <v/>
      </c>
      <c r="K150" s="16" t="str">
        <f aca="false">IF(B150="","",IF(AND(D150="Formalização",E150="Concluído"),IF(COUNTIFS($B$2:$B$5001,B150,$E$2:$E$5001,"Em ajustes",$A$2:$A$5001,"&lt;"&amp;I150)&gt;0,1,0),0))</f>
        <v/>
      </c>
      <c r="L150" s="16" t="str">
        <f aca="false">IF(B150="","",IF(A150=_xlfn.MAXIFS($A$2:$A$5001,$B$2:$B$5001,B150,$I$2:$I$5001,I150),1,0))</f>
        <v/>
      </c>
    </row>
    <row r="151" customFormat="false" ht="15" hidden="false" customHeight="false" outlineLevel="0" collapsed="false">
      <c r="I151" s="15" t="str">
        <f aca="false">IF(A151="","",INT(A151))</f>
        <v/>
      </c>
      <c r="J151" s="16" t="str">
        <f aca="false">IF(B151="","",IF(A151=_xlfn.MINIFS($A$2:$A$5001,$B$2:$B$5001,B151),1,0))</f>
        <v/>
      </c>
      <c r="K151" s="16" t="str">
        <f aca="false">IF(B151="","",IF(AND(D151="Formalização",E151="Concluído"),IF(COUNTIFS($B$2:$B$5001,B151,$E$2:$E$5001,"Em ajustes",$A$2:$A$5001,"&lt;"&amp;I151)&gt;0,1,0),0))</f>
        <v/>
      </c>
      <c r="L151" s="16" t="str">
        <f aca="false">IF(B151="","",IF(A151=_xlfn.MAXIFS($A$2:$A$5001,$B$2:$B$5001,B151,$I$2:$I$5001,I151),1,0))</f>
        <v/>
      </c>
    </row>
    <row r="152" customFormat="false" ht="15" hidden="false" customHeight="false" outlineLevel="0" collapsed="false">
      <c r="I152" s="15" t="str">
        <f aca="false">IF(A152="","",INT(A152))</f>
        <v/>
      </c>
      <c r="J152" s="16" t="str">
        <f aca="false">IF(B152="","",IF(A152=_xlfn.MINIFS($A$2:$A$5001,$B$2:$B$5001,B152),1,0))</f>
        <v/>
      </c>
      <c r="K152" s="16" t="str">
        <f aca="false">IF(B152="","",IF(AND(D152="Formalização",E152="Concluído"),IF(COUNTIFS($B$2:$B$5001,B152,$E$2:$E$5001,"Em ajustes",$A$2:$A$5001,"&lt;"&amp;I152)&gt;0,1,0),0))</f>
        <v/>
      </c>
      <c r="L152" s="16" t="str">
        <f aca="false">IF(B152="","",IF(A152=_xlfn.MAXIFS($A$2:$A$5001,$B$2:$B$5001,B152,$I$2:$I$5001,I152),1,0))</f>
        <v/>
      </c>
    </row>
    <row r="153" customFormat="false" ht="15" hidden="false" customHeight="false" outlineLevel="0" collapsed="false">
      <c r="I153" s="15" t="str">
        <f aca="false">IF(A153="","",INT(A153))</f>
        <v/>
      </c>
      <c r="J153" s="16" t="str">
        <f aca="false">IF(B153="","",IF(A153=_xlfn.MINIFS($A$2:$A$5001,$B$2:$B$5001,B153),1,0))</f>
        <v/>
      </c>
      <c r="K153" s="16" t="str">
        <f aca="false">IF(B153="","",IF(AND(D153="Formalização",E153="Concluído"),IF(COUNTIFS($B$2:$B$5001,B153,$E$2:$E$5001,"Em ajustes",$A$2:$A$5001,"&lt;"&amp;I153)&gt;0,1,0),0))</f>
        <v/>
      </c>
      <c r="L153" s="16" t="str">
        <f aca="false">IF(B153="","",IF(A153=_xlfn.MAXIFS($A$2:$A$5001,$B$2:$B$5001,B153,$I$2:$I$5001,I153),1,0))</f>
        <v/>
      </c>
    </row>
    <row r="154" customFormat="false" ht="15" hidden="false" customHeight="false" outlineLevel="0" collapsed="false">
      <c r="I154" s="15" t="str">
        <f aca="false">IF(A154="","",INT(A154))</f>
        <v/>
      </c>
      <c r="J154" s="16" t="str">
        <f aca="false">IF(B154="","",IF(A154=_xlfn.MINIFS($A$2:$A$5001,$B$2:$B$5001,B154),1,0))</f>
        <v/>
      </c>
      <c r="K154" s="16" t="str">
        <f aca="false">IF(B154="","",IF(AND(D154="Formalização",E154="Concluído"),IF(COUNTIFS($B$2:$B$5001,B154,$E$2:$E$5001,"Em ajustes",$A$2:$A$5001,"&lt;"&amp;I154)&gt;0,1,0),0))</f>
        <v/>
      </c>
      <c r="L154" s="16" t="str">
        <f aca="false">IF(B154="","",IF(A154=_xlfn.MAXIFS($A$2:$A$5001,$B$2:$B$5001,B154,$I$2:$I$5001,I154),1,0))</f>
        <v/>
      </c>
    </row>
    <row r="155" customFormat="false" ht="15" hidden="false" customHeight="false" outlineLevel="0" collapsed="false">
      <c r="I155" s="15" t="str">
        <f aca="false">IF(A155="","",INT(A155))</f>
        <v/>
      </c>
      <c r="J155" s="16" t="str">
        <f aca="false">IF(B155="","",IF(A155=_xlfn.MINIFS($A$2:$A$5001,$B$2:$B$5001,B155),1,0))</f>
        <v/>
      </c>
      <c r="K155" s="16" t="str">
        <f aca="false">IF(B155="","",IF(AND(D155="Formalização",E155="Concluído"),IF(COUNTIFS($B$2:$B$5001,B155,$E$2:$E$5001,"Em ajustes",$A$2:$A$5001,"&lt;"&amp;I155)&gt;0,1,0),0))</f>
        <v/>
      </c>
      <c r="L155" s="16" t="str">
        <f aca="false">IF(B155="","",IF(A155=_xlfn.MAXIFS($A$2:$A$5001,$B$2:$B$5001,B155,$I$2:$I$5001,I155),1,0))</f>
        <v/>
      </c>
    </row>
    <row r="156" customFormat="false" ht="15" hidden="false" customHeight="false" outlineLevel="0" collapsed="false">
      <c r="I156" s="15" t="str">
        <f aca="false">IF(A156="","",INT(A156))</f>
        <v/>
      </c>
      <c r="J156" s="16" t="str">
        <f aca="false">IF(B156="","",IF(A156=_xlfn.MINIFS($A$2:$A$5001,$B$2:$B$5001,B156),1,0))</f>
        <v/>
      </c>
      <c r="K156" s="16" t="str">
        <f aca="false">IF(B156="","",IF(AND(D156="Formalização",E156="Concluído"),IF(COUNTIFS($B$2:$B$5001,B156,$E$2:$E$5001,"Em ajustes",$A$2:$A$5001,"&lt;"&amp;I156)&gt;0,1,0),0))</f>
        <v/>
      </c>
      <c r="L156" s="16" t="str">
        <f aca="false">IF(B156="","",IF(A156=_xlfn.MAXIFS($A$2:$A$5001,$B$2:$B$5001,B156,$I$2:$I$5001,I156),1,0))</f>
        <v/>
      </c>
    </row>
    <row r="157" customFormat="false" ht="15" hidden="false" customHeight="false" outlineLevel="0" collapsed="false">
      <c r="I157" s="15" t="str">
        <f aca="false">IF(A157="","",INT(A157))</f>
        <v/>
      </c>
      <c r="J157" s="16" t="str">
        <f aca="false">IF(B157="","",IF(A157=_xlfn.MINIFS($A$2:$A$5001,$B$2:$B$5001,B157),1,0))</f>
        <v/>
      </c>
      <c r="K157" s="16" t="str">
        <f aca="false">IF(B157="","",IF(AND(D157="Formalização",E157="Concluído"),IF(COUNTIFS($B$2:$B$5001,B157,$E$2:$E$5001,"Em ajustes",$A$2:$A$5001,"&lt;"&amp;I157)&gt;0,1,0),0))</f>
        <v/>
      </c>
      <c r="L157" s="16" t="str">
        <f aca="false">IF(B157="","",IF(A157=_xlfn.MAXIFS($A$2:$A$5001,$B$2:$B$5001,B157,$I$2:$I$5001,I157),1,0))</f>
        <v/>
      </c>
    </row>
    <row r="158" customFormat="false" ht="15" hidden="false" customHeight="false" outlineLevel="0" collapsed="false">
      <c r="I158" s="15" t="str">
        <f aca="false">IF(A158="","",INT(A158))</f>
        <v/>
      </c>
      <c r="J158" s="16" t="str">
        <f aca="false">IF(B158="","",IF(A158=_xlfn.MINIFS($A$2:$A$5001,$B$2:$B$5001,B158),1,0))</f>
        <v/>
      </c>
      <c r="K158" s="16" t="str">
        <f aca="false">IF(B158="","",IF(AND(D158="Formalização",E158="Concluído"),IF(COUNTIFS($B$2:$B$5001,B158,$E$2:$E$5001,"Em ajustes",$A$2:$A$5001,"&lt;"&amp;I158)&gt;0,1,0),0))</f>
        <v/>
      </c>
      <c r="L158" s="16" t="str">
        <f aca="false">IF(B158="","",IF(A158=_xlfn.MAXIFS($A$2:$A$5001,$B$2:$B$5001,B158,$I$2:$I$5001,I158),1,0))</f>
        <v/>
      </c>
    </row>
    <row r="159" customFormat="false" ht="15" hidden="false" customHeight="false" outlineLevel="0" collapsed="false">
      <c r="I159" s="15" t="str">
        <f aca="false">IF(A159="","",INT(A159))</f>
        <v/>
      </c>
      <c r="J159" s="16" t="str">
        <f aca="false">IF(B159="","",IF(A159=_xlfn.MINIFS($A$2:$A$5001,$B$2:$B$5001,B159),1,0))</f>
        <v/>
      </c>
      <c r="K159" s="16" t="str">
        <f aca="false">IF(B159="","",IF(AND(D159="Formalização",E159="Concluído"),IF(COUNTIFS($B$2:$B$5001,B159,$E$2:$E$5001,"Em ajustes",$A$2:$A$5001,"&lt;"&amp;I159)&gt;0,1,0),0))</f>
        <v/>
      </c>
      <c r="L159" s="16" t="str">
        <f aca="false">IF(B159="","",IF(A159=_xlfn.MAXIFS($A$2:$A$5001,$B$2:$B$5001,B159,$I$2:$I$5001,I159),1,0))</f>
        <v/>
      </c>
    </row>
    <row r="160" customFormat="false" ht="15" hidden="false" customHeight="false" outlineLevel="0" collapsed="false">
      <c r="I160" s="15" t="str">
        <f aca="false">IF(A160="","",INT(A160))</f>
        <v/>
      </c>
      <c r="J160" s="16" t="str">
        <f aca="false">IF(B160="","",IF(A160=_xlfn.MINIFS($A$2:$A$5001,$B$2:$B$5001,B160),1,0))</f>
        <v/>
      </c>
      <c r="K160" s="16" t="str">
        <f aca="false">IF(B160="","",IF(AND(D160="Formalização",E160="Concluído"),IF(COUNTIFS($B$2:$B$5001,B160,$E$2:$E$5001,"Em ajustes",$A$2:$A$5001,"&lt;"&amp;I160)&gt;0,1,0),0))</f>
        <v/>
      </c>
      <c r="L160" s="16" t="str">
        <f aca="false">IF(B160="","",IF(A160=_xlfn.MAXIFS($A$2:$A$5001,$B$2:$B$5001,B160,$I$2:$I$5001,I160),1,0))</f>
        <v/>
      </c>
    </row>
    <row r="161" customFormat="false" ht="15" hidden="false" customHeight="false" outlineLevel="0" collapsed="false">
      <c r="I161" s="15" t="str">
        <f aca="false">IF(A161="","",INT(A161))</f>
        <v/>
      </c>
      <c r="J161" s="16" t="str">
        <f aca="false">IF(B161="","",IF(A161=_xlfn.MINIFS($A$2:$A$5001,$B$2:$B$5001,B161),1,0))</f>
        <v/>
      </c>
      <c r="K161" s="16" t="str">
        <f aca="false">IF(B161="","",IF(AND(D161="Formalização",E161="Concluído"),IF(COUNTIFS($B$2:$B$5001,B161,$E$2:$E$5001,"Em ajustes",$A$2:$A$5001,"&lt;"&amp;I161)&gt;0,1,0),0))</f>
        <v/>
      </c>
      <c r="L161" s="16" t="str">
        <f aca="false">IF(B161="","",IF(A161=_xlfn.MAXIFS($A$2:$A$5001,$B$2:$B$5001,B161,$I$2:$I$5001,I161),1,0))</f>
        <v/>
      </c>
    </row>
    <row r="162" customFormat="false" ht="15" hidden="false" customHeight="false" outlineLevel="0" collapsed="false">
      <c r="I162" s="15" t="str">
        <f aca="false">IF(A162="","",INT(A162))</f>
        <v/>
      </c>
      <c r="J162" s="16" t="str">
        <f aca="false">IF(B162="","",IF(A162=_xlfn.MINIFS($A$2:$A$5001,$B$2:$B$5001,B162),1,0))</f>
        <v/>
      </c>
      <c r="K162" s="16" t="str">
        <f aca="false">IF(B162="","",IF(AND(D162="Formalização",E162="Concluído"),IF(COUNTIFS($B$2:$B$5001,B162,$E$2:$E$5001,"Em ajustes",$A$2:$A$5001,"&lt;"&amp;I162)&gt;0,1,0),0))</f>
        <v/>
      </c>
      <c r="L162" s="16" t="str">
        <f aca="false">IF(B162="","",IF(A162=_xlfn.MAXIFS($A$2:$A$5001,$B$2:$B$5001,B162,$I$2:$I$5001,I162),1,0))</f>
        <v/>
      </c>
    </row>
    <row r="163" customFormat="false" ht="15" hidden="false" customHeight="false" outlineLevel="0" collapsed="false">
      <c r="I163" s="15" t="str">
        <f aca="false">IF(A163="","",INT(A163))</f>
        <v/>
      </c>
      <c r="J163" s="16" t="str">
        <f aca="false">IF(B163="","",IF(A163=_xlfn.MINIFS($A$2:$A$5001,$B$2:$B$5001,B163),1,0))</f>
        <v/>
      </c>
      <c r="K163" s="16" t="str">
        <f aca="false">IF(B163="","",IF(AND(D163="Formalização",E163="Concluído"),IF(COUNTIFS($B$2:$B$5001,B163,$E$2:$E$5001,"Em ajustes",$A$2:$A$5001,"&lt;"&amp;I163)&gt;0,1,0),0))</f>
        <v/>
      </c>
      <c r="L163" s="16" t="str">
        <f aca="false">IF(B163="","",IF(A163=_xlfn.MAXIFS($A$2:$A$5001,$B$2:$B$5001,B163,$I$2:$I$5001,I163),1,0))</f>
        <v/>
      </c>
    </row>
    <row r="164" customFormat="false" ht="15" hidden="false" customHeight="false" outlineLevel="0" collapsed="false">
      <c r="I164" s="15" t="str">
        <f aca="false">IF(A164="","",INT(A164))</f>
        <v/>
      </c>
      <c r="J164" s="16" t="str">
        <f aca="false">IF(B164="","",IF(A164=_xlfn.MINIFS($A$2:$A$5001,$B$2:$B$5001,B164),1,0))</f>
        <v/>
      </c>
      <c r="K164" s="16" t="str">
        <f aca="false">IF(B164="","",IF(AND(D164="Formalização",E164="Concluído"),IF(COUNTIFS($B$2:$B$5001,B164,$E$2:$E$5001,"Em ajustes",$A$2:$A$5001,"&lt;"&amp;I164)&gt;0,1,0),0))</f>
        <v/>
      </c>
      <c r="L164" s="16" t="str">
        <f aca="false">IF(B164="","",IF(A164=_xlfn.MAXIFS($A$2:$A$5001,$B$2:$B$5001,B164,$I$2:$I$5001,I164),1,0))</f>
        <v/>
      </c>
    </row>
    <row r="165" customFormat="false" ht="15" hidden="false" customHeight="false" outlineLevel="0" collapsed="false">
      <c r="I165" s="15" t="str">
        <f aca="false">IF(A165="","",INT(A165))</f>
        <v/>
      </c>
      <c r="J165" s="16" t="str">
        <f aca="false">IF(B165="","",IF(A165=_xlfn.MINIFS($A$2:$A$5001,$B$2:$B$5001,B165),1,0))</f>
        <v/>
      </c>
      <c r="K165" s="16" t="str">
        <f aca="false">IF(B165="","",IF(AND(D165="Formalização",E165="Concluído"),IF(COUNTIFS($B$2:$B$5001,B165,$E$2:$E$5001,"Em ajustes",$A$2:$A$5001,"&lt;"&amp;I165)&gt;0,1,0),0))</f>
        <v/>
      </c>
      <c r="L165" s="16" t="str">
        <f aca="false">IF(B165="","",IF(A165=_xlfn.MAXIFS($A$2:$A$5001,$B$2:$B$5001,B165,$I$2:$I$5001,I165),1,0))</f>
        <v/>
      </c>
    </row>
    <row r="166" customFormat="false" ht="15" hidden="false" customHeight="false" outlineLevel="0" collapsed="false">
      <c r="I166" s="15" t="str">
        <f aca="false">IF(A166="","",INT(A166))</f>
        <v/>
      </c>
      <c r="J166" s="16" t="str">
        <f aca="false">IF(B166="","",IF(A166=_xlfn.MINIFS($A$2:$A$5001,$B$2:$B$5001,B166),1,0))</f>
        <v/>
      </c>
      <c r="K166" s="16" t="str">
        <f aca="false">IF(B166="","",IF(AND(D166="Formalização",E166="Concluído"),IF(COUNTIFS($B$2:$B$5001,B166,$E$2:$E$5001,"Em ajustes",$A$2:$A$5001,"&lt;"&amp;I166)&gt;0,1,0),0))</f>
        <v/>
      </c>
      <c r="L166" s="16" t="str">
        <f aca="false">IF(B166="","",IF(A166=_xlfn.MAXIFS($A$2:$A$5001,$B$2:$B$5001,B166,$I$2:$I$5001,I166),1,0))</f>
        <v/>
      </c>
    </row>
    <row r="167" customFormat="false" ht="15" hidden="false" customHeight="false" outlineLevel="0" collapsed="false">
      <c r="I167" s="15" t="str">
        <f aca="false">IF(A167="","",INT(A167))</f>
        <v/>
      </c>
      <c r="J167" s="16" t="str">
        <f aca="false">IF(B167="","",IF(A167=_xlfn.MINIFS($A$2:$A$5001,$B$2:$B$5001,B167),1,0))</f>
        <v/>
      </c>
      <c r="K167" s="16" t="str">
        <f aca="false">IF(B167="","",IF(AND(D167="Formalização",E167="Concluído"),IF(COUNTIFS($B$2:$B$5001,B167,$E$2:$E$5001,"Em ajustes",$A$2:$A$5001,"&lt;"&amp;I167)&gt;0,1,0),0))</f>
        <v/>
      </c>
      <c r="L167" s="16" t="str">
        <f aca="false">IF(B167="","",IF(A167=_xlfn.MAXIFS($A$2:$A$5001,$B$2:$B$5001,B167,$I$2:$I$5001,I167),1,0))</f>
        <v/>
      </c>
    </row>
    <row r="168" customFormat="false" ht="15" hidden="false" customHeight="false" outlineLevel="0" collapsed="false">
      <c r="I168" s="15" t="str">
        <f aca="false">IF(A168="","",INT(A168))</f>
        <v/>
      </c>
      <c r="J168" s="16" t="str">
        <f aca="false">IF(B168="","",IF(A168=_xlfn.MINIFS($A$2:$A$5001,$B$2:$B$5001,B168),1,0))</f>
        <v/>
      </c>
      <c r="K168" s="16" t="str">
        <f aca="false">IF(B168="","",IF(AND(D168="Formalização",E168="Concluído"),IF(COUNTIFS($B$2:$B$5001,B168,$E$2:$E$5001,"Em ajustes",$A$2:$A$5001,"&lt;"&amp;I168)&gt;0,1,0),0))</f>
        <v/>
      </c>
      <c r="L168" s="16" t="str">
        <f aca="false">IF(B168="","",IF(A168=_xlfn.MAXIFS($A$2:$A$5001,$B$2:$B$5001,B168,$I$2:$I$5001,I168),1,0))</f>
        <v/>
      </c>
    </row>
    <row r="169" customFormat="false" ht="15" hidden="false" customHeight="false" outlineLevel="0" collapsed="false">
      <c r="I169" s="15" t="str">
        <f aca="false">IF(A169="","",INT(A169))</f>
        <v/>
      </c>
      <c r="J169" s="16" t="str">
        <f aca="false">IF(B169="","",IF(A169=_xlfn.MINIFS($A$2:$A$5001,$B$2:$B$5001,B169),1,0))</f>
        <v/>
      </c>
      <c r="K169" s="16" t="str">
        <f aca="false">IF(B169="","",IF(AND(D169="Formalização",E169="Concluído"),IF(COUNTIFS($B$2:$B$5001,B169,$E$2:$E$5001,"Em ajustes",$A$2:$A$5001,"&lt;"&amp;I169)&gt;0,1,0),0))</f>
        <v/>
      </c>
      <c r="L169" s="16" t="str">
        <f aca="false">IF(B169="","",IF(A169=_xlfn.MAXIFS($A$2:$A$5001,$B$2:$B$5001,B169,$I$2:$I$5001,I169),1,0))</f>
        <v/>
      </c>
    </row>
    <row r="170" customFormat="false" ht="15" hidden="false" customHeight="false" outlineLevel="0" collapsed="false">
      <c r="I170" s="15" t="str">
        <f aca="false">IF(A170="","",INT(A170))</f>
        <v/>
      </c>
      <c r="J170" s="16" t="str">
        <f aca="false">IF(B170="","",IF(A170=_xlfn.MINIFS($A$2:$A$5001,$B$2:$B$5001,B170),1,0))</f>
        <v/>
      </c>
      <c r="K170" s="16" t="str">
        <f aca="false">IF(B170="","",IF(AND(D170="Formalização",E170="Concluído"),IF(COUNTIFS($B$2:$B$5001,B170,$E$2:$E$5001,"Em ajustes",$A$2:$A$5001,"&lt;"&amp;I170)&gt;0,1,0),0))</f>
        <v/>
      </c>
      <c r="L170" s="16" t="str">
        <f aca="false">IF(B170="","",IF(A170=_xlfn.MAXIFS($A$2:$A$5001,$B$2:$B$5001,B170,$I$2:$I$5001,I170),1,0))</f>
        <v/>
      </c>
    </row>
    <row r="171" customFormat="false" ht="15" hidden="false" customHeight="false" outlineLevel="0" collapsed="false">
      <c r="I171" s="15" t="str">
        <f aca="false">IF(A171="","",INT(A171))</f>
        <v/>
      </c>
      <c r="J171" s="16" t="str">
        <f aca="false">IF(B171="","",IF(A171=_xlfn.MINIFS($A$2:$A$5001,$B$2:$B$5001,B171),1,0))</f>
        <v/>
      </c>
      <c r="K171" s="16" t="str">
        <f aca="false">IF(B171="","",IF(AND(D171="Formalização",E171="Concluído"),IF(COUNTIFS($B$2:$B$5001,B171,$E$2:$E$5001,"Em ajustes",$A$2:$A$5001,"&lt;"&amp;I171)&gt;0,1,0),0))</f>
        <v/>
      </c>
      <c r="L171" s="16" t="str">
        <f aca="false">IF(B171="","",IF(A171=_xlfn.MAXIFS($A$2:$A$5001,$B$2:$B$5001,B171,$I$2:$I$5001,I171),1,0))</f>
        <v/>
      </c>
    </row>
    <row r="172" customFormat="false" ht="15" hidden="false" customHeight="false" outlineLevel="0" collapsed="false">
      <c r="I172" s="15" t="str">
        <f aca="false">IF(A172="","",INT(A172))</f>
        <v/>
      </c>
      <c r="J172" s="16" t="str">
        <f aca="false">IF(B172="","",IF(A172=_xlfn.MINIFS($A$2:$A$5001,$B$2:$B$5001,B172),1,0))</f>
        <v/>
      </c>
      <c r="K172" s="16" t="str">
        <f aca="false">IF(B172="","",IF(AND(D172="Formalização",E172="Concluído"),IF(COUNTIFS($B$2:$B$5001,B172,$E$2:$E$5001,"Em ajustes",$A$2:$A$5001,"&lt;"&amp;I172)&gt;0,1,0),0))</f>
        <v/>
      </c>
      <c r="L172" s="16" t="str">
        <f aca="false">IF(B172="","",IF(A172=_xlfn.MAXIFS($A$2:$A$5001,$B$2:$B$5001,B172,$I$2:$I$5001,I172),1,0))</f>
        <v/>
      </c>
    </row>
    <row r="173" customFormat="false" ht="15" hidden="false" customHeight="false" outlineLevel="0" collapsed="false">
      <c r="I173" s="15" t="str">
        <f aca="false">IF(A173="","",INT(A173))</f>
        <v/>
      </c>
      <c r="J173" s="16" t="str">
        <f aca="false">IF(B173="","",IF(A173=_xlfn.MINIFS($A$2:$A$5001,$B$2:$B$5001,B173),1,0))</f>
        <v/>
      </c>
      <c r="K173" s="16" t="str">
        <f aca="false">IF(B173="","",IF(AND(D173="Formalização",E173="Concluído"),IF(COUNTIFS($B$2:$B$5001,B173,$E$2:$E$5001,"Em ajustes",$A$2:$A$5001,"&lt;"&amp;I173)&gt;0,1,0),0))</f>
        <v/>
      </c>
      <c r="L173" s="16" t="str">
        <f aca="false">IF(B173="","",IF(A173=_xlfn.MAXIFS($A$2:$A$5001,$B$2:$B$5001,B173,$I$2:$I$5001,I173),1,0))</f>
        <v/>
      </c>
    </row>
    <row r="174" customFormat="false" ht="15" hidden="false" customHeight="false" outlineLevel="0" collapsed="false">
      <c r="I174" s="15" t="str">
        <f aca="false">IF(A174="","",INT(A174))</f>
        <v/>
      </c>
      <c r="J174" s="16" t="str">
        <f aca="false">IF(B174="","",IF(A174=_xlfn.MINIFS($A$2:$A$5001,$B$2:$B$5001,B174),1,0))</f>
        <v/>
      </c>
      <c r="K174" s="16" t="str">
        <f aca="false">IF(B174="","",IF(AND(D174="Formalização",E174="Concluído"),IF(COUNTIFS($B$2:$B$5001,B174,$E$2:$E$5001,"Em ajustes",$A$2:$A$5001,"&lt;"&amp;I174)&gt;0,1,0),0))</f>
        <v/>
      </c>
      <c r="L174" s="16" t="str">
        <f aca="false">IF(B174="","",IF(A174=_xlfn.MAXIFS($A$2:$A$5001,$B$2:$B$5001,B174,$I$2:$I$5001,I174),1,0))</f>
        <v/>
      </c>
    </row>
    <row r="175" customFormat="false" ht="15" hidden="false" customHeight="false" outlineLevel="0" collapsed="false">
      <c r="I175" s="15" t="str">
        <f aca="false">IF(A175="","",INT(A175))</f>
        <v/>
      </c>
      <c r="J175" s="16" t="str">
        <f aca="false">IF(B175="","",IF(A175=_xlfn.MINIFS($A$2:$A$5001,$B$2:$B$5001,B175),1,0))</f>
        <v/>
      </c>
      <c r="K175" s="16" t="str">
        <f aca="false">IF(B175="","",IF(AND(D175="Formalização",E175="Concluído"),IF(COUNTIFS($B$2:$B$5001,B175,$E$2:$E$5001,"Em ajustes",$A$2:$A$5001,"&lt;"&amp;I175)&gt;0,1,0),0))</f>
        <v/>
      </c>
      <c r="L175" s="16" t="str">
        <f aca="false">IF(B175="","",IF(A175=_xlfn.MAXIFS($A$2:$A$5001,$B$2:$B$5001,B175,$I$2:$I$5001,I175),1,0))</f>
        <v/>
      </c>
    </row>
    <row r="176" customFormat="false" ht="15" hidden="false" customHeight="false" outlineLevel="0" collapsed="false">
      <c r="I176" s="15" t="str">
        <f aca="false">IF(A176="","",INT(A176))</f>
        <v/>
      </c>
      <c r="J176" s="16" t="str">
        <f aca="false">IF(B176="","",IF(A176=_xlfn.MINIFS($A$2:$A$5001,$B$2:$B$5001,B176),1,0))</f>
        <v/>
      </c>
      <c r="K176" s="16" t="str">
        <f aca="false">IF(B176="","",IF(AND(D176="Formalização",E176="Concluído"),IF(COUNTIFS($B$2:$B$5001,B176,$E$2:$E$5001,"Em ajustes",$A$2:$A$5001,"&lt;"&amp;I176)&gt;0,1,0),0))</f>
        <v/>
      </c>
      <c r="L176" s="16" t="str">
        <f aca="false">IF(B176="","",IF(A176=_xlfn.MAXIFS($A$2:$A$5001,$B$2:$B$5001,B176,$I$2:$I$5001,I176),1,0))</f>
        <v/>
      </c>
    </row>
    <row r="177" customFormat="false" ht="15" hidden="false" customHeight="false" outlineLevel="0" collapsed="false">
      <c r="I177" s="15" t="str">
        <f aca="false">IF(A177="","",INT(A177))</f>
        <v/>
      </c>
      <c r="J177" s="16" t="str">
        <f aca="false">IF(B177="","",IF(A177=_xlfn.MINIFS($A$2:$A$5001,$B$2:$B$5001,B177),1,0))</f>
        <v/>
      </c>
      <c r="K177" s="16" t="str">
        <f aca="false">IF(B177="","",IF(AND(D177="Formalização",E177="Concluído"),IF(COUNTIFS($B$2:$B$5001,B177,$E$2:$E$5001,"Em ajustes",$A$2:$A$5001,"&lt;"&amp;I177)&gt;0,1,0),0))</f>
        <v/>
      </c>
      <c r="L177" s="16" t="str">
        <f aca="false">IF(B177="","",IF(A177=_xlfn.MAXIFS($A$2:$A$5001,$B$2:$B$5001,B177,$I$2:$I$5001,I177),1,0))</f>
        <v/>
      </c>
    </row>
    <row r="178" customFormat="false" ht="15" hidden="false" customHeight="false" outlineLevel="0" collapsed="false">
      <c r="I178" s="15" t="str">
        <f aca="false">IF(A178="","",INT(A178))</f>
        <v/>
      </c>
      <c r="J178" s="16" t="str">
        <f aca="false">IF(B178="","",IF(A178=_xlfn.MINIFS($A$2:$A$5001,$B$2:$B$5001,B178),1,0))</f>
        <v/>
      </c>
      <c r="K178" s="16" t="str">
        <f aca="false">IF(B178="","",IF(AND(D178="Formalização",E178="Concluído"),IF(COUNTIFS($B$2:$B$5001,B178,$E$2:$E$5001,"Em ajustes",$A$2:$A$5001,"&lt;"&amp;I178)&gt;0,1,0),0))</f>
        <v/>
      </c>
      <c r="L178" s="16" t="str">
        <f aca="false">IF(B178="","",IF(A178=_xlfn.MAXIFS($A$2:$A$5001,$B$2:$B$5001,B178,$I$2:$I$5001,I178),1,0))</f>
        <v/>
      </c>
    </row>
    <row r="179" customFormat="false" ht="15" hidden="false" customHeight="false" outlineLevel="0" collapsed="false">
      <c r="I179" s="15" t="str">
        <f aca="false">IF(A179="","",INT(A179))</f>
        <v/>
      </c>
      <c r="J179" s="16" t="str">
        <f aca="false">IF(B179="","",IF(A179=_xlfn.MINIFS($A$2:$A$5001,$B$2:$B$5001,B179),1,0))</f>
        <v/>
      </c>
      <c r="K179" s="16" t="str">
        <f aca="false">IF(B179="","",IF(AND(D179="Formalização",E179="Concluído"),IF(COUNTIFS($B$2:$B$5001,B179,$E$2:$E$5001,"Em ajustes",$A$2:$A$5001,"&lt;"&amp;I179)&gt;0,1,0),0))</f>
        <v/>
      </c>
      <c r="L179" s="16" t="str">
        <f aca="false">IF(B179="","",IF(A179=_xlfn.MAXIFS($A$2:$A$5001,$B$2:$B$5001,B179,$I$2:$I$5001,I179),1,0))</f>
        <v/>
      </c>
    </row>
    <row r="180" customFormat="false" ht="15" hidden="false" customHeight="false" outlineLevel="0" collapsed="false">
      <c r="I180" s="15" t="str">
        <f aca="false">IF(A180="","",INT(A180))</f>
        <v/>
      </c>
      <c r="J180" s="16" t="str">
        <f aca="false">IF(B180="","",IF(A180=_xlfn.MINIFS($A$2:$A$5001,$B$2:$B$5001,B180),1,0))</f>
        <v/>
      </c>
      <c r="K180" s="16" t="str">
        <f aca="false">IF(B180="","",IF(AND(D180="Formalização",E180="Concluído"),IF(COUNTIFS($B$2:$B$5001,B180,$E$2:$E$5001,"Em ajustes",$A$2:$A$5001,"&lt;"&amp;I180)&gt;0,1,0),0))</f>
        <v/>
      </c>
      <c r="L180" s="16" t="str">
        <f aca="false">IF(B180="","",IF(A180=_xlfn.MAXIFS($A$2:$A$5001,$B$2:$B$5001,B180,$I$2:$I$5001,I180),1,0))</f>
        <v/>
      </c>
    </row>
    <row r="181" customFormat="false" ht="15" hidden="false" customHeight="false" outlineLevel="0" collapsed="false">
      <c r="I181" s="15" t="str">
        <f aca="false">IF(A181="","",INT(A181))</f>
        <v/>
      </c>
      <c r="J181" s="16" t="str">
        <f aca="false">IF(B181="","",IF(A181=_xlfn.MINIFS($A$2:$A$5001,$B$2:$B$5001,B181),1,0))</f>
        <v/>
      </c>
      <c r="K181" s="16" t="str">
        <f aca="false">IF(B181="","",IF(AND(D181="Formalização",E181="Concluído"),IF(COUNTIFS($B$2:$B$5001,B181,$E$2:$E$5001,"Em ajustes",$A$2:$A$5001,"&lt;"&amp;I181)&gt;0,1,0),0))</f>
        <v/>
      </c>
      <c r="L181" s="16" t="str">
        <f aca="false">IF(B181="","",IF(A181=_xlfn.MAXIFS($A$2:$A$5001,$B$2:$B$5001,B181,$I$2:$I$5001,I181),1,0))</f>
        <v/>
      </c>
    </row>
    <row r="182" customFormat="false" ht="15" hidden="false" customHeight="false" outlineLevel="0" collapsed="false">
      <c r="I182" s="15" t="str">
        <f aca="false">IF(A182="","",INT(A182))</f>
        <v/>
      </c>
      <c r="J182" s="16" t="str">
        <f aca="false">IF(B182="","",IF(A182=_xlfn.MINIFS($A$2:$A$5001,$B$2:$B$5001,B182),1,0))</f>
        <v/>
      </c>
      <c r="K182" s="16" t="str">
        <f aca="false">IF(B182="","",IF(AND(D182="Formalização",E182="Concluído"),IF(COUNTIFS($B$2:$B$5001,B182,$E$2:$E$5001,"Em ajustes",$A$2:$A$5001,"&lt;"&amp;I182)&gt;0,1,0),0))</f>
        <v/>
      </c>
      <c r="L182" s="16" t="str">
        <f aca="false">IF(B182="","",IF(A182=_xlfn.MAXIFS($A$2:$A$5001,$B$2:$B$5001,B182,$I$2:$I$5001,I182),1,0))</f>
        <v/>
      </c>
    </row>
    <row r="183" customFormat="false" ht="15" hidden="false" customHeight="false" outlineLevel="0" collapsed="false">
      <c r="I183" s="15" t="str">
        <f aca="false">IF(A183="","",INT(A183))</f>
        <v/>
      </c>
      <c r="J183" s="16" t="str">
        <f aca="false">IF(B183="","",IF(A183=_xlfn.MINIFS($A$2:$A$5001,$B$2:$B$5001,B183),1,0))</f>
        <v/>
      </c>
      <c r="K183" s="16" t="str">
        <f aca="false">IF(B183="","",IF(AND(D183="Formalização",E183="Concluído"),IF(COUNTIFS($B$2:$B$5001,B183,$E$2:$E$5001,"Em ajustes",$A$2:$A$5001,"&lt;"&amp;I183)&gt;0,1,0),0))</f>
        <v/>
      </c>
      <c r="L183" s="16" t="str">
        <f aca="false">IF(B183="","",IF(A183=_xlfn.MAXIFS($A$2:$A$5001,$B$2:$B$5001,B183,$I$2:$I$5001,I183),1,0))</f>
        <v/>
      </c>
    </row>
    <row r="184" customFormat="false" ht="15" hidden="false" customHeight="false" outlineLevel="0" collapsed="false">
      <c r="I184" s="15" t="str">
        <f aca="false">IF(A184="","",INT(A184))</f>
        <v/>
      </c>
      <c r="J184" s="16" t="str">
        <f aca="false">IF(B184="","",IF(A184=_xlfn.MINIFS($A$2:$A$5001,$B$2:$B$5001,B184),1,0))</f>
        <v/>
      </c>
      <c r="K184" s="16" t="str">
        <f aca="false">IF(B184="","",IF(AND(D184="Formalização",E184="Concluído"),IF(COUNTIFS($B$2:$B$5001,B184,$E$2:$E$5001,"Em ajustes",$A$2:$A$5001,"&lt;"&amp;I184)&gt;0,1,0),0))</f>
        <v/>
      </c>
      <c r="L184" s="16" t="str">
        <f aca="false">IF(B184="","",IF(A184=_xlfn.MAXIFS($A$2:$A$5001,$B$2:$B$5001,B184,$I$2:$I$5001,I184),1,0))</f>
        <v/>
      </c>
    </row>
    <row r="185" customFormat="false" ht="15" hidden="false" customHeight="false" outlineLevel="0" collapsed="false">
      <c r="I185" s="15" t="str">
        <f aca="false">IF(A185="","",INT(A185))</f>
        <v/>
      </c>
      <c r="J185" s="16" t="str">
        <f aca="false">IF(B185="","",IF(A185=_xlfn.MINIFS($A$2:$A$5001,$B$2:$B$5001,B185),1,0))</f>
        <v/>
      </c>
      <c r="K185" s="16" t="str">
        <f aca="false">IF(B185="","",IF(AND(D185="Formalização",E185="Concluído"),IF(COUNTIFS($B$2:$B$5001,B185,$E$2:$E$5001,"Em ajustes",$A$2:$A$5001,"&lt;"&amp;I185)&gt;0,1,0),0))</f>
        <v/>
      </c>
      <c r="L185" s="16" t="str">
        <f aca="false">IF(B185="","",IF(A185=_xlfn.MAXIFS($A$2:$A$5001,$B$2:$B$5001,B185,$I$2:$I$5001,I185),1,0))</f>
        <v/>
      </c>
    </row>
    <row r="186" customFormat="false" ht="15" hidden="false" customHeight="false" outlineLevel="0" collapsed="false">
      <c r="I186" s="15" t="str">
        <f aca="false">IF(A186="","",INT(A186))</f>
        <v/>
      </c>
      <c r="J186" s="16" t="str">
        <f aca="false">IF(B186="","",IF(A186=_xlfn.MINIFS($A$2:$A$5001,$B$2:$B$5001,B186),1,0))</f>
        <v/>
      </c>
      <c r="K186" s="16" t="str">
        <f aca="false">IF(B186="","",IF(AND(D186="Formalização",E186="Concluído"),IF(COUNTIFS($B$2:$B$5001,B186,$E$2:$E$5001,"Em ajustes",$A$2:$A$5001,"&lt;"&amp;I186)&gt;0,1,0),0))</f>
        <v/>
      </c>
      <c r="L186" s="16" t="str">
        <f aca="false">IF(B186="","",IF(A186=_xlfn.MAXIFS($A$2:$A$5001,$B$2:$B$5001,B186,$I$2:$I$5001,I186),1,0))</f>
        <v/>
      </c>
    </row>
    <row r="187" customFormat="false" ht="15" hidden="false" customHeight="false" outlineLevel="0" collapsed="false">
      <c r="I187" s="15" t="str">
        <f aca="false">IF(A187="","",INT(A187))</f>
        <v/>
      </c>
      <c r="J187" s="16" t="str">
        <f aca="false">IF(B187="","",IF(A187=_xlfn.MINIFS($A$2:$A$5001,$B$2:$B$5001,B187),1,0))</f>
        <v/>
      </c>
      <c r="K187" s="16" t="str">
        <f aca="false">IF(B187="","",IF(AND(D187="Formalização",E187="Concluído"),IF(COUNTIFS($B$2:$B$5001,B187,$E$2:$E$5001,"Em ajustes",$A$2:$A$5001,"&lt;"&amp;I187)&gt;0,1,0),0))</f>
        <v/>
      </c>
      <c r="L187" s="16" t="str">
        <f aca="false">IF(B187="","",IF(A187=_xlfn.MAXIFS($A$2:$A$5001,$B$2:$B$5001,B187,$I$2:$I$5001,I187),1,0))</f>
        <v/>
      </c>
    </row>
    <row r="188" customFormat="false" ht="15" hidden="false" customHeight="false" outlineLevel="0" collapsed="false">
      <c r="I188" s="15" t="str">
        <f aca="false">IF(A188="","",INT(A188))</f>
        <v/>
      </c>
      <c r="J188" s="16" t="str">
        <f aca="false">IF(B188="","",IF(A188=_xlfn.MINIFS($A$2:$A$5001,$B$2:$B$5001,B188),1,0))</f>
        <v/>
      </c>
      <c r="K188" s="16" t="str">
        <f aca="false">IF(B188="","",IF(AND(D188="Formalização",E188="Concluído"),IF(COUNTIFS($B$2:$B$5001,B188,$E$2:$E$5001,"Em ajustes",$A$2:$A$5001,"&lt;"&amp;I188)&gt;0,1,0),0))</f>
        <v/>
      </c>
      <c r="L188" s="16" t="str">
        <f aca="false">IF(B188="","",IF(A188=_xlfn.MAXIFS($A$2:$A$5001,$B$2:$B$5001,B188,$I$2:$I$5001,I188),1,0))</f>
        <v/>
      </c>
    </row>
    <row r="189" customFormat="false" ht="15" hidden="false" customHeight="false" outlineLevel="0" collapsed="false">
      <c r="I189" s="15" t="str">
        <f aca="false">IF(A189="","",INT(A189))</f>
        <v/>
      </c>
      <c r="J189" s="16" t="str">
        <f aca="false">IF(B189="","",IF(A189=_xlfn.MINIFS($A$2:$A$5001,$B$2:$B$5001,B189),1,0))</f>
        <v/>
      </c>
      <c r="K189" s="16" t="str">
        <f aca="false">IF(B189="","",IF(AND(D189="Formalização",E189="Concluído"),IF(COUNTIFS($B$2:$B$5001,B189,$E$2:$E$5001,"Em ajustes",$A$2:$A$5001,"&lt;"&amp;I189)&gt;0,1,0),0))</f>
        <v/>
      </c>
      <c r="L189" s="16" t="str">
        <f aca="false">IF(B189="","",IF(A189=_xlfn.MAXIFS($A$2:$A$5001,$B$2:$B$5001,B189,$I$2:$I$5001,I189),1,0))</f>
        <v/>
      </c>
    </row>
    <row r="190" customFormat="false" ht="15" hidden="false" customHeight="false" outlineLevel="0" collapsed="false">
      <c r="I190" s="15" t="str">
        <f aca="false">IF(A190="","",INT(A190))</f>
        <v/>
      </c>
      <c r="J190" s="16" t="str">
        <f aca="false">IF(B190="","",IF(A190=_xlfn.MINIFS($A$2:$A$5001,$B$2:$B$5001,B190),1,0))</f>
        <v/>
      </c>
      <c r="K190" s="16" t="str">
        <f aca="false">IF(B190="","",IF(AND(D190="Formalização",E190="Concluído"),IF(COUNTIFS($B$2:$B$5001,B190,$E$2:$E$5001,"Em ajustes",$A$2:$A$5001,"&lt;"&amp;I190)&gt;0,1,0),0))</f>
        <v/>
      </c>
      <c r="L190" s="16" t="str">
        <f aca="false">IF(B190="","",IF(A190=_xlfn.MAXIFS($A$2:$A$5001,$B$2:$B$5001,B190,$I$2:$I$5001,I190),1,0))</f>
        <v/>
      </c>
    </row>
    <row r="191" customFormat="false" ht="15" hidden="false" customHeight="false" outlineLevel="0" collapsed="false">
      <c r="I191" s="15" t="str">
        <f aca="false">IF(A191="","",INT(A191))</f>
        <v/>
      </c>
      <c r="J191" s="16" t="str">
        <f aca="false">IF(B191="","",IF(A191=_xlfn.MINIFS($A$2:$A$5001,$B$2:$B$5001,B191),1,0))</f>
        <v/>
      </c>
      <c r="K191" s="16" t="str">
        <f aca="false">IF(B191="","",IF(AND(D191="Formalização",E191="Concluído"),IF(COUNTIFS($B$2:$B$5001,B191,$E$2:$E$5001,"Em ajustes",$A$2:$A$5001,"&lt;"&amp;I191)&gt;0,1,0),0))</f>
        <v/>
      </c>
      <c r="L191" s="16" t="str">
        <f aca="false">IF(B191="","",IF(A191=_xlfn.MAXIFS($A$2:$A$5001,$B$2:$B$5001,B191,$I$2:$I$5001,I191),1,0))</f>
        <v/>
      </c>
    </row>
    <row r="192" customFormat="false" ht="15" hidden="false" customHeight="false" outlineLevel="0" collapsed="false">
      <c r="I192" s="15" t="str">
        <f aca="false">IF(A192="","",INT(A192))</f>
        <v/>
      </c>
      <c r="J192" s="16" t="str">
        <f aca="false">IF(B192="","",IF(A192=_xlfn.MINIFS($A$2:$A$5001,$B$2:$B$5001,B192),1,0))</f>
        <v/>
      </c>
      <c r="K192" s="16" t="str">
        <f aca="false">IF(B192="","",IF(AND(D192="Formalização",E192="Concluído"),IF(COUNTIFS($B$2:$B$5001,B192,$E$2:$E$5001,"Em ajustes",$A$2:$A$5001,"&lt;"&amp;I192)&gt;0,1,0),0))</f>
        <v/>
      </c>
      <c r="L192" s="16" t="str">
        <f aca="false">IF(B192="","",IF(A192=_xlfn.MAXIFS($A$2:$A$5001,$B$2:$B$5001,B192,$I$2:$I$5001,I192),1,0))</f>
        <v/>
      </c>
    </row>
    <row r="193" customFormat="false" ht="15" hidden="false" customHeight="false" outlineLevel="0" collapsed="false">
      <c r="I193" s="15" t="str">
        <f aca="false">IF(A193="","",INT(A193))</f>
        <v/>
      </c>
      <c r="J193" s="16" t="str">
        <f aca="false">IF(B193="","",IF(A193=_xlfn.MINIFS($A$2:$A$5001,$B$2:$B$5001,B193),1,0))</f>
        <v/>
      </c>
      <c r="K193" s="16" t="str">
        <f aca="false">IF(B193="","",IF(AND(D193="Formalização",E193="Concluído"),IF(COUNTIFS($B$2:$B$5001,B193,$E$2:$E$5001,"Em ajustes",$A$2:$A$5001,"&lt;"&amp;I193)&gt;0,1,0),0))</f>
        <v/>
      </c>
      <c r="L193" s="16" t="str">
        <f aca="false">IF(B193="","",IF(A193=_xlfn.MAXIFS($A$2:$A$5001,$B$2:$B$5001,B193,$I$2:$I$5001,I193),1,0))</f>
        <v/>
      </c>
    </row>
    <row r="194" customFormat="false" ht="15" hidden="false" customHeight="false" outlineLevel="0" collapsed="false">
      <c r="I194" s="15" t="str">
        <f aca="false">IF(A194="","",INT(A194))</f>
        <v/>
      </c>
      <c r="J194" s="16" t="str">
        <f aca="false">IF(B194="","",IF(A194=_xlfn.MINIFS($A$2:$A$5001,$B$2:$B$5001,B194),1,0))</f>
        <v/>
      </c>
      <c r="K194" s="16" t="str">
        <f aca="false">IF(B194="","",IF(AND(D194="Formalização",E194="Concluído"),IF(COUNTIFS($B$2:$B$5001,B194,$E$2:$E$5001,"Em ajustes",$A$2:$A$5001,"&lt;"&amp;I194)&gt;0,1,0),0))</f>
        <v/>
      </c>
      <c r="L194" s="16" t="str">
        <f aca="false">IF(B194="","",IF(A194=_xlfn.MAXIFS($A$2:$A$5001,$B$2:$B$5001,B194,$I$2:$I$5001,I194),1,0))</f>
        <v/>
      </c>
    </row>
    <row r="195" customFormat="false" ht="15" hidden="false" customHeight="false" outlineLevel="0" collapsed="false">
      <c r="I195" s="15" t="str">
        <f aca="false">IF(A195="","",INT(A195))</f>
        <v/>
      </c>
      <c r="J195" s="16" t="str">
        <f aca="false">IF(B195="","",IF(A195=_xlfn.MINIFS($A$2:$A$5001,$B$2:$B$5001,B195),1,0))</f>
        <v/>
      </c>
      <c r="K195" s="16" t="str">
        <f aca="false">IF(B195="","",IF(AND(D195="Formalização",E195="Concluído"),IF(COUNTIFS($B$2:$B$5001,B195,$E$2:$E$5001,"Em ajustes",$A$2:$A$5001,"&lt;"&amp;I195)&gt;0,1,0),0))</f>
        <v/>
      </c>
      <c r="L195" s="16" t="str">
        <f aca="false">IF(B195="","",IF(A195=_xlfn.MAXIFS($A$2:$A$5001,$B$2:$B$5001,B195,$I$2:$I$5001,I195),1,0))</f>
        <v/>
      </c>
    </row>
    <row r="196" customFormat="false" ht="15" hidden="false" customHeight="false" outlineLevel="0" collapsed="false">
      <c r="I196" s="15" t="str">
        <f aca="false">IF(A196="","",INT(A196))</f>
        <v/>
      </c>
      <c r="J196" s="16" t="str">
        <f aca="false">IF(B196="","",IF(A196=_xlfn.MINIFS($A$2:$A$5001,$B$2:$B$5001,B196),1,0))</f>
        <v/>
      </c>
      <c r="K196" s="16" t="str">
        <f aca="false">IF(B196="","",IF(AND(D196="Formalização",E196="Concluído"),IF(COUNTIFS($B$2:$B$5001,B196,$E$2:$E$5001,"Em ajustes",$A$2:$A$5001,"&lt;"&amp;I196)&gt;0,1,0),0))</f>
        <v/>
      </c>
      <c r="L196" s="16" t="str">
        <f aca="false">IF(B196="","",IF(A196=_xlfn.MAXIFS($A$2:$A$5001,$B$2:$B$5001,B196,$I$2:$I$5001,I196),1,0))</f>
        <v/>
      </c>
    </row>
    <row r="197" customFormat="false" ht="15" hidden="false" customHeight="false" outlineLevel="0" collapsed="false">
      <c r="I197" s="15" t="str">
        <f aca="false">IF(A197="","",INT(A197))</f>
        <v/>
      </c>
      <c r="J197" s="16" t="str">
        <f aca="false">IF(B197="","",IF(A197=_xlfn.MINIFS($A$2:$A$5001,$B$2:$B$5001,B197),1,0))</f>
        <v/>
      </c>
      <c r="K197" s="16" t="str">
        <f aca="false">IF(B197="","",IF(AND(D197="Formalização",E197="Concluído"),IF(COUNTIFS($B$2:$B$5001,B197,$E$2:$E$5001,"Em ajustes",$A$2:$A$5001,"&lt;"&amp;I197)&gt;0,1,0),0))</f>
        <v/>
      </c>
      <c r="L197" s="16" t="str">
        <f aca="false">IF(B197="","",IF(A197=_xlfn.MAXIFS($A$2:$A$5001,$B$2:$B$5001,B197,$I$2:$I$5001,I197),1,0))</f>
        <v/>
      </c>
    </row>
    <row r="198" customFormat="false" ht="15" hidden="false" customHeight="false" outlineLevel="0" collapsed="false">
      <c r="I198" s="15" t="str">
        <f aca="false">IF(A198="","",INT(A198))</f>
        <v/>
      </c>
      <c r="J198" s="16" t="str">
        <f aca="false">IF(B198="","",IF(A198=_xlfn.MINIFS($A$2:$A$5001,$B$2:$B$5001,B198),1,0))</f>
        <v/>
      </c>
      <c r="K198" s="16" t="str">
        <f aca="false">IF(B198="","",IF(AND(D198="Formalização",E198="Concluído"),IF(COUNTIFS($B$2:$B$5001,B198,$E$2:$E$5001,"Em ajustes",$A$2:$A$5001,"&lt;"&amp;I198)&gt;0,1,0),0))</f>
        <v/>
      </c>
      <c r="L198" s="16" t="str">
        <f aca="false">IF(B198="","",IF(A198=_xlfn.MAXIFS($A$2:$A$5001,$B$2:$B$5001,B198,$I$2:$I$5001,I198),1,0))</f>
        <v/>
      </c>
    </row>
    <row r="199" customFormat="false" ht="15" hidden="false" customHeight="false" outlineLevel="0" collapsed="false">
      <c r="I199" s="15" t="str">
        <f aca="false">IF(A199="","",INT(A199))</f>
        <v/>
      </c>
      <c r="J199" s="16" t="str">
        <f aca="false">IF(B199="","",IF(A199=_xlfn.MINIFS($A$2:$A$5001,$B$2:$B$5001,B199),1,0))</f>
        <v/>
      </c>
      <c r="K199" s="16" t="str">
        <f aca="false">IF(B199="","",IF(AND(D199="Formalização",E199="Concluído"),IF(COUNTIFS($B$2:$B$5001,B199,$E$2:$E$5001,"Em ajustes",$A$2:$A$5001,"&lt;"&amp;I199)&gt;0,1,0),0))</f>
        <v/>
      </c>
      <c r="L199" s="16" t="str">
        <f aca="false">IF(B199="","",IF(A199=_xlfn.MAXIFS($A$2:$A$5001,$B$2:$B$5001,B199,$I$2:$I$5001,I199),1,0))</f>
        <v/>
      </c>
    </row>
    <row r="200" customFormat="false" ht="15" hidden="false" customHeight="false" outlineLevel="0" collapsed="false">
      <c r="I200" s="15" t="str">
        <f aca="false">IF(A200="","",INT(A200))</f>
        <v/>
      </c>
      <c r="J200" s="16" t="str">
        <f aca="false">IF(B200="","",IF(A200=_xlfn.MINIFS($A$2:$A$5001,$B$2:$B$5001,B200),1,0))</f>
        <v/>
      </c>
      <c r="K200" s="16" t="str">
        <f aca="false">IF(B200="","",IF(AND(D200="Formalização",E200="Concluído"),IF(COUNTIFS($B$2:$B$5001,B200,$E$2:$E$5001,"Em ajustes",$A$2:$A$5001,"&lt;"&amp;I200)&gt;0,1,0),0))</f>
        <v/>
      </c>
      <c r="L200" s="16" t="str">
        <f aca="false">IF(B200="","",IF(A200=_xlfn.MAXIFS($A$2:$A$5001,$B$2:$B$5001,B200,$I$2:$I$5001,I200),1,0))</f>
        <v/>
      </c>
    </row>
    <row r="201" customFormat="false" ht="15" hidden="false" customHeight="false" outlineLevel="0" collapsed="false">
      <c r="I201" s="15" t="str">
        <f aca="false">IF(A201="","",INT(A201))</f>
        <v/>
      </c>
      <c r="J201" s="16" t="str">
        <f aca="false">IF(B201="","",IF(A201=_xlfn.MINIFS($A$2:$A$5001,$B$2:$B$5001,B201),1,0))</f>
        <v/>
      </c>
      <c r="K201" s="16" t="str">
        <f aca="false">IF(B201="","",IF(AND(D201="Formalização",E201="Concluído"),IF(COUNTIFS($B$2:$B$5001,B201,$E$2:$E$5001,"Em ajustes",$A$2:$A$5001,"&lt;"&amp;I201)&gt;0,1,0),0))</f>
        <v/>
      </c>
      <c r="L201" s="16" t="str">
        <f aca="false">IF(B201="","",IF(A201=_xlfn.MAXIFS($A$2:$A$5001,$B$2:$B$5001,B201,$I$2:$I$5001,I201),1,0))</f>
        <v/>
      </c>
    </row>
    <row r="202" customFormat="false" ht="15" hidden="false" customHeight="false" outlineLevel="0" collapsed="false">
      <c r="I202" s="15" t="str">
        <f aca="false">IF(A202="","",INT(A202))</f>
        <v/>
      </c>
      <c r="J202" s="16" t="str">
        <f aca="false">IF(B202="","",IF(A202=_xlfn.MINIFS($A$2:$A$5001,$B$2:$B$5001,B202),1,0))</f>
        <v/>
      </c>
      <c r="K202" s="16" t="str">
        <f aca="false">IF(B202="","",IF(AND(D202="Formalização",E202="Concluído"),IF(COUNTIFS($B$2:$B$5001,B202,$E$2:$E$5001,"Em ajustes",$A$2:$A$5001,"&lt;"&amp;I202)&gt;0,1,0),0))</f>
        <v/>
      </c>
      <c r="L202" s="16" t="str">
        <f aca="false">IF(B202="","",IF(A202=_xlfn.MAXIFS($A$2:$A$5001,$B$2:$B$5001,B202,$I$2:$I$5001,I202),1,0))</f>
        <v/>
      </c>
    </row>
    <row r="203" customFormat="false" ht="15" hidden="false" customHeight="false" outlineLevel="0" collapsed="false">
      <c r="I203" s="15" t="str">
        <f aca="false">IF(A203="","",INT(A203))</f>
        <v/>
      </c>
      <c r="J203" s="16" t="str">
        <f aca="false">IF(B203="","",IF(A203=_xlfn.MINIFS($A$2:$A$5001,$B$2:$B$5001,B203),1,0))</f>
        <v/>
      </c>
      <c r="K203" s="16" t="str">
        <f aca="false">IF(B203="","",IF(AND(D203="Formalização",E203="Concluído"),IF(COUNTIFS($B$2:$B$5001,B203,$E$2:$E$5001,"Em ajustes",$A$2:$A$5001,"&lt;"&amp;I203)&gt;0,1,0),0))</f>
        <v/>
      </c>
      <c r="L203" s="16" t="str">
        <f aca="false">IF(B203="","",IF(A203=_xlfn.MAXIFS($A$2:$A$5001,$B$2:$B$5001,B203,$I$2:$I$5001,I203),1,0))</f>
        <v/>
      </c>
    </row>
    <row r="204" customFormat="false" ht="15" hidden="false" customHeight="false" outlineLevel="0" collapsed="false">
      <c r="I204" s="15" t="str">
        <f aca="false">IF(A204="","",INT(A204))</f>
        <v/>
      </c>
      <c r="J204" s="16" t="str">
        <f aca="false">IF(B204="","",IF(A204=_xlfn.MINIFS($A$2:$A$5001,$B$2:$B$5001,B204),1,0))</f>
        <v/>
      </c>
      <c r="K204" s="16" t="str">
        <f aca="false">IF(B204="","",IF(AND(D204="Formalização",E204="Concluído"),IF(COUNTIFS($B$2:$B$5001,B204,$E$2:$E$5001,"Em ajustes",$A$2:$A$5001,"&lt;"&amp;I204)&gt;0,1,0),0))</f>
        <v/>
      </c>
      <c r="L204" s="16" t="str">
        <f aca="false">IF(B204="","",IF(A204=_xlfn.MAXIFS($A$2:$A$5001,$B$2:$B$5001,B204,$I$2:$I$5001,I204),1,0))</f>
        <v/>
      </c>
    </row>
    <row r="205" customFormat="false" ht="15" hidden="false" customHeight="false" outlineLevel="0" collapsed="false">
      <c r="I205" s="15" t="str">
        <f aca="false">IF(A205="","",INT(A205))</f>
        <v/>
      </c>
      <c r="J205" s="16" t="str">
        <f aca="false">IF(B205="","",IF(A205=_xlfn.MINIFS($A$2:$A$5001,$B$2:$B$5001,B205),1,0))</f>
        <v/>
      </c>
      <c r="K205" s="16" t="str">
        <f aca="false">IF(B205="","",IF(AND(D205="Formalização",E205="Concluído"),IF(COUNTIFS($B$2:$B$5001,B205,$E$2:$E$5001,"Em ajustes",$A$2:$A$5001,"&lt;"&amp;I205)&gt;0,1,0),0))</f>
        <v/>
      </c>
      <c r="L205" s="16" t="str">
        <f aca="false">IF(B205="","",IF(A205=_xlfn.MAXIFS($A$2:$A$5001,$B$2:$B$5001,B205,$I$2:$I$5001,I205),1,0))</f>
        <v/>
      </c>
    </row>
    <row r="206" customFormat="false" ht="15" hidden="false" customHeight="false" outlineLevel="0" collapsed="false">
      <c r="I206" s="15" t="str">
        <f aca="false">IF(A206="","",INT(A206))</f>
        <v/>
      </c>
      <c r="J206" s="16" t="str">
        <f aca="false">IF(B206="","",IF(A206=_xlfn.MINIFS($A$2:$A$5001,$B$2:$B$5001,B206),1,0))</f>
        <v/>
      </c>
      <c r="K206" s="16" t="str">
        <f aca="false">IF(B206="","",IF(AND(D206="Formalização",E206="Concluído"),IF(COUNTIFS($B$2:$B$5001,B206,$E$2:$E$5001,"Em ajustes",$A$2:$A$5001,"&lt;"&amp;I206)&gt;0,1,0),0))</f>
        <v/>
      </c>
      <c r="L206" s="16" t="str">
        <f aca="false">IF(B206="","",IF(A206=_xlfn.MAXIFS($A$2:$A$5001,$B$2:$B$5001,B206,$I$2:$I$5001,I206),1,0))</f>
        <v/>
      </c>
    </row>
    <row r="207" customFormat="false" ht="15" hidden="false" customHeight="false" outlineLevel="0" collapsed="false">
      <c r="I207" s="15" t="str">
        <f aca="false">IF(A207="","",INT(A207))</f>
        <v/>
      </c>
      <c r="J207" s="16" t="str">
        <f aca="false">IF(B207="","",IF(A207=_xlfn.MINIFS($A$2:$A$5001,$B$2:$B$5001,B207),1,0))</f>
        <v/>
      </c>
      <c r="K207" s="16" t="str">
        <f aca="false">IF(B207="","",IF(AND(D207="Formalização",E207="Concluído"),IF(COUNTIFS($B$2:$B$5001,B207,$E$2:$E$5001,"Em ajustes",$A$2:$A$5001,"&lt;"&amp;I207)&gt;0,1,0),0))</f>
        <v/>
      </c>
      <c r="L207" s="16" t="str">
        <f aca="false">IF(B207="","",IF(A207=_xlfn.MAXIFS($A$2:$A$5001,$B$2:$B$5001,B207,$I$2:$I$5001,I207),1,0))</f>
        <v/>
      </c>
    </row>
    <row r="208" customFormat="false" ht="15" hidden="false" customHeight="false" outlineLevel="0" collapsed="false">
      <c r="I208" s="15" t="str">
        <f aca="false">IF(A208="","",INT(A208))</f>
        <v/>
      </c>
      <c r="J208" s="16" t="str">
        <f aca="false">IF(B208="","",IF(A208=_xlfn.MINIFS($A$2:$A$5001,$B$2:$B$5001,B208),1,0))</f>
        <v/>
      </c>
      <c r="K208" s="16" t="str">
        <f aca="false">IF(B208="","",IF(AND(D208="Formalização",E208="Concluído"),IF(COUNTIFS($B$2:$B$5001,B208,$E$2:$E$5001,"Em ajustes",$A$2:$A$5001,"&lt;"&amp;I208)&gt;0,1,0),0))</f>
        <v/>
      </c>
      <c r="L208" s="16" t="str">
        <f aca="false">IF(B208="","",IF(A208=_xlfn.MAXIFS($A$2:$A$5001,$B$2:$B$5001,B208,$I$2:$I$5001,I208),1,0))</f>
        <v/>
      </c>
    </row>
    <row r="209" customFormat="false" ht="15" hidden="false" customHeight="false" outlineLevel="0" collapsed="false">
      <c r="I209" s="15" t="str">
        <f aca="false">IF(A209="","",INT(A209))</f>
        <v/>
      </c>
      <c r="J209" s="16" t="str">
        <f aca="false">IF(B209="","",IF(A209=_xlfn.MINIFS($A$2:$A$5001,$B$2:$B$5001,B209),1,0))</f>
        <v/>
      </c>
      <c r="K209" s="16" t="str">
        <f aca="false">IF(B209="","",IF(AND(D209="Formalização",E209="Concluído"),IF(COUNTIFS($B$2:$B$5001,B209,$E$2:$E$5001,"Em ajustes",$A$2:$A$5001,"&lt;"&amp;I209)&gt;0,1,0),0))</f>
        <v/>
      </c>
      <c r="L209" s="16" t="str">
        <f aca="false">IF(B209="","",IF(A209=_xlfn.MAXIFS($A$2:$A$5001,$B$2:$B$5001,B209,$I$2:$I$5001,I209),1,0))</f>
        <v/>
      </c>
    </row>
    <row r="210" customFormat="false" ht="15" hidden="false" customHeight="false" outlineLevel="0" collapsed="false">
      <c r="I210" s="15" t="str">
        <f aca="false">IF(A210="","",INT(A210))</f>
        <v/>
      </c>
      <c r="J210" s="16" t="str">
        <f aca="false">IF(B210="","",IF(A210=_xlfn.MINIFS($A$2:$A$5001,$B$2:$B$5001,B210),1,0))</f>
        <v/>
      </c>
      <c r="K210" s="16" t="str">
        <f aca="false">IF(B210="","",IF(AND(D210="Formalização",E210="Concluído"),IF(COUNTIFS($B$2:$B$5001,B210,$E$2:$E$5001,"Em ajustes",$A$2:$A$5001,"&lt;"&amp;I210)&gt;0,1,0),0))</f>
        <v/>
      </c>
      <c r="L210" s="16" t="str">
        <f aca="false">IF(B210="","",IF(A210=_xlfn.MAXIFS($A$2:$A$5001,$B$2:$B$5001,B210,$I$2:$I$5001,I210),1,0))</f>
        <v/>
      </c>
    </row>
    <row r="211" customFormat="false" ht="15" hidden="false" customHeight="false" outlineLevel="0" collapsed="false">
      <c r="I211" s="15" t="str">
        <f aca="false">IF(A211="","",INT(A211))</f>
        <v/>
      </c>
      <c r="J211" s="16" t="str">
        <f aca="false">IF(B211="","",IF(A211=_xlfn.MINIFS($A$2:$A$5001,$B$2:$B$5001,B211),1,0))</f>
        <v/>
      </c>
      <c r="K211" s="16" t="str">
        <f aca="false">IF(B211="","",IF(AND(D211="Formalização",E211="Concluído"),IF(COUNTIFS($B$2:$B$5001,B211,$E$2:$E$5001,"Em ajustes",$A$2:$A$5001,"&lt;"&amp;I211)&gt;0,1,0),0))</f>
        <v/>
      </c>
      <c r="L211" s="16" t="str">
        <f aca="false">IF(B211="","",IF(A211=_xlfn.MAXIFS($A$2:$A$5001,$B$2:$B$5001,B211,$I$2:$I$5001,I211),1,0))</f>
        <v/>
      </c>
    </row>
    <row r="212" customFormat="false" ht="15" hidden="false" customHeight="false" outlineLevel="0" collapsed="false">
      <c r="I212" s="15" t="str">
        <f aca="false">IF(A212="","",INT(A212))</f>
        <v/>
      </c>
      <c r="J212" s="16" t="str">
        <f aca="false">IF(B212="","",IF(A212=_xlfn.MINIFS($A$2:$A$5001,$B$2:$B$5001,B212),1,0))</f>
        <v/>
      </c>
      <c r="K212" s="16" t="str">
        <f aca="false">IF(B212="","",IF(AND(D212="Formalização",E212="Concluído"),IF(COUNTIFS($B$2:$B$5001,B212,$E$2:$E$5001,"Em ajustes",$A$2:$A$5001,"&lt;"&amp;I212)&gt;0,1,0),0))</f>
        <v/>
      </c>
      <c r="L212" s="16" t="str">
        <f aca="false">IF(B212="","",IF(A212=_xlfn.MAXIFS($A$2:$A$5001,$B$2:$B$5001,B212,$I$2:$I$5001,I212),1,0))</f>
        <v/>
      </c>
    </row>
    <row r="213" customFormat="false" ht="15" hidden="false" customHeight="false" outlineLevel="0" collapsed="false">
      <c r="I213" s="15" t="str">
        <f aca="false">IF(A213="","",INT(A213))</f>
        <v/>
      </c>
      <c r="J213" s="16" t="str">
        <f aca="false">IF(B213="","",IF(A213=_xlfn.MINIFS($A$2:$A$5001,$B$2:$B$5001,B213),1,0))</f>
        <v/>
      </c>
      <c r="K213" s="16" t="str">
        <f aca="false">IF(B213="","",IF(AND(D213="Formalização",E213="Concluído"),IF(COUNTIFS($B$2:$B$5001,B213,$E$2:$E$5001,"Em ajustes",$A$2:$A$5001,"&lt;"&amp;I213)&gt;0,1,0),0))</f>
        <v/>
      </c>
      <c r="L213" s="16" t="str">
        <f aca="false">IF(B213="","",IF(A213=_xlfn.MAXIFS($A$2:$A$5001,$B$2:$B$5001,B213,$I$2:$I$5001,I213),1,0))</f>
        <v/>
      </c>
    </row>
    <row r="214" customFormat="false" ht="15" hidden="false" customHeight="false" outlineLevel="0" collapsed="false">
      <c r="I214" s="15" t="str">
        <f aca="false">IF(A214="","",INT(A214))</f>
        <v/>
      </c>
      <c r="J214" s="16" t="str">
        <f aca="false">IF(B214="","",IF(A214=_xlfn.MINIFS($A$2:$A$5001,$B$2:$B$5001,B214),1,0))</f>
        <v/>
      </c>
      <c r="K214" s="16" t="str">
        <f aca="false">IF(B214="","",IF(AND(D214="Formalização",E214="Concluído"),IF(COUNTIFS($B$2:$B$5001,B214,$E$2:$E$5001,"Em ajustes",$A$2:$A$5001,"&lt;"&amp;I214)&gt;0,1,0),0))</f>
        <v/>
      </c>
      <c r="L214" s="16" t="str">
        <f aca="false">IF(B214="","",IF(A214=_xlfn.MAXIFS($A$2:$A$5001,$B$2:$B$5001,B214,$I$2:$I$5001,I214),1,0))</f>
        <v/>
      </c>
    </row>
    <row r="215" customFormat="false" ht="15" hidden="false" customHeight="false" outlineLevel="0" collapsed="false">
      <c r="I215" s="15" t="str">
        <f aca="false">IF(A215="","",INT(A215))</f>
        <v/>
      </c>
      <c r="J215" s="16" t="str">
        <f aca="false">IF(B215="","",IF(A215=_xlfn.MINIFS($A$2:$A$5001,$B$2:$B$5001,B215),1,0))</f>
        <v/>
      </c>
      <c r="K215" s="16" t="str">
        <f aca="false">IF(B215="","",IF(AND(D215="Formalização",E215="Concluído"),IF(COUNTIFS($B$2:$B$5001,B215,$E$2:$E$5001,"Em ajustes",$A$2:$A$5001,"&lt;"&amp;I215)&gt;0,1,0),0))</f>
        <v/>
      </c>
      <c r="L215" s="16" t="str">
        <f aca="false">IF(B215="","",IF(A215=_xlfn.MAXIFS($A$2:$A$5001,$B$2:$B$5001,B215,$I$2:$I$5001,I215),1,0))</f>
        <v/>
      </c>
    </row>
    <row r="216" customFormat="false" ht="15" hidden="false" customHeight="false" outlineLevel="0" collapsed="false">
      <c r="I216" s="15" t="str">
        <f aca="false">IF(A216="","",INT(A216))</f>
        <v/>
      </c>
      <c r="J216" s="16" t="str">
        <f aca="false">IF(B216="","",IF(A216=_xlfn.MINIFS($A$2:$A$5001,$B$2:$B$5001,B216),1,0))</f>
        <v/>
      </c>
      <c r="K216" s="16" t="str">
        <f aca="false">IF(B216="","",IF(AND(D216="Formalização",E216="Concluído"),IF(COUNTIFS($B$2:$B$5001,B216,$E$2:$E$5001,"Em ajustes",$A$2:$A$5001,"&lt;"&amp;I216)&gt;0,1,0),0))</f>
        <v/>
      </c>
      <c r="L216" s="16" t="str">
        <f aca="false">IF(B216="","",IF(A216=_xlfn.MAXIFS($A$2:$A$5001,$B$2:$B$5001,B216,$I$2:$I$5001,I216),1,0))</f>
        <v/>
      </c>
    </row>
    <row r="217" customFormat="false" ht="15" hidden="false" customHeight="false" outlineLevel="0" collapsed="false">
      <c r="I217" s="15" t="str">
        <f aca="false">IF(A217="","",INT(A217))</f>
        <v/>
      </c>
      <c r="J217" s="16" t="str">
        <f aca="false">IF(B217="","",IF(A217=_xlfn.MINIFS($A$2:$A$5001,$B$2:$B$5001,B217),1,0))</f>
        <v/>
      </c>
      <c r="K217" s="16" t="str">
        <f aca="false">IF(B217="","",IF(AND(D217="Formalização",E217="Concluído"),IF(COUNTIFS($B$2:$B$5001,B217,$E$2:$E$5001,"Em ajustes",$A$2:$A$5001,"&lt;"&amp;I217)&gt;0,1,0),0))</f>
        <v/>
      </c>
      <c r="L217" s="16" t="str">
        <f aca="false">IF(B217="","",IF(A217=_xlfn.MAXIFS($A$2:$A$5001,$B$2:$B$5001,B217,$I$2:$I$5001,I217),1,0))</f>
        <v/>
      </c>
    </row>
    <row r="218" customFormat="false" ht="15" hidden="false" customHeight="false" outlineLevel="0" collapsed="false">
      <c r="I218" s="15" t="str">
        <f aca="false">IF(A218="","",INT(A218))</f>
        <v/>
      </c>
      <c r="J218" s="16" t="str">
        <f aca="false">IF(B218="","",IF(A218=_xlfn.MINIFS($A$2:$A$5001,$B$2:$B$5001,B218),1,0))</f>
        <v/>
      </c>
      <c r="K218" s="16" t="str">
        <f aca="false">IF(B218="","",IF(AND(D218="Formalização",E218="Concluído"),IF(COUNTIFS($B$2:$B$5001,B218,$E$2:$E$5001,"Em ajustes",$A$2:$A$5001,"&lt;"&amp;I218)&gt;0,1,0),0))</f>
        <v/>
      </c>
      <c r="L218" s="16" t="str">
        <f aca="false">IF(B218="","",IF(A218=_xlfn.MAXIFS($A$2:$A$5001,$B$2:$B$5001,B218,$I$2:$I$5001,I218),1,0))</f>
        <v/>
      </c>
    </row>
    <row r="219" customFormat="false" ht="15" hidden="false" customHeight="false" outlineLevel="0" collapsed="false">
      <c r="I219" s="15" t="str">
        <f aca="false">IF(A219="","",INT(A219))</f>
        <v/>
      </c>
      <c r="J219" s="16" t="str">
        <f aca="false">IF(B219="","",IF(A219=_xlfn.MINIFS($A$2:$A$5001,$B$2:$B$5001,B219),1,0))</f>
        <v/>
      </c>
      <c r="K219" s="16" t="str">
        <f aca="false">IF(B219="","",IF(AND(D219="Formalização",E219="Concluído"),IF(COUNTIFS($B$2:$B$5001,B219,$E$2:$E$5001,"Em ajustes",$A$2:$A$5001,"&lt;"&amp;I219)&gt;0,1,0),0))</f>
        <v/>
      </c>
      <c r="L219" s="16" t="str">
        <f aca="false">IF(B219="","",IF(A219=_xlfn.MAXIFS($A$2:$A$5001,$B$2:$B$5001,B219,$I$2:$I$5001,I219),1,0))</f>
        <v/>
      </c>
    </row>
    <row r="220" customFormat="false" ht="15" hidden="false" customHeight="false" outlineLevel="0" collapsed="false">
      <c r="I220" s="15" t="str">
        <f aca="false">IF(A220="","",INT(A220))</f>
        <v/>
      </c>
      <c r="J220" s="16" t="str">
        <f aca="false">IF(B220="","",IF(A220=_xlfn.MINIFS($A$2:$A$5001,$B$2:$B$5001,B220),1,0))</f>
        <v/>
      </c>
      <c r="K220" s="16" t="str">
        <f aca="false">IF(B220="","",IF(AND(D220="Formalização",E220="Concluído"),IF(COUNTIFS($B$2:$B$5001,B220,$E$2:$E$5001,"Em ajustes",$A$2:$A$5001,"&lt;"&amp;I220)&gt;0,1,0),0))</f>
        <v/>
      </c>
      <c r="L220" s="16" t="str">
        <f aca="false">IF(B220="","",IF(A220=_xlfn.MAXIFS($A$2:$A$5001,$B$2:$B$5001,B220,$I$2:$I$5001,I220),1,0))</f>
        <v/>
      </c>
    </row>
    <row r="221" customFormat="false" ht="15" hidden="false" customHeight="false" outlineLevel="0" collapsed="false">
      <c r="I221" s="15" t="str">
        <f aca="false">IF(A221="","",INT(A221))</f>
        <v/>
      </c>
      <c r="J221" s="16" t="str">
        <f aca="false">IF(B221="","",IF(A221=_xlfn.MINIFS($A$2:$A$5001,$B$2:$B$5001,B221),1,0))</f>
        <v/>
      </c>
      <c r="K221" s="16" t="str">
        <f aca="false">IF(B221="","",IF(AND(D221="Formalização",E221="Concluído"),IF(COUNTIFS($B$2:$B$5001,B221,$E$2:$E$5001,"Em ajustes",$A$2:$A$5001,"&lt;"&amp;I221)&gt;0,1,0),0))</f>
        <v/>
      </c>
      <c r="L221" s="16" t="str">
        <f aca="false">IF(B221="","",IF(A221=_xlfn.MAXIFS($A$2:$A$5001,$B$2:$B$5001,B221,$I$2:$I$5001,I221),1,0))</f>
        <v/>
      </c>
    </row>
    <row r="222" customFormat="false" ht="15" hidden="false" customHeight="false" outlineLevel="0" collapsed="false">
      <c r="I222" s="15" t="str">
        <f aca="false">IF(A222="","",INT(A222))</f>
        <v/>
      </c>
      <c r="J222" s="16" t="str">
        <f aca="false">IF(B222="","",IF(A222=_xlfn.MINIFS($A$2:$A$5001,$B$2:$B$5001,B222),1,0))</f>
        <v/>
      </c>
      <c r="K222" s="16" t="str">
        <f aca="false">IF(B222="","",IF(AND(D222="Formalização",E222="Concluído"),IF(COUNTIFS($B$2:$B$5001,B222,$E$2:$E$5001,"Em ajustes",$A$2:$A$5001,"&lt;"&amp;I222)&gt;0,1,0),0))</f>
        <v/>
      </c>
      <c r="L222" s="16" t="str">
        <f aca="false">IF(B222="","",IF(A222=_xlfn.MAXIFS($A$2:$A$5001,$B$2:$B$5001,B222,$I$2:$I$5001,I222),1,0))</f>
        <v/>
      </c>
    </row>
    <row r="223" customFormat="false" ht="15" hidden="false" customHeight="false" outlineLevel="0" collapsed="false">
      <c r="I223" s="15" t="str">
        <f aca="false">IF(A223="","",INT(A223))</f>
        <v/>
      </c>
      <c r="J223" s="16" t="str">
        <f aca="false">IF(B223="","",IF(A223=_xlfn.MINIFS($A$2:$A$5001,$B$2:$B$5001,B223),1,0))</f>
        <v/>
      </c>
      <c r="K223" s="16" t="str">
        <f aca="false">IF(B223="","",IF(AND(D223="Formalização",E223="Concluído"),IF(COUNTIFS($B$2:$B$5001,B223,$E$2:$E$5001,"Em ajustes",$A$2:$A$5001,"&lt;"&amp;I223)&gt;0,1,0),0))</f>
        <v/>
      </c>
      <c r="L223" s="16" t="str">
        <f aca="false">IF(B223="","",IF(A223=_xlfn.MAXIFS($A$2:$A$5001,$B$2:$B$5001,B223,$I$2:$I$5001,I223),1,0))</f>
        <v/>
      </c>
    </row>
    <row r="224" customFormat="false" ht="15" hidden="false" customHeight="false" outlineLevel="0" collapsed="false">
      <c r="I224" s="15" t="str">
        <f aca="false">IF(A224="","",INT(A224))</f>
        <v/>
      </c>
      <c r="J224" s="16" t="str">
        <f aca="false">IF(B224="","",IF(A224=_xlfn.MINIFS($A$2:$A$5001,$B$2:$B$5001,B224),1,0))</f>
        <v/>
      </c>
      <c r="K224" s="16" t="str">
        <f aca="false">IF(B224="","",IF(AND(D224="Formalização",E224="Concluído"),IF(COUNTIFS($B$2:$B$5001,B224,$E$2:$E$5001,"Em ajustes",$A$2:$A$5001,"&lt;"&amp;I224)&gt;0,1,0),0))</f>
        <v/>
      </c>
      <c r="L224" s="16" t="str">
        <f aca="false">IF(B224="","",IF(A224=_xlfn.MAXIFS($A$2:$A$5001,$B$2:$B$5001,B224,$I$2:$I$5001,I224),1,0))</f>
        <v/>
      </c>
    </row>
    <row r="225" customFormat="false" ht="15" hidden="false" customHeight="false" outlineLevel="0" collapsed="false">
      <c r="I225" s="15" t="str">
        <f aca="false">IF(A225="","",INT(A225))</f>
        <v/>
      </c>
      <c r="J225" s="16" t="str">
        <f aca="false">IF(B225="","",IF(A225=_xlfn.MINIFS($A$2:$A$5001,$B$2:$B$5001,B225),1,0))</f>
        <v/>
      </c>
      <c r="K225" s="16" t="str">
        <f aca="false">IF(B225="","",IF(AND(D225="Formalização",E225="Concluído"),IF(COUNTIFS($B$2:$B$5001,B225,$E$2:$E$5001,"Em ajustes",$A$2:$A$5001,"&lt;"&amp;I225)&gt;0,1,0),0))</f>
        <v/>
      </c>
      <c r="L225" s="16" t="str">
        <f aca="false">IF(B225="","",IF(A225=_xlfn.MAXIFS($A$2:$A$5001,$B$2:$B$5001,B225,$I$2:$I$5001,I225),1,0))</f>
        <v/>
      </c>
    </row>
    <row r="226" customFormat="false" ht="15" hidden="false" customHeight="false" outlineLevel="0" collapsed="false">
      <c r="I226" s="15" t="str">
        <f aca="false">IF(A226="","",INT(A226))</f>
        <v/>
      </c>
      <c r="J226" s="16" t="str">
        <f aca="false">IF(B226="","",IF(A226=_xlfn.MINIFS($A$2:$A$5001,$B$2:$B$5001,B226),1,0))</f>
        <v/>
      </c>
      <c r="K226" s="16" t="str">
        <f aca="false">IF(B226="","",IF(AND(D226="Formalização",E226="Concluído"),IF(COUNTIFS($B$2:$B$5001,B226,$E$2:$E$5001,"Em ajustes",$A$2:$A$5001,"&lt;"&amp;I226)&gt;0,1,0),0))</f>
        <v/>
      </c>
      <c r="L226" s="16" t="str">
        <f aca="false">IF(B226="","",IF(A226=_xlfn.MAXIFS($A$2:$A$5001,$B$2:$B$5001,B226,$I$2:$I$5001,I226),1,0))</f>
        <v/>
      </c>
    </row>
    <row r="227" customFormat="false" ht="15" hidden="false" customHeight="false" outlineLevel="0" collapsed="false">
      <c r="I227" s="15" t="str">
        <f aca="false">IF(A227="","",INT(A227))</f>
        <v/>
      </c>
      <c r="J227" s="16" t="str">
        <f aca="false">IF(B227="","",IF(A227=_xlfn.MINIFS($A$2:$A$5001,$B$2:$B$5001,B227),1,0))</f>
        <v/>
      </c>
      <c r="K227" s="16" t="str">
        <f aca="false">IF(B227="","",IF(AND(D227="Formalização",E227="Concluído"),IF(COUNTIFS($B$2:$B$5001,B227,$E$2:$E$5001,"Em ajustes",$A$2:$A$5001,"&lt;"&amp;I227)&gt;0,1,0),0))</f>
        <v/>
      </c>
      <c r="L227" s="16" t="str">
        <f aca="false">IF(B227="","",IF(A227=_xlfn.MAXIFS($A$2:$A$5001,$B$2:$B$5001,B227,$I$2:$I$5001,I227),1,0))</f>
        <v/>
      </c>
    </row>
    <row r="228" customFormat="false" ht="15" hidden="false" customHeight="false" outlineLevel="0" collapsed="false">
      <c r="I228" s="15" t="str">
        <f aca="false">IF(A228="","",INT(A228))</f>
        <v/>
      </c>
      <c r="J228" s="16" t="str">
        <f aca="false">IF(B228="","",IF(A228=_xlfn.MINIFS($A$2:$A$5001,$B$2:$B$5001,B228),1,0))</f>
        <v/>
      </c>
      <c r="K228" s="16" t="str">
        <f aca="false">IF(B228="","",IF(AND(D228="Formalização",E228="Concluído"),IF(COUNTIFS($B$2:$B$5001,B228,$E$2:$E$5001,"Em ajustes",$A$2:$A$5001,"&lt;"&amp;I228)&gt;0,1,0),0))</f>
        <v/>
      </c>
      <c r="L228" s="16" t="str">
        <f aca="false">IF(B228="","",IF(A228=_xlfn.MAXIFS($A$2:$A$5001,$B$2:$B$5001,B228,$I$2:$I$5001,I228),1,0))</f>
        <v/>
      </c>
    </row>
    <row r="229" customFormat="false" ht="15" hidden="false" customHeight="false" outlineLevel="0" collapsed="false">
      <c r="I229" s="15" t="str">
        <f aca="false">IF(A229="","",INT(A229))</f>
        <v/>
      </c>
      <c r="J229" s="16" t="str">
        <f aca="false">IF(B229="","",IF(A229=_xlfn.MINIFS($A$2:$A$5001,$B$2:$B$5001,B229),1,0))</f>
        <v/>
      </c>
      <c r="K229" s="16" t="str">
        <f aca="false">IF(B229="","",IF(AND(D229="Formalização",E229="Concluído"),IF(COUNTIFS($B$2:$B$5001,B229,$E$2:$E$5001,"Em ajustes",$A$2:$A$5001,"&lt;"&amp;I229)&gt;0,1,0),0))</f>
        <v/>
      </c>
      <c r="L229" s="16" t="str">
        <f aca="false">IF(B229="","",IF(A229=_xlfn.MAXIFS($A$2:$A$5001,$B$2:$B$5001,B229,$I$2:$I$5001,I229),1,0))</f>
        <v/>
      </c>
    </row>
    <row r="230" customFormat="false" ht="15" hidden="false" customHeight="false" outlineLevel="0" collapsed="false">
      <c r="I230" s="15" t="str">
        <f aca="false">IF(A230="","",INT(A230))</f>
        <v/>
      </c>
      <c r="J230" s="16" t="str">
        <f aca="false">IF(B230="","",IF(A230=_xlfn.MINIFS($A$2:$A$5001,$B$2:$B$5001,B230),1,0))</f>
        <v/>
      </c>
      <c r="K230" s="16" t="str">
        <f aca="false">IF(B230="","",IF(AND(D230="Formalização",E230="Concluído"),IF(COUNTIFS($B$2:$B$5001,B230,$E$2:$E$5001,"Em ajustes",$A$2:$A$5001,"&lt;"&amp;I230)&gt;0,1,0),0))</f>
        <v/>
      </c>
      <c r="L230" s="16" t="str">
        <f aca="false">IF(B230="","",IF(A230=_xlfn.MAXIFS($A$2:$A$5001,$B$2:$B$5001,B230,$I$2:$I$5001,I230),1,0))</f>
        <v/>
      </c>
    </row>
    <row r="231" customFormat="false" ht="15" hidden="false" customHeight="false" outlineLevel="0" collapsed="false">
      <c r="I231" s="15" t="str">
        <f aca="false">IF(A231="","",INT(A231))</f>
        <v/>
      </c>
      <c r="J231" s="16" t="str">
        <f aca="false">IF(B231="","",IF(A231=_xlfn.MINIFS($A$2:$A$5001,$B$2:$B$5001,B231),1,0))</f>
        <v/>
      </c>
      <c r="K231" s="16" t="str">
        <f aca="false">IF(B231="","",IF(AND(D231="Formalização",E231="Concluído"),IF(COUNTIFS($B$2:$B$5001,B231,$E$2:$E$5001,"Em ajustes",$A$2:$A$5001,"&lt;"&amp;I231)&gt;0,1,0),0))</f>
        <v/>
      </c>
      <c r="L231" s="16" t="str">
        <f aca="false">IF(B231="","",IF(A231=_xlfn.MAXIFS($A$2:$A$5001,$B$2:$B$5001,B231,$I$2:$I$5001,I231),1,0))</f>
        <v/>
      </c>
    </row>
    <row r="232" customFormat="false" ht="15" hidden="false" customHeight="false" outlineLevel="0" collapsed="false">
      <c r="I232" s="15" t="str">
        <f aca="false">IF(A232="","",INT(A232))</f>
        <v/>
      </c>
      <c r="J232" s="16" t="str">
        <f aca="false">IF(B232="","",IF(A232=_xlfn.MINIFS($A$2:$A$5001,$B$2:$B$5001,B232),1,0))</f>
        <v/>
      </c>
      <c r="K232" s="16" t="str">
        <f aca="false">IF(B232="","",IF(AND(D232="Formalização",E232="Concluído"),IF(COUNTIFS($B$2:$B$5001,B232,$E$2:$E$5001,"Em ajustes",$A$2:$A$5001,"&lt;"&amp;I232)&gt;0,1,0),0))</f>
        <v/>
      </c>
      <c r="L232" s="16" t="str">
        <f aca="false">IF(B232="","",IF(A232=_xlfn.MAXIFS($A$2:$A$5001,$B$2:$B$5001,B232,$I$2:$I$5001,I232),1,0))</f>
        <v/>
      </c>
    </row>
    <row r="233" customFormat="false" ht="15" hidden="false" customHeight="false" outlineLevel="0" collapsed="false">
      <c r="I233" s="15" t="str">
        <f aca="false">IF(A233="","",INT(A233))</f>
        <v/>
      </c>
      <c r="J233" s="16" t="str">
        <f aca="false">IF(B233="","",IF(A233=_xlfn.MINIFS($A$2:$A$5001,$B$2:$B$5001,B233),1,0))</f>
        <v/>
      </c>
      <c r="K233" s="16" t="str">
        <f aca="false">IF(B233="","",IF(AND(D233="Formalização",E233="Concluído"),IF(COUNTIFS($B$2:$B$5001,B233,$E$2:$E$5001,"Em ajustes",$A$2:$A$5001,"&lt;"&amp;I233)&gt;0,1,0),0))</f>
        <v/>
      </c>
      <c r="L233" s="16" t="str">
        <f aca="false">IF(B233="","",IF(A233=_xlfn.MAXIFS($A$2:$A$5001,$B$2:$B$5001,B233,$I$2:$I$5001,I233),1,0))</f>
        <v/>
      </c>
    </row>
    <row r="234" customFormat="false" ht="15" hidden="false" customHeight="false" outlineLevel="0" collapsed="false">
      <c r="I234" s="15" t="str">
        <f aca="false">IF(A234="","",INT(A234))</f>
        <v/>
      </c>
      <c r="J234" s="16" t="str">
        <f aca="false">IF(B234="","",IF(A234=_xlfn.MINIFS($A$2:$A$5001,$B$2:$B$5001,B234),1,0))</f>
        <v/>
      </c>
      <c r="K234" s="16" t="str">
        <f aca="false">IF(B234="","",IF(AND(D234="Formalização",E234="Concluído"),IF(COUNTIFS($B$2:$B$5001,B234,$E$2:$E$5001,"Em ajustes",$A$2:$A$5001,"&lt;"&amp;I234)&gt;0,1,0),0))</f>
        <v/>
      </c>
      <c r="L234" s="16" t="str">
        <f aca="false">IF(B234="","",IF(A234=_xlfn.MAXIFS($A$2:$A$5001,$B$2:$B$5001,B234,$I$2:$I$5001,I234),1,0))</f>
        <v/>
      </c>
    </row>
    <row r="235" customFormat="false" ht="15" hidden="false" customHeight="false" outlineLevel="0" collapsed="false">
      <c r="I235" s="15" t="str">
        <f aca="false">IF(A235="","",INT(A235))</f>
        <v/>
      </c>
      <c r="J235" s="16" t="str">
        <f aca="false">IF(B235="","",IF(A235=_xlfn.MINIFS($A$2:$A$5001,$B$2:$B$5001,B235),1,0))</f>
        <v/>
      </c>
      <c r="K235" s="16" t="str">
        <f aca="false">IF(B235="","",IF(AND(D235="Formalização",E235="Concluído"),IF(COUNTIFS($B$2:$B$5001,B235,$E$2:$E$5001,"Em ajustes",$A$2:$A$5001,"&lt;"&amp;I235)&gt;0,1,0),0))</f>
        <v/>
      </c>
      <c r="L235" s="16" t="str">
        <f aca="false">IF(B235="","",IF(A235=_xlfn.MAXIFS($A$2:$A$5001,$B$2:$B$5001,B235,$I$2:$I$5001,I235),1,0))</f>
        <v/>
      </c>
    </row>
    <row r="236" customFormat="false" ht="15" hidden="false" customHeight="false" outlineLevel="0" collapsed="false">
      <c r="I236" s="15" t="str">
        <f aca="false">IF(A236="","",INT(A236))</f>
        <v/>
      </c>
      <c r="J236" s="16" t="str">
        <f aca="false">IF(B236="","",IF(A236=_xlfn.MINIFS($A$2:$A$5001,$B$2:$B$5001,B236),1,0))</f>
        <v/>
      </c>
      <c r="K236" s="16" t="str">
        <f aca="false">IF(B236="","",IF(AND(D236="Formalização",E236="Concluído"),IF(COUNTIFS($B$2:$B$5001,B236,$E$2:$E$5001,"Em ajustes",$A$2:$A$5001,"&lt;"&amp;I236)&gt;0,1,0),0))</f>
        <v/>
      </c>
      <c r="L236" s="16" t="str">
        <f aca="false">IF(B236="","",IF(A236=_xlfn.MAXIFS($A$2:$A$5001,$B$2:$B$5001,B236,$I$2:$I$5001,I236),1,0))</f>
        <v/>
      </c>
    </row>
    <row r="237" customFormat="false" ht="15" hidden="false" customHeight="false" outlineLevel="0" collapsed="false">
      <c r="I237" s="15" t="str">
        <f aca="false">IF(A237="","",INT(A237))</f>
        <v/>
      </c>
      <c r="J237" s="16" t="str">
        <f aca="false">IF(B237="","",IF(A237=_xlfn.MINIFS($A$2:$A$5001,$B$2:$B$5001,B237),1,0))</f>
        <v/>
      </c>
      <c r="K237" s="16" t="str">
        <f aca="false">IF(B237="","",IF(AND(D237="Formalização",E237="Concluído"),IF(COUNTIFS($B$2:$B$5001,B237,$E$2:$E$5001,"Em ajustes",$A$2:$A$5001,"&lt;"&amp;I237)&gt;0,1,0),0))</f>
        <v/>
      </c>
      <c r="L237" s="16" t="str">
        <f aca="false">IF(B237="","",IF(A237=_xlfn.MAXIFS($A$2:$A$5001,$B$2:$B$5001,B237,$I$2:$I$5001,I237),1,0))</f>
        <v/>
      </c>
    </row>
    <row r="238" customFormat="false" ht="15" hidden="false" customHeight="false" outlineLevel="0" collapsed="false">
      <c r="I238" s="15" t="str">
        <f aca="false">IF(A238="","",INT(A238))</f>
        <v/>
      </c>
      <c r="J238" s="16" t="str">
        <f aca="false">IF(B238="","",IF(A238=_xlfn.MINIFS($A$2:$A$5001,$B$2:$B$5001,B238),1,0))</f>
        <v/>
      </c>
      <c r="K238" s="16" t="str">
        <f aca="false">IF(B238="","",IF(AND(D238="Formalização",E238="Concluído"),IF(COUNTIFS($B$2:$B$5001,B238,$E$2:$E$5001,"Em ajustes",$A$2:$A$5001,"&lt;"&amp;I238)&gt;0,1,0),0))</f>
        <v/>
      </c>
      <c r="L238" s="16" t="str">
        <f aca="false">IF(B238="","",IF(A238=_xlfn.MAXIFS($A$2:$A$5001,$B$2:$B$5001,B238,$I$2:$I$5001,I238),1,0))</f>
        <v/>
      </c>
    </row>
    <row r="239" customFormat="false" ht="15" hidden="false" customHeight="false" outlineLevel="0" collapsed="false">
      <c r="I239" s="15" t="str">
        <f aca="false">IF(A239="","",INT(A239))</f>
        <v/>
      </c>
      <c r="J239" s="16" t="str">
        <f aca="false">IF(B239="","",IF(A239=_xlfn.MINIFS($A$2:$A$5001,$B$2:$B$5001,B239),1,0))</f>
        <v/>
      </c>
      <c r="K239" s="16" t="str">
        <f aca="false">IF(B239="","",IF(AND(D239="Formalização",E239="Concluído"),IF(COUNTIFS($B$2:$B$5001,B239,$E$2:$E$5001,"Em ajustes",$A$2:$A$5001,"&lt;"&amp;I239)&gt;0,1,0),0))</f>
        <v/>
      </c>
      <c r="L239" s="16" t="str">
        <f aca="false">IF(B239="","",IF(A239=_xlfn.MAXIFS($A$2:$A$5001,$B$2:$B$5001,B239,$I$2:$I$5001,I239),1,0))</f>
        <v/>
      </c>
    </row>
    <row r="240" customFormat="false" ht="15" hidden="false" customHeight="false" outlineLevel="0" collapsed="false">
      <c r="I240" s="15" t="str">
        <f aca="false">IF(A240="","",INT(A240))</f>
        <v/>
      </c>
      <c r="J240" s="16" t="str">
        <f aca="false">IF(B240="","",IF(A240=_xlfn.MINIFS($A$2:$A$5001,$B$2:$B$5001,B240),1,0))</f>
        <v/>
      </c>
      <c r="K240" s="16" t="str">
        <f aca="false">IF(B240="","",IF(AND(D240="Formalização",E240="Concluído"),IF(COUNTIFS($B$2:$B$5001,B240,$E$2:$E$5001,"Em ajustes",$A$2:$A$5001,"&lt;"&amp;I240)&gt;0,1,0),0))</f>
        <v/>
      </c>
      <c r="L240" s="16" t="str">
        <f aca="false">IF(B240="","",IF(A240=_xlfn.MAXIFS($A$2:$A$5001,$B$2:$B$5001,B240,$I$2:$I$5001,I240),1,0))</f>
        <v/>
      </c>
    </row>
    <row r="241" customFormat="false" ht="15" hidden="false" customHeight="false" outlineLevel="0" collapsed="false">
      <c r="I241" s="15" t="str">
        <f aca="false">IF(A241="","",INT(A241))</f>
        <v/>
      </c>
      <c r="J241" s="16" t="str">
        <f aca="false">IF(B241="","",IF(A241=_xlfn.MINIFS($A$2:$A$5001,$B$2:$B$5001,B241),1,0))</f>
        <v/>
      </c>
      <c r="K241" s="16" t="str">
        <f aca="false">IF(B241="","",IF(AND(D241="Formalização",E241="Concluído"),IF(COUNTIFS($B$2:$B$5001,B241,$E$2:$E$5001,"Em ajustes",$A$2:$A$5001,"&lt;"&amp;I241)&gt;0,1,0),0))</f>
        <v/>
      </c>
      <c r="L241" s="16" t="str">
        <f aca="false">IF(B241="","",IF(A241=_xlfn.MAXIFS($A$2:$A$5001,$B$2:$B$5001,B241,$I$2:$I$5001,I241),1,0))</f>
        <v/>
      </c>
    </row>
    <row r="242" customFormat="false" ht="15" hidden="false" customHeight="false" outlineLevel="0" collapsed="false">
      <c r="I242" s="15" t="str">
        <f aca="false">IF(A242="","",INT(A242))</f>
        <v/>
      </c>
      <c r="J242" s="16" t="str">
        <f aca="false">IF(B242="","",IF(A242=_xlfn.MINIFS($A$2:$A$5001,$B$2:$B$5001,B242),1,0))</f>
        <v/>
      </c>
      <c r="K242" s="16" t="str">
        <f aca="false">IF(B242="","",IF(AND(D242="Formalização",E242="Concluído"),IF(COUNTIFS($B$2:$B$5001,B242,$E$2:$E$5001,"Em ajustes",$A$2:$A$5001,"&lt;"&amp;I242)&gt;0,1,0),0))</f>
        <v/>
      </c>
      <c r="L242" s="16" t="str">
        <f aca="false">IF(B242="","",IF(A242=_xlfn.MAXIFS($A$2:$A$5001,$B$2:$B$5001,B242,$I$2:$I$5001,I242),1,0))</f>
        <v/>
      </c>
    </row>
    <row r="243" customFormat="false" ht="15" hidden="false" customHeight="false" outlineLevel="0" collapsed="false">
      <c r="I243" s="15" t="str">
        <f aca="false">IF(A243="","",INT(A243))</f>
        <v/>
      </c>
      <c r="J243" s="16" t="str">
        <f aca="false">IF(B243="","",IF(A243=_xlfn.MINIFS($A$2:$A$5001,$B$2:$B$5001,B243),1,0))</f>
        <v/>
      </c>
      <c r="K243" s="16" t="str">
        <f aca="false">IF(B243="","",IF(AND(D243="Formalização",E243="Concluído"),IF(COUNTIFS($B$2:$B$5001,B243,$E$2:$E$5001,"Em ajustes",$A$2:$A$5001,"&lt;"&amp;I243)&gt;0,1,0),0))</f>
        <v/>
      </c>
      <c r="L243" s="16" t="str">
        <f aca="false">IF(B243="","",IF(A243=_xlfn.MAXIFS($A$2:$A$5001,$B$2:$B$5001,B243,$I$2:$I$5001,I243),1,0))</f>
        <v/>
      </c>
    </row>
    <row r="244" customFormat="false" ht="15" hidden="false" customHeight="false" outlineLevel="0" collapsed="false">
      <c r="I244" s="15" t="str">
        <f aca="false">IF(A244="","",INT(A244))</f>
        <v/>
      </c>
      <c r="J244" s="16" t="str">
        <f aca="false">IF(B244="","",IF(A244=_xlfn.MINIFS($A$2:$A$5001,$B$2:$B$5001,B244),1,0))</f>
        <v/>
      </c>
      <c r="K244" s="16" t="str">
        <f aca="false">IF(B244="","",IF(AND(D244="Formalização",E244="Concluído"),IF(COUNTIFS($B$2:$B$5001,B244,$E$2:$E$5001,"Em ajustes",$A$2:$A$5001,"&lt;"&amp;I244)&gt;0,1,0),0))</f>
        <v/>
      </c>
      <c r="L244" s="16" t="str">
        <f aca="false">IF(B244="","",IF(A244=_xlfn.MAXIFS($A$2:$A$5001,$B$2:$B$5001,B244,$I$2:$I$5001,I244),1,0))</f>
        <v/>
      </c>
    </row>
    <row r="245" customFormat="false" ht="15" hidden="false" customHeight="false" outlineLevel="0" collapsed="false">
      <c r="I245" s="15" t="str">
        <f aca="false">IF(A245="","",INT(A245))</f>
        <v/>
      </c>
      <c r="J245" s="16" t="str">
        <f aca="false">IF(B245="","",IF(A245=_xlfn.MINIFS($A$2:$A$5001,$B$2:$B$5001,B245),1,0))</f>
        <v/>
      </c>
      <c r="K245" s="16" t="str">
        <f aca="false">IF(B245="","",IF(AND(D245="Formalização",E245="Concluído"),IF(COUNTIFS($B$2:$B$5001,B245,$E$2:$E$5001,"Em ajustes",$A$2:$A$5001,"&lt;"&amp;I245)&gt;0,1,0),0))</f>
        <v/>
      </c>
      <c r="L245" s="16" t="str">
        <f aca="false">IF(B245="","",IF(A245=_xlfn.MAXIFS($A$2:$A$5001,$B$2:$B$5001,B245,$I$2:$I$5001,I245),1,0))</f>
        <v/>
      </c>
    </row>
    <row r="246" customFormat="false" ht="15" hidden="false" customHeight="false" outlineLevel="0" collapsed="false">
      <c r="I246" s="15" t="str">
        <f aca="false">IF(A246="","",INT(A246))</f>
        <v/>
      </c>
      <c r="J246" s="16" t="str">
        <f aca="false">IF(B246="","",IF(A246=_xlfn.MINIFS($A$2:$A$5001,$B$2:$B$5001,B246),1,0))</f>
        <v/>
      </c>
      <c r="K246" s="16" t="str">
        <f aca="false">IF(B246="","",IF(AND(D246="Formalização",E246="Concluído"),IF(COUNTIFS($B$2:$B$5001,B246,$E$2:$E$5001,"Em ajustes",$A$2:$A$5001,"&lt;"&amp;I246)&gt;0,1,0),0))</f>
        <v/>
      </c>
      <c r="L246" s="16" t="str">
        <f aca="false">IF(B246="","",IF(A246=_xlfn.MAXIFS($A$2:$A$5001,$B$2:$B$5001,B246,$I$2:$I$5001,I246),1,0))</f>
        <v/>
      </c>
    </row>
    <row r="247" customFormat="false" ht="15" hidden="false" customHeight="false" outlineLevel="0" collapsed="false">
      <c r="I247" s="15" t="str">
        <f aca="false">IF(A247="","",INT(A247))</f>
        <v/>
      </c>
      <c r="J247" s="16" t="str">
        <f aca="false">IF(B247="","",IF(A247=_xlfn.MINIFS($A$2:$A$5001,$B$2:$B$5001,B247),1,0))</f>
        <v/>
      </c>
      <c r="K247" s="16" t="str">
        <f aca="false">IF(B247="","",IF(AND(D247="Formalização",E247="Concluído"),IF(COUNTIFS($B$2:$B$5001,B247,$E$2:$E$5001,"Em ajustes",$A$2:$A$5001,"&lt;"&amp;I247)&gt;0,1,0),0))</f>
        <v/>
      </c>
      <c r="L247" s="16" t="str">
        <f aca="false">IF(B247="","",IF(A247=_xlfn.MAXIFS($A$2:$A$5001,$B$2:$B$5001,B247,$I$2:$I$5001,I247),1,0))</f>
        <v/>
      </c>
    </row>
    <row r="248" customFormat="false" ht="15" hidden="false" customHeight="false" outlineLevel="0" collapsed="false">
      <c r="I248" s="15" t="str">
        <f aca="false">IF(A248="","",INT(A248))</f>
        <v/>
      </c>
      <c r="J248" s="16" t="str">
        <f aca="false">IF(B248="","",IF(A248=_xlfn.MINIFS($A$2:$A$5001,$B$2:$B$5001,B248),1,0))</f>
        <v/>
      </c>
      <c r="K248" s="16" t="str">
        <f aca="false">IF(B248="","",IF(AND(D248="Formalização",E248="Concluído"),IF(COUNTIFS($B$2:$B$5001,B248,$E$2:$E$5001,"Em ajustes",$A$2:$A$5001,"&lt;"&amp;I248)&gt;0,1,0),0))</f>
        <v/>
      </c>
      <c r="L248" s="16" t="str">
        <f aca="false">IF(B248="","",IF(A248=_xlfn.MAXIFS($A$2:$A$5001,$B$2:$B$5001,B248,$I$2:$I$5001,I248),1,0))</f>
        <v/>
      </c>
    </row>
    <row r="249" customFormat="false" ht="15" hidden="false" customHeight="false" outlineLevel="0" collapsed="false">
      <c r="I249" s="15" t="str">
        <f aca="false">IF(A249="","",INT(A249))</f>
        <v/>
      </c>
      <c r="J249" s="16" t="str">
        <f aca="false">IF(B249="","",IF(A249=_xlfn.MINIFS($A$2:$A$5001,$B$2:$B$5001,B249),1,0))</f>
        <v/>
      </c>
      <c r="K249" s="16" t="str">
        <f aca="false">IF(B249="","",IF(AND(D249="Formalização",E249="Concluído"),IF(COUNTIFS($B$2:$B$5001,B249,$E$2:$E$5001,"Em ajustes",$A$2:$A$5001,"&lt;"&amp;I249)&gt;0,1,0),0))</f>
        <v/>
      </c>
      <c r="L249" s="16" t="str">
        <f aca="false">IF(B249="","",IF(A249=_xlfn.MAXIFS($A$2:$A$5001,$B$2:$B$5001,B249,$I$2:$I$5001,I249),1,0))</f>
        <v/>
      </c>
    </row>
    <row r="250" customFormat="false" ht="15" hidden="false" customHeight="false" outlineLevel="0" collapsed="false">
      <c r="I250" s="15" t="str">
        <f aca="false">IF(A250="","",INT(A250))</f>
        <v/>
      </c>
      <c r="J250" s="16" t="str">
        <f aca="false">IF(B250="","",IF(A250=_xlfn.MINIFS($A$2:$A$5001,$B$2:$B$5001,B250),1,0))</f>
        <v/>
      </c>
      <c r="K250" s="16" t="str">
        <f aca="false">IF(B250="","",IF(AND(D250="Formalização",E250="Concluído"),IF(COUNTIFS($B$2:$B$5001,B250,$E$2:$E$5001,"Em ajustes",$A$2:$A$5001,"&lt;"&amp;I250)&gt;0,1,0),0))</f>
        <v/>
      </c>
      <c r="L250" s="16" t="str">
        <f aca="false">IF(B250="","",IF(A250=_xlfn.MAXIFS($A$2:$A$5001,$B$2:$B$5001,B250,$I$2:$I$5001,I250),1,0))</f>
        <v/>
      </c>
    </row>
    <row r="251" customFormat="false" ht="15" hidden="false" customHeight="false" outlineLevel="0" collapsed="false">
      <c r="I251" s="15" t="str">
        <f aca="false">IF(A251="","",INT(A251))</f>
        <v/>
      </c>
      <c r="J251" s="16" t="str">
        <f aca="false">IF(B251="","",IF(A251=_xlfn.MINIFS($A$2:$A$5001,$B$2:$B$5001,B251),1,0))</f>
        <v/>
      </c>
      <c r="K251" s="16" t="str">
        <f aca="false">IF(B251="","",IF(AND(D251="Formalização",E251="Concluído"),IF(COUNTIFS($B$2:$B$5001,B251,$E$2:$E$5001,"Em ajustes",$A$2:$A$5001,"&lt;"&amp;I251)&gt;0,1,0),0))</f>
        <v/>
      </c>
      <c r="L251" s="16" t="str">
        <f aca="false">IF(B251="","",IF(A251=_xlfn.MAXIFS($A$2:$A$5001,$B$2:$B$5001,B251,$I$2:$I$5001,I251),1,0))</f>
        <v/>
      </c>
    </row>
    <row r="252" customFormat="false" ht="15" hidden="false" customHeight="false" outlineLevel="0" collapsed="false">
      <c r="I252" s="15" t="str">
        <f aca="false">IF(A252="","",INT(A252))</f>
        <v/>
      </c>
      <c r="J252" s="16" t="str">
        <f aca="false">IF(B252="","",IF(A252=_xlfn.MINIFS($A$2:$A$5001,$B$2:$B$5001,B252),1,0))</f>
        <v/>
      </c>
      <c r="K252" s="16" t="str">
        <f aca="false">IF(B252="","",IF(AND(D252="Formalização",E252="Concluído"),IF(COUNTIFS($B$2:$B$5001,B252,$E$2:$E$5001,"Em ajustes",$A$2:$A$5001,"&lt;"&amp;I252)&gt;0,1,0),0))</f>
        <v/>
      </c>
      <c r="L252" s="16" t="str">
        <f aca="false">IF(B252="","",IF(A252=_xlfn.MAXIFS($A$2:$A$5001,$B$2:$B$5001,B252,$I$2:$I$5001,I252),1,0))</f>
        <v/>
      </c>
    </row>
    <row r="253" customFormat="false" ht="15" hidden="false" customHeight="false" outlineLevel="0" collapsed="false">
      <c r="I253" s="15" t="str">
        <f aca="false">IF(A253="","",INT(A253))</f>
        <v/>
      </c>
      <c r="J253" s="16" t="str">
        <f aca="false">IF(B253="","",IF(A253=_xlfn.MINIFS($A$2:$A$5001,$B$2:$B$5001,B253),1,0))</f>
        <v/>
      </c>
      <c r="K253" s="16" t="str">
        <f aca="false">IF(B253="","",IF(AND(D253="Formalização",E253="Concluído"),IF(COUNTIFS($B$2:$B$5001,B253,$E$2:$E$5001,"Em ajustes",$A$2:$A$5001,"&lt;"&amp;I253)&gt;0,1,0),0))</f>
        <v/>
      </c>
      <c r="L253" s="16" t="str">
        <f aca="false">IF(B253="","",IF(A253=_xlfn.MAXIFS($A$2:$A$5001,$B$2:$B$5001,B253,$I$2:$I$5001,I253),1,0))</f>
        <v/>
      </c>
    </row>
    <row r="254" customFormat="false" ht="15" hidden="false" customHeight="false" outlineLevel="0" collapsed="false">
      <c r="I254" s="15" t="str">
        <f aca="false">IF(A254="","",INT(A254))</f>
        <v/>
      </c>
      <c r="J254" s="16" t="str">
        <f aca="false">IF(B254="","",IF(A254=_xlfn.MINIFS($A$2:$A$5001,$B$2:$B$5001,B254),1,0))</f>
        <v/>
      </c>
      <c r="K254" s="16" t="str">
        <f aca="false">IF(B254="","",IF(AND(D254="Formalização",E254="Concluído"),IF(COUNTIFS($B$2:$B$5001,B254,$E$2:$E$5001,"Em ajustes",$A$2:$A$5001,"&lt;"&amp;I254)&gt;0,1,0),0))</f>
        <v/>
      </c>
      <c r="L254" s="16" t="str">
        <f aca="false">IF(B254="","",IF(A254=_xlfn.MAXIFS($A$2:$A$5001,$B$2:$B$5001,B254,$I$2:$I$5001,I254),1,0))</f>
        <v/>
      </c>
    </row>
    <row r="255" customFormat="false" ht="15" hidden="false" customHeight="false" outlineLevel="0" collapsed="false">
      <c r="I255" s="15" t="str">
        <f aca="false">IF(A255="","",INT(A255))</f>
        <v/>
      </c>
      <c r="J255" s="16" t="str">
        <f aca="false">IF(B255="","",IF(A255=_xlfn.MINIFS($A$2:$A$5001,$B$2:$B$5001,B255),1,0))</f>
        <v/>
      </c>
      <c r="K255" s="16" t="str">
        <f aca="false">IF(B255="","",IF(AND(D255="Formalização",E255="Concluído"),IF(COUNTIFS($B$2:$B$5001,B255,$E$2:$E$5001,"Em ajustes",$A$2:$A$5001,"&lt;"&amp;I255)&gt;0,1,0),0))</f>
        <v/>
      </c>
      <c r="L255" s="16" t="str">
        <f aca="false">IF(B255="","",IF(A255=_xlfn.MAXIFS($A$2:$A$5001,$B$2:$B$5001,B255,$I$2:$I$5001,I255),1,0))</f>
        <v/>
      </c>
    </row>
    <row r="256" customFormat="false" ht="15" hidden="false" customHeight="false" outlineLevel="0" collapsed="false">
      <c r="I256" s="15" t="str">
        <f aca="false">IF(A256="","",INT(A256))</f>
        <v/>
      </c>
      <c r="J256" s="16" t="str">
        <f aca="false">IF(B256="","",IF(A256=_xlfn.MINIFS($A$2:$A$5001,$B$2:$B$5001,B256),1,0))</f>
        <v/>
      </c>
      <c r="K256" s="16" t="str">
        <f aca="false">IF(B256="","",IF(AND(D256="Formalização",E256="Concluído"),IF(COUNTIFS($B$2:$B$5001,B256,$E$2:$E$5001,"Em ajustes",$A$2:$A$5001,"&lt;"&amp;I256)&gt;0,1,0),0))</f>
        <v/>
      </c>
      <c r="L256" s="16" t="str">
        <f aca="false">IF(B256="","",IF(A256=_xlfn.MAXIFS($A$2:$A$5001,$B$2:$B$5001,B256,$I$2:$I$5001,I256),1,0))</f>
        <v/>
      </c>
    </row>
    <row r="257" customFormat="false" ht="15" hidden="false" customHeight="false" outlineLevel="0" collapsed="false">
      <c r="I257" s="15" t="str">
        <f aca="false">IF(A257="","",INT(A257))</f>
        <v/>
      </c>
      <c r="J257" s="16" t="str">
        <f aca="false">IF(B257="","",IF(A257=_xlfn.MINIFS($A$2:$A$5001,$B$2:$B$5001,B257),1,0))</f>
        <v/>
      </c>
      <c r="K257" s="16" t="str">
        <f aca="false">IF(B257="","",IF(AND(D257="Formalização",E257="Concluído"),IF(COUNTIFS($B$2:$B$5001,B257,$E$2:$E$5001,"Em ajustes",$A$2:$A$5001,"&lt;"&amp;I257)&gt;0,1,0),0))</f>
        <v/>
      </c>
      <c r="L257" s="16" t="str">
        <f aca="false">IF(B257="","",IF(A257=_xlfn.MAXIFS($A$2:$A$5001,$B$2:$B$5001,B257,$I$2:$I$5001,I257),1,0))</f>
        <v/>
      </c>
    </row>
    <row r="258" customFormat="false" ht="15" hidden="false" customHeight="false" outlineLevel="0" collapsed="false">
      <c r="I258" s="15" t="str">
        <f aca="false">IF(A258="","",INT(A258))</f>
        <v/>
      </c>
      <c r="J258" s="16" t="str">
        <f aca="false">IF(B258="","",IF(A258=_xlfn.MINIFS($A$2:$A$5001,$B$2:$B$5001,B258),1,0))</f>
        <v/>
      </c>
      <c r="K258" s="16" t="str">
        <f aca="false">IF(B258="","",IF(AND(D258="Formalização",E258="Concluído"),IF(COUNTIFS($B$2:$B$5001,B258,$E$2:$E$5001,"Em ajustes",$A$2:$A$5001,"&lt;"&amp;I258)&gt;0,1,0),0))</f>
        <v/>
      </c>
      <c r="L258" s="16" t="str">
        <f aca="false">IF(B258="","",IF(A258=_xlfn.MAXIFS($A$2:$A$5001,$B$2:$B$5001,B258,$I$2:$I$5001,I258),1,0))</f>
        <v/>
      </c>
    </row>
    <row r="259" customFormat="false" ht="15" hidden="false" customHeight="false" outlineLevel="0" collapsed="false">
      <c r="I259" s="15" t="str">
        <f aca="false">IF(A259="","",INT(A259))</f>
        <v/>
      </c>
      <c r="J259" s="16" t="str">
        <f aca="false">IF(B259="","",IF(A259=_xlfn.MINIFS($A$2:$A$5001,$B$2:$B$5001,B259),1,0))</f>
        <v/>
      </c>
      <c r="K259" s="16" t="str">
        <f aca="false">IF(B259="","",IF(AND(D259="Formalização",E259="Concluído"),IF(COUNTIFS($B$2:$B$5001,B259,$E$2:$E$5001,"Em ajustes",$A$2:$A$5001,"&lt;"&amp;I259)&gt;0,1,0),0))</f>
        <v/>
      </c>
      <c r="L259" s="16" t="str">
        <f aca="false">IF(B259="","",IF(A259=_xlfn.MAXIFS($A$2:$A$5001,$B$2:$B$5001,B259,$I$2:$I$5001,I259),1,0))</f>
        <v/>
      </c>
    </row>
    <row r="260" customFormat="false" ht="15" hidden="false" customHeight="false" outlineLevel="0" collapsed="false">
      <c r="I260" s="15" t="str">
        <f aca="false">IF(A260="","",INT(A260))</f>
        <v/>
      </c>
      <c r="J260" s="16" t="str">
        <f aca="false">IF(B260="","",IF(A260=_xlfn.MINIFS($A$2:$A$5001,$B$2:$B$5001,B260),1,0))</f>
        <v/>
      </c>
      <c r="K260" s="16" t="str">
        <f aca="false">IF(B260="","",IF(AND(D260="Formalização",E260="Concluído"),IF(COUNTIFS($B$2:$B$5001,B260,$E$2:$E$5001,"Em ajustes",$A$2:$A$5001,"&lt;"&amp;I260)&gt;0,1,0),0))</f>
        <v/>
      </c>
      <c r="L260" s="16" t="str">
        <f aca="false">IF(B260="","",IF(A260=_xlfn.MAXIFS($A$2:$A$5001,$B$2:$B$5001,B260,$I$2:$I$5001,I260),1,0))</f>
        <v/>
      </c>
    </row>
    <row r="261" customFormat="false" ht="15" hidden="false" customHeight="false" outlineLevel="0" collapsed="false">
      <c r="I261" s="15" t="str">
        <f aca="false">IF(A261="","",INT(A261))</f>
        <v/>
      </c>
      <c r="J261" s="16" t="str">
        <f aca="false">IF(B261="","",IF(A261=_xlfn.MINIFS($A$2:$A$5001,$B$2:$B$5001,B261),1,0))</f>
        <v/>
      </c>
      <c r="K261" s="16" t="str">
        <f aca="false">IF(B261="","",IF(AND(D261="Formalização",E261="Concluído"),IF(COUNTIFS($B$2:$B$5001,B261,$E$2:$E$5001,"Em ajustes",$A$2:$A$5001,"&lt;"&amp;I261)&gt;0,1,0),0))</f>
        <v/>
      </c>
      <c r="L261" s="16" t="str">
        <f aca="false">IF(B261="","",IF(A261=_xlfn.MAXIFS($A$2:$A$5001,$B$2:$B$5001,B261,$I$2:$I$5001,I261),1,0))</f>
        <v/>
      </c>
    </row>
    <row r="262" customFormat="false" ht="15" hidden="false" customHeight="false" outlineLevel="0" collapsed="false">
      <c r="I262" s="15" t="str">
        <f aca="false">IF(A262="","",INT(A262))</f>
        <v/>
      </c>
      <c r="J262" s="16" t="str">
        <f aca="false">IF(B262="","",IF(A262=_xlfn.MINIFS($A$2:$A$5001,$B$2:$B$5001,B262),1,0))</f>
        <v/>
      </c>
      <c r="K262" s="16" t="str">
        <f aca="false">IF(B262="","",IF(AND(D262="Formalização",E262="Concluído"),IF(COUNTIFS($B$2:$B$5001,B262,$E$2:$E$5001,"Em ajustes",$A$2:$A$5001,"&lt;"&amp;I262)&gt;0,1,0),0))</f>
        <v/>
      </c>
      <c r="L262" s="16" t="str">
        <f aca="false">IF(B262="","",IF(A262=_xlfn.MAXIFS($A$2:$A$5001,$B$2:$B$5001,B262,$I$2:$I$5001,I262),1,0))</f>
        <v/>
      </c>
    </row>
    <row r="263" customFormat="false" ht="15" hidden="false" customHeight="false" outlineLevel="0" collapsed="false">
      <c r="I263" s="15" t="str">
        <f aca="false">IF(A263="","",INT(A263))</f>
        <v/>
      </c>
      <c r="J263" s="16" t="str">
        <f aca="false">IF(B263="","",IF(A263=_xlfn.MINIFS($A$2:$A$5001,$B$2:$B$5001,B263),1,0))</f>
        <v/>
      </c>
      <c r="K263" s="16" t="str">
        <f aca="false">IF(B263="","",IF(AND(D263="Formalização",E263="Concluído"),IF(COUNTIFS($B$2:$B$5001,B263,$E$2:$E$5001,"Em ajustes",$A$2:$A$5001,"&lt;"&amp;I263)&gt;0,1,0),0))</f>
        <v/>
      </c>
      <c r="L263" s="16" t="str">
        <f aca="false">IF(B263="","",IF(A263=_xlfn.MAXIFS($A$2:$A$5001,$B$2:$B$5001,B263,$I$2:$I$5001,I263),1,0))</f>
        <v/>
      </c>
    </row>
    <row r="264" customFormat="false" ht="15" hidden="false" customHeight="false" outlineLevel="0" collapsed="false">
      <c r="I264" s="15" t="str">
        <f aca="false">IF(A264="","",INT(A264))</f>
        <v/>
      </c>
      <c r="J264" s="16" t="str">
        <f aca="false">IF(B264="","",IF(A264=_xlfn.MINIFS($A$2:$A$5001,$B$2:$B$5001,B264),1,0))</f>
        <v/>
      </c>
      <c r="K264" s="16" t="str">
        <f aca="false">IF(B264="","",IF(AND(D264="Formalização",E264="Concluído"),IF(COUNTIFS($B$2:$B$5001,B264,$E$2:$E$5001,"Em ajustes",$A$2:$A$5001,"&lt;"&amp;I264)&gt;0,1,0),0))</f>
        <v/>
      </c>
      <c r="L264" s="16" t="str">
        <f aca="false">IF(B264="","",IF(A264=_xlfn.MAXIFS($A$2:$A$5001,$B$2:$B$5001,B264,$I$2:$I$5001,I264),1,0))</f>
        <v/>
      </c>
    </row>
    <row r="265" customFormat="false" ht="15" hidden="false" customHeight="false" outlineLevel="0" collapsed="false">
      <c r="I265" s="15" t="str">
        <f aca="false">IF(A265="","",INT(A265))</f>
        <v/>
      </c>
      <c r="J265" s="16" t="str">
        <f aca="false">IF(B265="","",IF(A265=_xlfn.MINIFS($A$2:$A$5001,$B$2:$B$5001,B265),1,0))</f>
        <v/>
      </c>
      <c r="K265" s="16" t="str">
        <f aca="false">IF(B265="","",IF(AND(D265="Formalização",E265="Concluído"),IF(COUNTIFS($B$2:$B$5001,B265,$E$2:$E$5001,"Em ajustes",$A$2:$A$5001,"&lt;"&amp;I265)&gt;0,1,0),0))</f>
        <v/>
      </c>
      <c r="L265" s="16" t="str">
        <f aca="false">IF(B265="","",IF(A265=_xlfn.MAXIFS($A$2:$A$5001,$B$2:$B$5001,B265,$I$2:$I$5001,I265),1,0))</f>
        <v/>
      </c>
    </row>
    <row r="266" customFormat="false" ht="15" hidden="false" customHeight="false" outlineLevel="0" collapsed="false">
      <c r="I266" s="15" t="str">
        <f aca="false">IF(A266="","",INT(A266))</f>
        <v/>
      </c>
      <c r="J266" s="16" t="str">
        <f aca="false">IF(B266="","",IF(A266=_xlfn.MINIFS($A$2:$A$5001,$B$2:$B$5001,B266),1,0))</f>
        <v/>
      </c>
      <c r="K266" s="16" t="str">
        <f aca="false">IF(B266="","",IF(AND(D266="Formalização",E266="Concluído"),IF(COUNTIFS($B$2:$B$5001,B266,$E$2:$E$5001,"Em ajustes",$A$2:$A$5001,"&lt;"&amp;I266)&gt;0,1,0),0))</f>
        <v/>
      </c>
      <c r="L266" s="16" t="str">
        <f aca="false">IF(B266="","",IF(A266=_xlfn.MAXIFS($A$2:$A$5001,$B$2:$B$5001,B266,$I$2:$I$5001,I266),1,0))</f>
        <v/>
      </c>
    </row>
    <row r="267" customFormat="false" ht="15" hidden="false" customHeight="false" outlineLevel="0" collapsed="false">
      <c r="I267" s="15" t="str">
        <f aca="false">IF(A267="","",INT(A267))</f>
        <v/>
      </c>
      <c r="J267" s="16" t="str">
        <f aca="false">IF(B267="","",IF(A267=_xlfn.MINIFS($A$2:$A$5001,$B$2:$B$5001,B267),1,0))</f>
        <v/>
      </c>
      <c r="K267" s="16" t="str">
        <f aca="false">IF(B267="","",IF(AND(D267="Formalização",E267="Concluído"),IF(COUNTIFS($B$2:$B$5001,B267,$E$2:$E$5001,"Em ajustes",$A$2:$A$5001,"&lt;"&amp;I267)&gt;0,1,0),0))</f>
        <v/>
      </c>
      <c r="L267" s="16" t="str">
        <f aca="false">IF(B267="","",IF(A267=_xlfn.MAXIFS($A$2:$A$5001,$B$2:$B$5001,B267,$I$2:$I$5001,I267),1,0))</f>
        <v/>
      </c>
    </row>
    <row r="268" customFormat="false" ht="15" hidden="false" customHeight="false" outlineLevel="0" collapsed="false">
      <c r="I268" s="15" t="str">
        <f aca="false">IF(A268="","",INT(A268))</f>
        <v/>
      </c>
      <c r="J268" s="16" t="str">
        <f aca="false">IF(B268="","",IF(A268=_xlfn.MINIFS($A$2:$A$5001,$B$2:$B$5001,B268),1,0))</f>
        <v/>
      </c>
      <c r="K268" s="16" t="str">
        <f aca="false">IF(B268="","",IF(AND(D268="Formalização",E268="Concluído"),IF(COUNTIFS($B$2:$B$5001,B268,$E$2:$E$5001,"Em ajustes",$A$2:$A$5001,"&lt;"&amp;I268)&gt;0,1,0),0))</f>
        <v/>
      </c>
      <c r="L268" s="16" t="str">
        <f aca="false">IF(B268="","",IF(A268=_xlfn.MAXIFS($A$2:$A$5001,$B$2:$B$5001,B268,$I$2:$I$5001,I268),1,0))</f>
        <v/>
      </c>
    </row>
    <row r="269" customFormat="false" ht="15" hidden="false" customHeight="false" outlineLevel="0" collapsed="false">
      <c r="I269" s="15" t="str">
        <f aca="false">IF(A269="","",INT(A269))</f>
        <v/>
      </c>
      <c r="J269" s="16" t="str">
        <f aca="false">IF(B269="","",IF(A269=_xlfn.MINIFS($A$2:$A$5001,$B$2:$B$5001,B269),1,0))</f>
        <v/>
      </c>
      <c r="K269" s="16" t="str">
        <f aca="false">IF(B269="","",IF(AND(D269="Formalização",E269="Concluído"),IF(COUNTIFS($B$2:$B$5001,B269,$E$2:$E$5001,"Em ajustes",$A$2:$A$5001,"&lt;"&amp;I269)&gt;0,1,0),0))</f>
        <v/>
      </c>
      <c r="L269" s="16" t="str">
        <f aca="false">IF(B269="","",IF(A269=_xlfn.MAXIFS($A$2:$A$5001,$B$2:$B$5001,B269,$I$2:$I$5001,I269),1,0))</f>
        <v/>
      </c>
    </row>
    <row r="270" customFormat="false" ht="15" hidden="false" customHeight="false" outlineLevel="0" collapsed="false">
      <c r="I270" s="15" t="str">
        <f aca="false">IF(A270="","",INT(A270))</f>
        <v/>
      </c>
      <c r="J270" s="16" t="str">
        <f aca="false">IF(B270="","",IF(A270=_xlfn.MINIFS($A$2:$A$5001,$B$2:$B$5001,B270),1,0))</f>
        <v/>
      </c>
      <c r="K270" s="16" t="str">
        <f aca="false">IF(B270="","",IF(AND(D270="Formalização",E270="Concluído"),IF(COUNTIFS($B$2:$B$5001,B270,$E$2:$E$5001,"Em ajustes",$A$2:$A$5001,"&lt;"&amp;I270)&gt;0,1,0),0))</f>
        <v/>
      </c>
      <c r="L270" s="16" t="str">
        <f aca="false">IF(B270="","",IF(A270=_xlfn.MAXIFS($A$2:$A$5001,$B$2:$B$5001,B270,$I$2:$I$5001,I270),1,0))</f>
        <v/>
      </c>
    </row>
    <row r="271" customFormat="false" ht="15" hidden="false" customHeight="false" outlineLevel="0" collapsed="false">
      <c r="I271" s="15" t="str">
        <f aca="false">IF(A271="","",INT(A271))</f>
        <v/>
      </c>
      <c r="J271" s="16" t="str">
        <f aca="false">IF(B271="","",IF(A271=_xlfn.MINIFS($A$2:$A$5001,$B$2:$B$5001,B271),1,0))</f>
        <v/>
      </c>
      <c r="K271" s="16" t="str">
        <f aca="false">IF(B271="","",IF(AND(D271="Formalização",E271="Concluído"),IF(COUNTIFS($B$2:$B$5001,B271,$E$2:$E$5001,"Em ajustes",$A$2:$A$5001,"&lt;"&amp;I271)&gt;0,1,0),0))</f>
        <v/>
      </c>
      <c r="L271" s="16" t="str">
        <f aca="false">IF(B271="","",IF(A271=_xlfn.MAXIFS($A$2:$A$5001,$B$2:$B$5001,B271,$I$2:$I$5001,I271),1,0))</f>
        <v/>
      </c>
    </row>
    <row r="272" customFormat="false" ht="15" hidden="false" customHeight="false" outlineLevel="0" collapsed="false">
      <c r="I272" s="15" t="str">
        <f aca="false">IF(A272="","",INT(A272))</f>
        <v/>
      </c>
      <c r="J272" s="16" t="str">
        <f aca="false">IF(B272="","",IF(A272=_xlfn.MINIFS($A$2:$A$5001,$B$2:$B$5001,B272),1,0))</f>
        <v/>
      </c>
      <c r="K272" s="16" t="str">
        <f aca="false">IF(B272="","",IF(AND(D272="Formalização",E272="Concluído"),IF(COUNTIFS($B$2:$B$5001,B272,$E$2:$E$5001,"Em ajustes",$A$2:$A$5001,"&lt;"&amp;I272)&gt;0,1,0),0))</f>
        <v/>
      </c>
      <c r="L272" s="16" t="str">
        <f aca="false">IF(B272="","",IF(A272=_xlfn.MAXIFS($A$2:$A$5001,$B$2:$B$5001,B272,$I$2:$I$5001,I272),1,0))</f>
        <v/>
      </c>
    </row>
    <row r="273" customFormat="false" ht="15" hidden="false" customHeight="false" outlineLevel="0" collapsed="false">
      <c r="I273" s="15" t="str">
        <f aca="false">IF(A273="","",INT(A273))</f>
        <v/>
      </c>
      <c r="J273" s="16" t="str">
        <f aca="false">IF(B273="","",IF(A273=_xlfn.MINIFS($A$2:$A$5001,$B$2:$B$5001,B273),1,0))</f>
        <v/>
      </c>
      <c r="K273" s="16" t="str">
        <f aca="false">IF(B273="","",IF(AND(D273="Formalização",E273="Concluído"),IF(COUNTIFS($B$2:$B$5001,B273,$E$2:$E$5001,"Em ajustes",$A$2:$A$5001,"&lt;"&amp;I273)&gt;0,1,0),0))</f>
        <v/>
      </c>
      <c r="L273" s="16" t="str">
        <f aca="false">IF(B273="","",IF(A273=_xlfn.MAXIFS($A$2:$A$5001,$B$2:$B$5001,B273,$I$2:$I$5001,I273),1,0))</f>
        <v/>
      </c>
    </row>
    <row r="274" customFormat="false" ht="15" hidden="false" customHeight="false" outlineLevel="0" collapsed="false">
      <c r="I274" s="15" t="str">
        <f aca="false">IF(A274="","",INT(A274))</f>
        <v/>
      </c>
      <c r="J274" s="16" t="str">
        <f aca="false">IF(B274="","",IF(A274=_xlfn.MINIFS($A$2:$A$5001,$B$2:$B$5001,B274),1,0))</f>
        <v/>
      </c>
      <c r="K274" s="16" t="str">
        <f aca="false">IF(B274="","",IF(AND(D274="Formalização",E274="Concluído"),IF(COUNTIFS($B$2:$B$5001,B274,$E$2:$E$5001,"Em ajustes",$A$2:$A$5001,"&lt;"&amp;I274)&gt;0,1,0),0))</f>
        <v/>
      </c>
      <c r="L274" s="16" t="str">
        <f aca="false">IF(B274="","",IF(A274=_xlfn.MAXIFS($A$2:$A$5001,$B$2:$B$5001,B274,$I$2:$I$5001,I274),1,0))</f>
        <v/>
      </c>
    </row>
    <row r="275" customFormat="false" ht="15" hidden="false" customHeight="false" outlineLevel="0" collapsed="false">
      <c r="I275" s="15" t="str">
        <f aca="false">IF(A275="","",INT(A275))</f>
        <v/>
      </c>
      <c r="J275" s="16" t="str">
        <f aca="false">IF(B275="","",IF(A275=_xlfn.MINIFS($A$2:$A$5001,$B$2:$B$5001,B275),1,0))</f>
        <v/>
      </c>
      <c r="K275" s="16" t="str">
        <f aca="false">IF(B275="","",IF(AND(D275="Formalização",E275="Concluído"),IF(COUNTIFS($B$2:$B$5001,B275,$E$2:$E$5001,"Em ajustes",$A$2:$A$5001,"&lt;"&amp;I275)&gt;0,1,0),0))</f>
        <v/>
      </c>
      <c r="L275" s="16" t="str">
        <f aca="false">IF(B275="","",IF(A275=_xlfn.MAXIFS($A$2:$A$5001,$B$2:$B$5001,B275,$I$2:$I$5001,I275),1,0))</f>
        <v/>
      </c>
    </row>
    <row r="276" customFormat="false" ht="15" hidden="false" customHeight="false" outlineLevel="0" collapsed="false">
      <c r="I276" s="15" t="str">
        <f aca="false">IF(A276="","",INT(A276))</f>
        <v/>
      </c>
      <c r="J276" s="16" t="str">
        <f aca="false">IF(B276="","",IF(A276=_xlfn.MINIFS($A$2:$A$5001,$B$2:$B$5001,B276),1,0))</f>
        <v/>
      </c>
      <c r="K276" s="16" t="str">
        <f aca="false">IF(B276="","",IF(AND(D276="Formalização",E276="Concluído"),IF(COUNTIFS($B$2:$B$5001,B276,$E$2:$E$5001,"Em ajustes",$A$2:$A$5001,"&lt;"&amp;I276)&gt;0,1,0),0))</f>
        <v/>
      </c>
      <c r="L276" s="16" t="str">
        <f aca="false">IF(B276="","",IF(A276=_xlfn.MAXIFS($A$2:$A$5001,$B$2:$B$5001,B276,$I$2:$I$5001,I276),1,0))</f>
        <v/>
      </c>
    </row>
    <row r="277" customFormat="false" ht="15" hidden="false" customHeight="false" outlineLevel="0" collapsed="false">
      <c r="I277" s="15" t="str">
        <f aca="false">IF(A277="","",INT(A277))</f>
        <v/>
      </c>
      <c r="J277" s="16" t="str">
        <f aca="false">IF(B277="","",IF(A277=_xlfn.MINIFS($A$2:$A$5001,$B$2:$B$5001,B277),1,0))</f>
        <v/>
      </c>
      <c r="K277" s="16" t="str">
        <f aca="false">IF(B277="","",IF(AND(D277="Formalização",E277="Concluído"),IF(COUNTIFS($B$2:$B$5001,B277,$E$2:$E$5001,"Em ajustes",$A$2:$A$5001,"&lt;"&amp;I277)&gt;0,1,0),0))</f>
        <v/>
      </c>
      <c r="L277" s="16" t="str">
        <f aca="false">IF(B277="","",IF(A277=_xlfn.MAXIFS($A$2:$A$5001,$B$2:$B$5001,B277,$I$2:$I$5001,I277),1,0))</f>
        <v/>
      </c>
    </row>
    <row r="278" customFormat="false" ht="15" hidden="false" customHeight="false" outlineLevel="0" collapsed="false">
      <c r="I278" s="15" t="str">
        <f aca="false">IF(A278="","",INT(A278))</f>
        <v/>
      </c>
      <c r="J278" s="16" t="str">
        <f aca="false">IF(B278="","",IF(A278=_xlfn.MINIFS($A$2:$A$5001,$B$2:$B$5001,B278),1,0))</f>
        <v/>
      </c>
      <c r="K278" s="16" t="str">
        <f aca="false">IF(B278="","",IF(AND(D278="Formalização",E278="Concluído"),IF(COUNTIFS($B$2:$B$5001,B278,$E$2:$E$5001,"Em ajustes",$A$2:$A$5001,"&lt;"&amp;I278)&gt;0,1,0),0))</f>
        <v/>
      </c>
      <c r="L278" s="16" t="str">
        <f aca="false">IF(B278="","",IF(A278=_xlfn.MAXIFS($A$2:$A$5001,$B$2:$B$5001,B278,$I$2:$I$5001,I278),1,0))</f>
        <v/>
      </c>
    </row>
    <row r="279" customFormat="false" ht="15" hidden="false" customHeight="false" outlineLevel="0" collapsed="false">
      <c r="I279" s="15" t="str">
        <f aca="false">IF(A279="","",INT(A279))</f>
        <v/>
      </c>
      <c r="J279" s="16" t="str">
        <f aca="false">IF(B279="","",IF(A279=_xlfn.MINIFS($A$2:$A$5001,$B$2:$B$5001,B279),1,0))</f>
        <v/>
      </c>
      <c r="K279" s="16" t="str">
        <f aca="false">IF(B279="","",IF(AND(D279="Formalização",E279="Concluído"),IF(COUNTIFS($B$2:$B$5001,B279,$E$2:$E$5001,"Em ajustes",$A$2:$A$5001,"&lt;"&amp;I279)&gt;0,1,0),0))</f>
        <v/>
      </c>
      <c r="L279" s="16" t="str">
        <f aca="false">IF(B279="","",IF(A279=_xlfn.MAXIFS($A$2:$A$5001,$B$2:$B$5001,B279,$I$2:$I$5001,I279),1,0))</f>
        <v/>
      </c>
    </row>
    <row r="280" customFormat="false" ht="15" hidden="false" customHeight="false" outlineLevel="0" collapsed="false">
      <c r="I280" s="15" t="str">
        <f aca="false">IF(A280="","",INT(A280))</f>
        <v/>
      </c>
      <c r="J280" s="16" t="str">
        <f aca="false">IF(B280="","",IF(A280=_xlfn.MINIFS($A$2:$A$5001,$B$2:$B$5001,B280),1,0))</f>
        <v/>
      </c>
      <c r="K280" s="16" t="str">
        <f aca="false">IF(B280="","",IF(AND(D280="Formalização",E280="Concluído"),IF(COUNTIFS($B$2:$B$5001,B280,$E$2:$E$5001,"Em ajustes",$A$2:$A$5001,"&lt;"&amp;I280)&gt;0,1,0),0))</f>
        <v/>
      </c>
      <c r="L280" s="16" t="str">
        <f aca="false">IF(B280="","",IF(A280=_xlfn.MAXIFS($A$2:$A$5001,$B$2:$B$5001,B280,$I$2:$I$5001,I280),1,0))</f>
        <v/>
      </c>
    </row>
    <row r="281" customFormat="false" ht="15" hidden="false" customHeight="false" outlineLevel="0" collapsed="false">
      <c r="I281" s="15" t="str">
        <f aca="false">IF(A281="","",INT(A281))</f>
        <v/>
      </c>
      <c r="J281" s="16" t="str">
        <f aca="false">IF(B281="","",IF(A281=_xlfn.MINIFS($A$2:$A$5001,$B$2:$B$5001,B281),1,0))</f>
        <v/>
      </c>
      <c r="K281" s="16" t="str">
        <f aca="false">IF(B281="","",IF(AND(D281="Formalização",E281="Concluído"),IF(COUNTIFS($B$2:$B$5001,B281,$E$2:$E$5001,"Em ajustes",$A$2:$A$5001,"&lt;"&amp;I281)&gt;0,1,0),0))</f>
        <v/>
      </c>
      <c r="L281" s="16" t="str">
        <f aca="false">IF(B281="","",IF(A281=_xlfn.MAXIFS($A$2:$A$5001,$B$2:$B$5001,B281,$I$2:$I$5001,I281),1,0))</f>
        <v/>
      </c>
    </row>
    <row r="282" customFormat="false" ht="15" hidden="false" customHeight="false" outlineLevel="0" collapsed="false">
      <c r="I282" s="15" t="str">
        <f aca="false">IF(A282="","",INT(A282))</f>
        <v/>
      </c>
      <c r="J282" s="16" t="str">
        <f aca="false">IF(B282="","",IF(A282=_xlfn.MINIFS($A$2:$A$5001,$B$2:$B$5001,B282),1,0))</f>
        <v/>
      </c>
      <c r="K282" s="16" t="str">
        <f aca="false">IF(B282="","",IF(AND(D282="Formalização",E282="Concluído"),IF(COUNTIFS($B$2:$B$5001,B282,$E$2:$E$5001,"Em ajustes",$A$2:$A$5001,"&lt;"&amp;I282)&gt;0,1,0),0))</f>
        <v/>
      </c>
      <c r="L282" s="16" t="str">
        <f aca="false">IF(B282="","",IF(A282=_xlfn.MAXIFS($A$2:$A$5001,$B$2:$B$5001,B282,$I$2:$I$5001,I282),1,0))</f>
        <v/>
      </c>
    </row>
    <row r="283" customFormat="false" ht="15" hidden="false" customHeight="false" outlineLevel="0" collapsed="false">
      <c r="I283" s="15" t="str">
        <f aca="false">IF(A283="","",INT(A283))</f>
        <v/>
      </c>
      <c r="J283" s="16" t="str">
        <f aca="false">IF(B283="","",IF(A283=_xlfn.MINIFS($A$2:$A$5001,$B$2:$B$5001,B283),1,0))</f>
        <v/>
      </c>
      <c r="K283" s="16" t="str">
        <f aca="false">IF(B283="","",IF(AND(D283="Formalização",E283="Concluído"),IF(COUNTIFS($B$2:$B$5001,B283,$E$2:$E$5001,"Em ajustes",$A$2:$A$5001,"&lt;"&amp;I283)&gt;0,1,0),0))</f>
        <v/>
      </c>
      <c r="L283" s="16" t="str">
        <f aca="false">IF(B283="","",IF(A283=_xlfn.MAXIFS($A$2:$A$5001,$B$2:$B$5001,B283,$I$2:$I$5001,I283),1,0))</f>
        <v/>
      </c>
    </row>
    <row r="284" customFormat="false" ht="15" hidden="false" customHeight="false" outlineLevel="0" collapsed="false">
      <c r="I284" s="15" t="str">
        <f aca="false">IF(A284="","",INT(A284))</f>
        <v/>
      </c>
      <c r="J284" s="16" t="str">
        <f aca="false">IF(B284="","",IF(A284=_xlfn.MINIFS($A$2:$A$5001,$B$2:$B$5001,B284),1,0))</f>
        <v/>
      </c>
      <c r="K284" s="16" t="str">
        <f aca="false">IF(B284="","",IF(AND(D284="Formalização",E284="Concluído"),IF(COUNTIFS($B$2:$B$5001,B284,$E$2:$E$5001,"Em ajustes",$A$2:$A$5001,"&lt;"&amp;I284)&gt;0,1,0),0))</f>
        <v/>
      </c>
      <c r="L284" s="16" t="str">
        <f aca="false">IF(B284="","",IF(A284=_xlfn.MAXIFS($A$2:$A$5001,$B$2:$B$5001,B284,$I$2:$I$5001,I284),1,0))</f>
        <v/>
      </c>
    </row>
    <row r="285" customFormat="false" ht="15" hidden="false" customHeight="false" outlineLevel="0" collapsed="false">
      <c r="I285" s="15" t="str">
        <f aca="false">IF(A285="","",INT(A285))</f>
        <v/>
      </c>
      <c r="J285" s="16" t="str">
        <f aca="false">IF(B285="","",IF(A285=_xlfn.MINIFS($A$2:$A$5001,$B$2:$B$5001,B285),1,0))</f>
        <v/>
      </c>
      <c r="K285" s="16" t="str">
        <f aca="false">IF(B285="","",IF(AND(D285="Formalização",E285="Concluído"),IF(COUNTIFS($B$2:$B$5001,B285,$E$2:$E$5001,"Em ajustes",$A$2:$A$5001,"&lt;"&amp;I285)&gt;0,1,0),0))</f>
        <v/>
      </c>
      <c r="L285" s="16" t="str">
        <f aca="false">IF(B285="","",IF(A285=_xlfn.MAXIFS($A$2:$A$5001,$B$2:$B$5001,B285,$I$2:$I$5001,I285),1,0))</f>
        <v/>
      </c>
    </row>
    <row r="286" customFormat="false" ht="15" hidden="false" customHeight="false" outlineLevel="0" collapsed="false">
      <c r="I286" s="15" t="str">
        <f aca="false">IF(A286="","",INT(A286))</f>
        <v/>
      </c>
      <c r="J286" s="16" t="str">
        <f aca="false">IF(B286="","",IF(A286=_xlfn.MINIFS($A$2:$A$5001,$B$2:$B$5001,B286),1,0))</f>
        <v/>
      </c>
      <c r="K286" s="16" t="str">
        <f aca="false">IF(B286="","",IF(AND(D286="Formalização",E286="Concluído"),IF(COUNTIFS($B$2:$B$5001,B286,$E$2:$E$5001,"Em ajustes",$A$2:$A$5001,"&lt;"&amp;I286)&gt;0,1,0),0))</f>
        <v/>
      </c>
      <c r="L286" s="16" t="str">
        <f aca="false">IF(B286="","",IF(A286=_xlfn.MAXIFS($A$2:$A$5001,$B$2:$B$5001,B286,$I$2:$I$5001,I286),1,0))</f>
        <v/>
      </c>
    </row>
    <row r="287" customFormat="false" ht="15" hidden="false" customHeight="false" outlineLevel="0" collapsed="false">
      <c r="I287" s="15" t="str">
        <f aca="false">IF(A287="","",INT(A287))</f>
        <v/>
      </c>
      <c r="J287" s="16" t="str">
        <f aca="false">IF(B287="","",IF(A287=_xlfn.MINIFS($A$2:$A$5001,$B$2:$B$5001,B287),1,0))</f>
        <v/>
      </c>
      <c r="K287" s="16" t="str">
        <f aca="false">IF(B287="","",IF(AND(D287="Formalização",E287="Concluído"),IF(COUNTIFS($B$2:$B$5001,B287,$E$2:$E$5001,"Em ajustes",$A$2:$A$5001,"&lt;"&amp;I287)&gt;0,1,0),0))</f>
        <v/>
      </c>
      <c r="L287" s="16" t="str">
        <f aca="false">IF(B287="","",IF(A287=_xlfn.MAXIFS($A$2:$A$5001,$B$2:$B$5001,B287,$I$2:$I$5001,I287),1,0))</f>
        <v/>
      </c>
    </row>
    <row r="288" customFormat="false" ht="15" hidden="false" customHeight="false" outlineLevel="0" collapsed="false">
      <c r="I288" s="15" t="str">
        <f aca="false">IF(A288="","",INT(A288))</f>
        <v/>
      </c>
      <c r="J288" s="16" t="str">
        <f aca="false">IF(B288="","",IF(A288=_xlfn.MINIFS($A$2:$A$5001,$B$2:$B$5001,B288),1,0))</f>
        <v/>
      </c>
      <c r="K288" s="16" t="str">
        <f aca="false">IF(B288="","",IF(AND(D288="Formalização",E288="Concluído"),IF(COUNTIFS($B$2:$B$5001,B288,$E$2:$E$5001,"Em ajustes",$A$2:$A$5001,"&lt;"&amp;I288)&gt;0,1,0),0))</f>
        <v/>
      </c>
      <c r="L288" s="16" t="str">
        <f aca="false">IF(B288="","",IF(A288=_xlfn.MAXIFS($A$2:$A$5001,$B$2:$B$5001,B288,$I$2:$I$5001,I288),1,0))</f>
        <v/>
      </c>
    </row>
    <row r="289" customFormat="false" ht="15" hidden="false" customHeight="false" outlineLevel="0" collapsed="false">
      <c r="I289" s="15" t="str">
        <f aca="false">IF(A289="","",INT(A289))</f>
        <v/>
      </c>
      <c r="J289" s="16" t="str">
        <f aca="false">IF(B289="","",IF(A289=_xlfn.MINIFS($A$2:$A$5001,$B$2:$B$5001,B289),1,0))</f>
        <v/>
      </c>
      <c r="K289" s="16" t="str">
        <f aca="false">IF(B289="","",IF(AND(D289="Formalização",E289="Concluído"),IF(COUNTIFS($B$2:$B$5001,B289,$E$2:$E$5001,"Em ajustes",$A$2:$A$5001,"&lt;"&amp;I289)&gt;0,1,0),0))</f>
        <v/>
      </c>
      <c r="L289" s="16" t="str">
        <f aca="false">IF(B289="","",IF(A289=_xlfn.MAXIFS($A$2:$A$5001,$B$2:$B$5001,B289,$I$2:$I$5001,I289),1,0))</f>
        <v/>
      </c>
    </row>
    <row r="290" customFormat="false" ht="15" hidden="false" customHeight="false" outlineLevel="0" collapsed="false">
      <c r="I290" s="15" t="str">
        <f aca="false">IF(A290="","",INT(A290))</f>
        <v/>
      </c>
      <c r="J290" s="16" t="str">
        <f aca="false">IF(B290="","",IF(A290=_xlfn.MINIFS($A$2:$A$5001,$B$2:$B$5001,B290),1,0))</f>
        <v/>
      </c>
      <c r="K290" s="16" t="str">
        <f aca="false">IF(B290="","",IF(AND(D290="Formalização",E290="Concluído"),IF(COUNTIFS($B$2:$B$5001,B290,$E$2:$E$5001,"Em ajustes",$A$2:$A$5001,"&lt;"&amp;I290)&gt;0,1,0),0))</f>
        <v/>
      </c>
      <c r="L290" s="16" t="str">
        <f aca="false">IF(B290="","",IF(A290=_xlfn.MAXIFS($A$2:$A$5001,$B$2:$B$5001,B290,$I$2:$I$5001,I290),1,0))</f>
        <v/>
      </c>
    </row>
    <row r="291" customFormat="false" ht="15" hidden="false" customHeight="false" outlineLevel="0" collapsed="false">
      <c r="I291" s="15" t="str">
        <f aca="false">IF(A291="","",INT(A291))</f>
        <v/>
      </c>
      <c r="J291" s="16" t="str">
        <f aca="false">IF(B291="","",IF(A291=_xlfn.MINIFS($A$2:$A$5001,$B$2:$B$5001,B291),1,0))</f>
        <v/>
      </c>
      <c r="K291" s="16" t="str">
        <f aca="false">IF(B291="","",IF(AND(D291="Formalização",E291="Concluído"),IF(COUNTIFS($B$2:$B$5001,B291,$E$2:$E$5001,"Em ajustes",$A$2:$A$5001,"&lt;"&amp;I291)&gt;0,1,0),0))</f>
        <v/>
      </c>
      <c r="L291" s="16" t="str">
        <f aca="false">IF(B291="","",IF(A291=_xlfn.MAXIFS($A$2:$A$5001,$B$2:$B$5001,B291,$I$2:$I$5001,I291),1,0))</f>
        <v/>
      </c>
    </row>
    <row r="292" customFormat="false" ht="15" hidden="false" customHeight="false" outlineLevel="0" collapsed="false">
      <c r="I292" s="15" t="str">
        <f aca="false">IF(A292="","",INT(A292))</f>
        <v/>
      </c>
      <c r="J292" s="16" t="str">
        <f aca="false">IF(B292="","",IF(A292=_xlfn.MINIFS($A$2:$A$5001,$B$2:$B$5001,B292),1,0))</f>
        <v/>
      </c>
      <c r="K292" s="16" t="str">
        <f aca="false">IF(B292="","",IF(AND(D292="Formalização",E292="Concluído"),IF(COUNTIFS($B$2:$B$5001,B292,$E$2:$E$5001,"Em ajustes",$A$2:$A$5001,"&lt;"&amp;I292)&gt;0,1,0),0))</f>
        <v/>
      </c>
      <c r="L292" s="16" t="str">
        <f aca="false">IF(B292="","",IF(A292=_xlfn.MAXIFS($A$2:$A$5001,$B$2:$B$5001,B292,$I$2:$I$5001,I292),1,0))</f>
        <v/>
      </c>
    </row>
    <row r="293" customFormat="false" ht="15" hidden="false" customHeight="false" outlineLevel="0" collapsed="false">
      <c r="I293" s="15" t="str">
        <f aca="false">IF(A293="","",INT(A293))</f>
        <v/>
      </c>
      <c r="J293" s="16" t="str">
        <f aca="false">IF(B293="","",IF(A293=_xlfn.MINIFS($A$2:$A$5001,$B$2:$B$5001,B293),1,0))</f>
        <v/>
      </c>
      <c r="K293" s="16" t="str">
        <f aca="false">IF(B293="","",IF(AND(D293="Formalização",E293="Concluído"),IF(COUNTIFS($B$2:$B$5001,B293,$E$2:$E$5001,"Em ajustes",$A$2:$A$5001,"&lt;"&amp;I293)&gt;0,1,0),0))</f>
        <v/>
      </c>
      <c r="L293" s="16" t="str">
        <f aca="false">IF(B293="","",IF(A293=_xlfn.MAXIFS($A$2:$A$5001,$B$2:$B$5001,B293,$I$2:$I$5001,I293),1,0))</f>
        <v/>
      </c>
    </row>
    <row r="294" customFormat="false" ht="15" hidden="false" customHeight="false" outlineLevel="0" collapsed="false">
      <c r="I294" s="15" t="str">
        <f aca="false">IF(A294="","",INT(A294))</f>
        <v/>
      </c>
      <c r="J294" s="16" t="str">
        <f aca="false">IF(B294="","",IF(A294=_xlfn.MINIFS($A$2:$A$5001,$B$2:$B$5001,B294),1,0))</f>
        <v/>
      </c>
      <c r="K294" s="16" t="str">
        <f aca="false">IF(B294="","",IF(AND(D294="Formalização",E294="Concluído"),IF(COUNTIFS($B$2:$B$5001,B294,$E$2:$E$5001,"Em ajustes",$A$2:$A$5001,"&lt;"&amp;I294)&gt;0,1,0),0))</f>
        <v/>
      </c>
      <c r="L294" s="16" t="str">
        <f aca="false">IF(B294="","",IF(A294=_xlfn.MAXIFS($A$2:$A$5001,$B$2:$B$5001,B294,$I$2:$I$5001,I294),1,0))</f>
        <v/>
      </c>
    </row>
    <row r="295" customFormat="false" ht="15" hidden="false" customHeight="false" outlineLevel="0" collapsed="false">
      <c r="I295" s="15" t="str">
        <f aca="false">IF(A295="","",INT(A295))</f>
        <v/>
      </c>
      <c r="J295" s="16" t="str">
        <f aca="false">IF(B295="","",IF(A295=_xlfn.MINIFS($A$2:$A$5001,$B$2:$B$5001,B295),1,0))</f>
        <v/>
      </c>
      <c r="K295" s="16" t="str">
        <f aca="false">IF(B295="","",IF(AND(D295="Formalização",E295="Concluído"),IF(COUNTIFS($B$2:$B$5001,B295,$E$2:$E$5001,"Em ajustes",$A$2:$A$5001,"&lt;"&amp;I295)&gt;0,1,0),0))</f>
        <v/>
      </c>
      <c r="L295" s="16" t="str">
        <f aca="false">IF(B295="","",IF(A295=_xlfn.MAXIFS($A$2:$A$5001,$B$2:$B$5001,B295,$I$2:$I$5001,I295),1,0))</f>
        <v/>
      </c>
    </row>
    <row r="296" customFormat="false" ht="15" hidden="false" customHeight="false" outlineLevel="0" collapsed="false">
      <c r="I296" s="15" t="str">
        <f aca="false">IF(A296="","",INT(A296))</f>
        <v/>
      </c>
      <c r="J296" s="16" t="str">
        <f aca="false">IF(B296="","",IF(A296=_xlfn.MINIFS($A$2:$A$5001,$B$2:$B$5001,B296),1,0))</f>
        <v/>
      </c>
      <c r="K296" s="16" t="str">
        <f aca="false">IF(B296="","",IF(AND(D296="Formalização",E296="Concluído"),IF(COUNTIFS($B$2:$B$5001,B296,$E$2:$E$5001,"Em ajustes",$A$2:$A$5001,"&lt;"&amp;I296)&gt;0,1,0),0))</f>
        <v/>
      </c>
      <c r="L296" s="16" t="str">
        <f aca="false">IF(B296="","",IF(A296=_xlfn.MAXIFS($A$2:$A$5001,$B$2:$B$5001,B296,$I$2:$I$5001,I296),1,0))</f>
        <v/>
      </c>
    </row>
    <row r="297" customFormat="false" ht="15" hidden="false" customHeight="false" outlineLevel="0" collapsed="false">
      <c r="I297" s="15" t="str">
        <f aca="false">IF(A297="","",INT(A297))</f>
        <v/>
      </c>
      <c r="J297" s="16" t="str">
        <f aca="false">IF(B297="","",IF(A297=_xlfn.MINIFS($A$2:$A$5001,$B$2:$B$5001,B297),1,0))</f>
        <v/>
      </c>
      <c r="K297" s="16" t="str">
        <f aca="false">IF(B297="","",IF(AND(D297="Formalização",E297="Concluído"),IF(COUNTIFS($B$2:$B$5001,B297,$E$2:$E$5001,"Em ajustes",$A$2:$A$5001,"&lt;"&amp;I297)&gt;0,1,0),0))</f>
        <v/>
      </c>
      <c r="L297" s="16" t="str">
        <f aca="false">IF(B297="","",IF(A297=_xlfn.MAXIFS($A$2:$A$5001,$B$2:$B$5001,B297,$I$2:$I$5001,I297),1,0))</f>
        <v/>
      </c>
    </row>
    <row r="298" customFormat="false" ht="15" hidden="false" customHeight="false" outlineLevel="0" collapsed="false">
      <c r="I298" s="15" t="str">
        <f aca="false">IF(A298="","",INT(A298))</f>
        <v/>
      </c>
      <c r="J298" s="16" t="str">
        <f aca="false">IF(B298="","",IF(A298=_xlfn.MINIFS($A$2:$A$5001,$B$2:$B$5001,B298),1,0))</f>
        <v/>
      </c>
      <c r="K298" s="16" t="str">
        <f aca="false">IF(B298="","",IF(AND(D298="Formalização",E298="Concluído"),IF(COUNTIFS($B$2:$B$5001,B298,$E$2:$E$5001,"Em ajustes",$A$2:$A$5001,"&lt;"&amp;I298)&gt;0,1,0),0))</f>
        <v/>
      </c>
      <c r="L298" s="16" t="str">
        <f aca="false">IF(B298="","",IF(A298=_xlfn.MAXIFS($A$2:$A$5001,$B$2:$B$5001,B298,$I$2:$I$5001,I298),1,0))</f>
        <v/>
      </c>
    </row>
    <row r="299" customFormat="false" ht="15" hidden="false" customHeight="false" outlineLevel="0" collapsed="false">
      <c r="I299" s="15" t="str">
        <f aca="false">IF(A299="","",INT(A299))</f>
        <v/>
      </c>
      <c r="J299" s="16" t="str">
        <f aca="false">IF(B299="","",IF(A299=_xlfn.MINIFS($A$2:$A$5001,$B$2:$B$5001,B299),1,0))</f>
        <v/>
      </c>
      <c r="K299" s="16" t="str">
        <f aca="false">IF(B299="","",IF(AND(D299="Formalização",E299="Concluído"),IF(COUNTIFS($B$2:$B$5001,B299,$E$2:$E$5001,"Em ajustes",$A$2:$A$5001,"&lt;"&amp;I299)&gt;0,1,0),0))</f>
        <v/>
      </c>
      <c r="L299" s="16" t="str">
        <f aca="false">IF(B299="","",IF(A299=_xlfn.MAXIFS($A$2:$A$5001,$B$2:$B$5001,B299,$I$2:$I$5001,I299),1,0))</f>
        <v/>
      </c>
    </row>
    <row r="300" customFormat="false" ht="15" hidden="false" customHeight="false" outlineLevel="0" collapsed="false">
      <c r="I300" s="15" t="str">
        <f aca="false">IF(A300="","",INT(A300))</f>
        <v/>
      </c>
      <c r="J300" s="16" t="str">
        <f aca="false">IF(B300="","",IF(A300=_xlfn.MINIFS($A$2:$A$5001,$B$2:$B$5001,B300),1,0))</f>
        <v/>
      </c>
      <c r="K300" s="16" t="str">
        <f aca="false">IF(B300="","",IF(AND(D300="Formalização",E300="Concluído"),IF(COUNTIFS($B$2:$B$5001,B300,$E$2:$E$5001,"Em ajustes",$A$2:$A$5001,"&lt;"&amp;I300)&gt;0,1,0),0))</f>
        <v/>
      </c>
      <c r="L300" s="16" t="str">
        <f aca="false">IF(B300="","",IF(A300=_xlfn.MAXIFS($A$2:$A$5001,$B$2:$B$5001,B300,$I$2:$I$5001,I300),1,0))</f>
        <v/>
      </c>
    </row>
    <row r="301" customFormat="false" ht="15" hidden="false" customHeight="false" outlineLevel="0" collapsed="false">
      <c r="I301" s="15" t="str">
        <f aca="false">IF(A301="","",INT(A301))</f>
        <v/>
      </c>
      <c r="J301" s="16" t="str">
        <f aca="false">IF(B301="","",IF(A301=_xlfn.MINIFS($A$2:$A$5001,$B$2:$B$5001,B301),1,0))</f>
        <v/>
      </c>
      <c r="K301" s="16" t="str">
        <f aca="false">IF(B301="","",IF(AND(D301="Formalização",E301="Concluído"),IF(COUNTIFS($B$2:$B$5001,B301,$E$2:$E$5001,"Em ajustes",$A$2:$A$5001,"&lt;"&amp;I301)&gt;0,1,0),0))</f>
        <v/>
      </c>
      <c r="L301" s="16" t="str">
        <f aca="false">IF(B301="","",IF(A301=_xlfn.MAXIFS($A$2:$A$5001,$B$2:$B$5001,B301,$I$2:$I$5001,I301),1,0))</f>
        <v/>
      </c>
    </row>
    <row r="302" customFormat="false" ht="15" hidden="false" customHeight="false" outlineLevel="0" collapsed="false">
      <c r="I302" s="15" t="str">
        <f aca="false">IF(A302="","",INT(A302))</f>
        <v/>
      </c>
      <c r="J302" s="16" t="str">
        <f aca="false">IF(B302="","",IF(A302=_xlfn.MINIFS($A$2:$A$5001,$B$2:$B$5001,B302),1,0))</f>
        <v/>
      </c>
      <c r="K302" s="16" t="str">
        <f aca="false">IF(B302="","",IF(AND(D302="Formalização",E302="Concluído"),IF(COUNTIFS($B$2:$B$5001,B302,$E$2:$E$5001,"Em ajustes",$A$2:$A$5001,"&lt;"&amp;I302)&gt;0,1,0),0))</f>
        <v/>
      </c>
      <c r="L302" s="16" t="str">
        <f aca="false">IF(B302="","",IF(A302=_xlfn.MAXIFS($A$2:$A$5001,$B$2:$B$5001,B302,$I$2:$I$5001,I302),1,0))</f>
        <v/>
      </c>
    </row>
    <row r="303" customFormat="false" ht="15" hidden="false" customHeight="false" outlineLevel="0" collapsed="false">
      <c r="I303" s="15" t="str">
        <f aca="false">IF(A303="","",INT(A303))</f>
        <v/>
      </c>
      <c r="J303" s="16" t="str">
        <f aca="false">IF(B303="","",IF(A303=_xlfn.MINIFS($A$2:$A$5001,$B$2:$B$5001,B303),1,0))</f>
        <v/>
      </c>
      <c r="K303" s="16" t="str">
        <f aca="false">IF(B303="","",IF(AND(D303="Formalização",E303="Concluído"),IF(COUNTIFS($B$2:$B$5001,B303,$E$2:$E$5001,"Em ajustes",$A$2:$A$5001,"&lt;"&amp;I303)&gt;0,1,0),0))</f>
        <v/>
      </c>
      <c r="L303" s="16" t="str">
        <f aca="false">IF(B303="","",IF(A303=_xlfn.MAXIFS($A$2:$A$5001,$B$2:$B$5001,B303,$I$2:$I$5001,I303),1,0))</f>
        <v/>
      </c>
    </row>
    <row r="304" customFormat="false" ht="15" hidden="false" customHeight="false" outlineLevel="0" collapsed="false">
      <c r="I304" s="15" t="str">
        <f aca="false">IF(A304="","",INT(A304))</f>
        <v/>
      </c>
      <c r="J304" s="16" t="str">
        <f aca="false">IF(B304="","",IF(A304=_xlfn.MINIFS($A$2:$A$5001,$B$2:$B$5001,B304),1,0))</f>
        <v/>
      </c>
      <c r="K304" s="16" t="str">
        <f aca="false">IF(B304="","",IF(AND(D304="Formalização",E304="Concluído"),IF(COUNTIFS($B$2:$B$5001,B304,$E$2:$E$5001,"Em ajustes",$A$2:$A$5001,"&lt;"&amp;I304)&gt;0,1,0),0))</f>
        <v/>
      </c>
      <c r="L304" s="16" t="str">
        <f aca="false">IF(B304="","",IF(A304=_xlfn.MAXIFS($A$2:$A$5001,$B$2:$B$5001,B304,$I$2:$I$5001,I304),1,0))</f>
        <v/>
      </c>
    </row>
    <row r="305" customFormat="false" ht="15" hidden="false" customHeight="false" outlineLevel="0" collapsed="false">
      <c r="I305" s="15" t="str">
        <f aca="false">IF(A305="","",INT(A305))</f>
        <v/>
      </c>
      <c r="J305" s="16" t="str">
        <f aca="false">IF(B305="","",IF(A305=_xlfn.MINIFS($A$2:$A$5001,$B$2:$B$5001,B305),1,0))</f>
        <v/>
      </c>
      <c r="K305" s="16" t="str">
        <f aca="false">IF(B305="","",IF(AND(D305="Formalização",E305="Concluído"),IF(COUNTIFS($B$2:$B$5001,B305,$E$2:$E$5001,"Em ajustes",$A$2:$A$5001,"&lt;"&amp;I305)&gt;0,1,0),0))</f>
        <v/>
      </c>
      <c r="L305" s="16" t="str">
        <f aca="false">IF(B305="","",IF(A305=_xlfn.MAXIFS($A$2:$A$5001,$B$2:$B$5001,B305,$I$2:$I$5001,I305),1,0))</f>
        <v/>
      </c>
    </row>
    <row r="306" customFormat="false" ht="15" hidden="false" customHeight="false" outlineLevel="0" collapsed="false">
      <c r="I306" s="15" t="str">
        <f aca="false">IF(A306="","",INT(A306))</f>
        <v/>
      </c>
      <c r="J306" s="16" t="str">
        <f aca="false">IF(B306="","",IF(A306=_xlfn.MINIFS($A$2:$A$5001,$B$2:$B$5001,B306),1,0))</f>
        <v/>
      </c>
      <c r="K306" s="16" t="str">
        <f aca="false">IF(B306="","",IF(AND(D306="Formalização",E306="Concluído"),IF(COUNTIFS($B$2:$B$5001,B306,$E$2:$E$5001,"Em ajustes",$A$2:$A$5001,"&lt;"&amp;I306)&gt;0,1,0),0))</f>
        <v/>
      </c>
      <c r="L306" s="16" t="str">
        <f aca="false">IF(B306="","",IF(A306=_xlfn.MAXIFS($A$2:$A$5001,$B$2:$B$5001,B306,$I$2:$I$5001,I306),1,0))</f>
        <v/>
      </c>
    </row>
    <row r="307" customFormat="false" ht="15" hidden="false" customHeight="false" outlineLevel="0" collapsed="false">
      <c r="I307" s="15" t="str">
        <f aca="false">IF(A307="","",INT(A307))</f>
        <v/>
      </c>
      <c r="J307" s="16" t="str">
        <f aca="false">IF(B307="","",IF(A307=_xlfn.MINIFS($A$2:$A$5001,$B$2:$B$5001,B307),1,0))</f>
        <v/>
      </c>
      <c r="K307" s="16" t="str">
        <f aca="false">IF(B307="","",IF(AND(D307="Formalização",E307="Concluído"),IF(COUNTIFS($B$2:$B$5001,B307,$E$2:$E$5001,"Em ajustes",$A$2:$A$5001,"&lt;"&amp;I307)&gt;0,1,0),0))</f>
        <v/>
      </c>
      <c r="L307" s="16" t="str">
        <f aca="false">IF(B307="","",IF(A307=_xlfn.MAXIFS($A$2:$A$5001,$B$2:$B$5001,B307,$I$2:$I$5001,I307),1,0))</f>
        <v/>
      </c>
    </row>
    <row r="308" customFormat="false" ht="15" hidden="false" customHeight="false" outlineLevel="0" collapsed="false">
      <c r="I308" s="15" t="str">
        <f aca="false">IF(A308="","",INT(A308))</f>
        <v/>
      </c>
      <c r="J308" s="16" t="str">
        <f aca="false">IF(B308="","",IF(A308=_xlfn.MINIFS($A$2:$A$5001,$B$2:$B$5001,B308),1,0))</f>
        <v/>
      </c>
      <c r="K308" s="16" t="str">
        <f aca="false">IF(B308="","",IF(AND(D308="Formalização",E308="Concluído"),IF(COUNTIFS($B$2:$B$5001,B308,$E$2:$E$5001,"Em ajustes",$A$2:$A$5001,"&lt;"&amp;I308)&gt;0,1,0),0))</f>
        <v/>
      </c>
      <c r="L308" s="16" t="str">
        <f aca="false">IF(B308="","",IF(A308=_xlfn.MAXIFS($A$2:$A$5001,$B$2:$B$5001,B308,$I$2:$I$5001,I308),1,0))</f>
        <v/>
      </c>
    </row>
    <row r="309" customFormat="false" ht="15" hidden="false" customHeight="false" outlineLevel="0" collapsed="false">
      <c r="I309" s="15" t="str">
        <f aca="false">IF(A309="","",INT(A309))</f>
        <v/>
      </c>
      <c r="J309" s="16" t="str">
        <f aca="false">IF(B309="","",IF(A309=_xlfn.MINIFS($A$2:$A$5001,$B$2:$B$5001,B309),1,0))</f>
        <v/>
      </c>
      <c r="K309" s="16" t="str">
        <f aca="false">IF(B309="","",IF(AND(D309="Formalização",E309="Concluído"),IF(COUNTIFS($B$2:$B$5001,B309,$E$2:$E$5001,"Em ajustes",$A$2:$A$5001,"&lt;"&amp;I309)&gt;0,1,0),0))</f>
        <v/>
      </c>
      <c r="L309" s="16" t="str">
        <f aca="false">IF(B309="","",IF(A309=_xlfn.MAXIFS($A$2:$A$5001,$B$2:$B$5001,B309,$I$2:$I$5001,I309),1,0))</f>
        <v/>
      </c>
    </row>
    <row r="310" customFormat="false" ht="15" hidden="false" customHeight="false" outlineLevel="0" collapsed="false">
      <c r="I310" s="15" t="str">
        <f aca="false">IF(A310="","",INT(A310))</f>
        <v/>
      </c>
      <c r="J310" s="16" t="str">
        <f aca="false">IF(B310="","",IF(A310=_xlfn.MINIFS($A$2:$A$5001,$B$2:$B$5001,B310),1,0))</f>
        <v/>
      </c>
      <c r="K310" s="16" t="str">
        <f aca="false">IF(B310="","",IF(AND(D310="Formalização",E310="Concluído"),IF(COUNTIFS($B$2:$B$5001,B310,$E$2:$E$5001,"Em ajustes",$A$2:$A$5001,"&lt;"&amp;I310)&gt;0,1,0),0))</f>
        <v/>
      </c>
      <c r="L310" s="16" t="str">
        <f aca="false">IF(B310="","",IF(A310=_xlfn.MAXIFS($A$2:$A$5001,$B$2:$B$5001,B310,$I$2:$I$5001,I310),1,0))</f>
        <v/>
      </c>
    </row>
    <row r="311" customFormat="false" ht="15" hidden="false" customHeight="false" outlineLevel="0" collapsed="false">
      <c r="I311" s="15" t="str">
        <f aca="false">IF(A311="","",INT(A311))</f>
        <v/>
      </c>
      <c r="J311" s="16" t="str">
        <f aca="false">IF(B311="","",IF(A311=_xlfn.MINIFS($A$2:$A$5001,$B$2:$B$5001,B311),1,0))</f>
        <v/>
      </c>
      <c r="K311" s="16" t="str">
        <f aca="false">IF(B311="","",IF(AND(D311="Formalização",E311="Concluído"),IF(COUNTIFS($B$2:$B$5001,B311,$E$2:$E$5001,"Em ajustes",$A$2:$A$5001,"&lt;"&amp;I311)&gt;0,1,0),0))</f>
        <v/>
      </c>
      <c r="L311" s="16" t="str">
        <f aca="false">IF(B311="","",IF(A311=_xlfn.MAXIFS($A$2:$A$5001,$B$2:$B$5001,B311,$I$2:$I$5001,I311),1,0))</f>
        <v/>
      </c>
    </row>
    <row r="312" customFormat="false" ht="15" hidden="false" customHeight="false" outlineLevel="0" collapsed="false">
      <c r="I312" s="15" t="str">
        <f aca="false">IF(A312="","",INT(A312))</f>
        <v/>
      </c>
      <c r="J312" s="16" t="str">
        <f aca="false">IF(B312="","",IF(A312=_xlfn.MINIFS($A$2:$A$5001,$B$2:$B$5001,B312),1,0))</f>
        <v/>
      </c>
      <c r="K312" s="16" t="str">
        <f aca="false">IF(B312="","",IF(AND(D312="Formalização",E312="Concluído"),IF(COUNTIFS($B$2:$B$5001,B312,$E$2:$E$5001,"Em ajustes",$A$2:$A$5001,"&lt;"&amp;I312)&gt;0,1,0),0))</f>
        <v/>
      </c>
      <c r="L312" s="16" t="str">
        <f aca="false">IF(B312="","",IF(A312=_xlfn.MAXIFS($A$2:$A$5001,$B$2:$B$5001,B312,$I$2:$I$5001,I312),1,0))</f>
        <v/>
      </c>
    </row>
    <row r="313" customFormat="false" ht="15" hidden="false" customHeight="false" outlineLevel="0" collapsed="false">
      <c r="I313" s="15" t="str">
        <f aca="false">IF(A313="","",INT(A313))</f>
        <v/>
      </c>
      <c r="J313" s="16" t="str">
        <f aca="false">IF(B313="","",IF(A313=_xlfn.MINIFS($A$2:$A$5001,$B$2:$B$5001,B313),1,0))</f>
        <v/>
      </c>
      <c r="K313" s="16" t="str">
        <f aca="false">IF(B313="","",IF(AND(D313="Formalização",E313="Concluído"),IF(COUNTIFS($B$2:$B$5001,B313,$E$2:$E$5001,"Em ajustes",$A$2:$A$5001,"&lt;"&amp;I313)&gt;0,1,0),0))</f>
        <v/>
      </c>
      <c r="L313" s="16" t="str">
        <f aca="false">IF(B313="","",IF(A313=_xlfn.MAXIFS($A$2:$A$5001,$B$2:$B$5001,B313,$I$2:$I$5001,I313),1,0))</f>
        <v/>
      </c>
    </row>
    <row r="314" customFormat="false" ht="15" hidden="false" customHeight="false" outlineLevel="0" collapsed="false">
      <c r="I314" s="15" t="str">
        <f aca="false">IF(A314="","",INT(A314))</f>
        <v/>
      </c>
      <c r="J314" s="16" t="str">
        <f aca="false">IF(B314="","",IF(A314=_xlfn.MINIFS($A$2:$A$5001,$B$2:$B$5001,B314),1,0))</f>
        <v/>
      </c>
      <c r="K314" s="16" t="str">
        <f aca="false">IF(B314="","",IF(AND(D314="Formalização",E314="Concluído"),IF(COUNTIFS($B$2:$B$5001,B314,$E$2:$E$5001,"Em ajustes",$A$2:$A$5001,"&lt;"&amp;I314)&gt;0,1,0),0))</f>
        <v/>
      </c>
      <c r="L314" s="16" t="str">
        <f aca="false">IF(B314="","",IF(A314=_xlfn.MAXIFS($A$2:$A$5001,$B$2:$B$5001,B314,$I$2:$I$5001,I314),1,0))</f>
        <v/>
      </c>
    </row>
    <row r="315" customFormat="false" ht="15" hidden="false" customHeight="false" outlineLevel="0" collapsed="false">
      <c r="I315" s="15" t="str">
        <f aca="false">IF(A315="","",INT(A315))</f>
        <v/>
      </c>
      <c r="J315" s="16" t="str">
        <f aca="false">IF(B315="","",IF(A315=_xlfn.MINIFS($A$2:$A$5001,$B$2:$B$5001,B315),1,0))</f>
        <v/>
      </c>
      <c r="K315" s="16" t="str">
        <f aca="false">IF(B315="","",IF(AND(D315="Formalização",E315="Concluído"),IF(COUNTIFS($B$2:$B$5001,B315,$E$2:$E$5001,"Em ajustes",$A$2:$A$5001,"&lt;"&amp;I315)&gt;0,1,0),0))</f>
        <v/>
      </c>
      <c r="L315" s="16" t="str">
        <f aca="false">IF(B315="","",IF(A315=_xlfn.MAXIFS($A$2:$A$5001,$B$2:$B$5001,B315,$I$2:$I$5001,I315),1,0))</f>
        <v/>
      </c>
    </row>
    <row r="316" customFormat="false" ht="15" hidden="false" customHeight="false" outlineLevel="0" collapsed="false">
      <c r="I316" s="15" t="str">
        <f aca="false">IF(A316="","",INT(A316))</f>
        <v/>
      </c>
      <c r="J316" s="16" t="str">
        <f aca="false">IF(B316="","",IF(A316=_xlfn.MINIFS($A$2:$A$5001,$B$2:$B$5001,B316),1,0))</f>
        <v/>
      </c>
      <c r="K316" s="16" t="str">
        <f aca="false">IF(B316="","",IF(AND(D316="Formalização",E316="Concluído"),IF(COUNTIFS($B$2:$B$5001,B316,$E$2:$E$5001,"Em ajustes",$A$2:$A$5001,"&lt;"&amp;I316)&gt;0,1,0),0))</f>
        <v/>
      </c>
      <c r="L316" s="16" t="str">
        <f aca="false">IF(B316="","",IF(A316=_xlfn.MAXIFS($A$2:$A$5001,$B$2:$B$5001,B316,$I$2:$I$5001,I316),1,0))</f>
        <v/>
      </c>
    </row>
    <row r="317" customFormat="false" ht="15" hidden="false" customHeight="false" outlineLevel="0" collapsed="false">
      <c r="I317" s="15" t="str">
        <f aca="false">IF(A317="","",INT(A317))</f>
        <v/>
      </c>
      <c r="J317" s="16" t="str">
        <f aca="false">IF(B317="","",IF(A317=_xlfn.MINIFS($A$2:$A$5001,$B$2:$B$5001,B317),1,0))</f>
        <v/>
      </c>
      <c r="K317" s="16" t="str">
        <f aca="false">IF(B317="","",IF(AND(D317="Formalização",E317="Concluído"),IF(COUNTIFS($B$2:$B$5001,B317,$E$2:$E$5001,"Em ajustes",$A$2:$A$5001,"&lt;"&amp;I317)&gt;0,1,0),0))</f>
        <v/>
      </c>
      <c r="L317" s="16" t="str">
        <f aca="false">IF(B317="","",IF(A317=_xlfn.MAXIFS($A$2:$A$5001,$B$2:$B$5001,B317,$I$2:$I$5001,I317),1,0))</f>
        <v/>
      </c>
    </row>
    <row r="318" customFormat="false" ht="15" hidden="false" customHeight="false" outlineLevel="0" collapsed="false">
      <c r="I318" s="15" t="str">
        <f aca="false">IF(A318="","",INT(A318))</f>
        <v/>
      </c>
      <c r="J318" s="16" t="str">
        <f aca="false">IF(B318="","",IF(A318=_xlfn.MINIFS($A$2:$A$5001,$B$2:$B$5001,B318),1,0))</f>
        <v/>
      </c>
      <c r="K318" s="16" t="str">
        <f aca="false">IF(B318="","",IF(AND(D318="Formalização",E318="Concluído"),IF(COUNTIFS($B$2:$B$5001,B318,$E$2:$E$5001,"Em ajustes",$A$2:$A$5001,"&lt;"&amp;I318)&gt;0,1,0),0))</f>
        <v/>
      </c>
      <c r="L318" s="16" t="str">
        <f aca="false">IF(B318="","",IF(A318=_xlfn.MAXIFS($A$2:$A$5001,$B$2:$B$5001,B318,$I$2:$I$5001,I318),1,0))</f>
        <v/>
      </c>
    </row>
    <row r="319" customFormat="false" ht="15" hidden="false" customHeight="false" outlineLevel="0" collapsed="false">
      <c r="I319" s="15" t="str">
        <f aca="false">IF(A319="","",INT(A319))</f>
        <v/>
      </c>
      <c r="J319" s="16" t="str">
        <f aca="false">IF(B319="","",IF(A319=_xlfn.MINIFS($A$2:$A$5001,$B$2:$B$5001,B319),1,0))</f>
        <v/>
      </c>
      <c r="K319" s="16" t="str">
        <f aca="false">IF(B319="","",IF(AND(D319="Formalização",E319="Concluído"),IF(COUNTIFS($B$2:$B$5001,B319,$E$2:$E$5001,"Em ajustes",$A$2:$A$5001,"&lt;"&amp;I319)&gt;0,1,0),0))</f>
        <v/>
      </c>
      <c r="L319" s="16" t="str">
        <f aca="false">IF(B319="","",IF(A319=_xlfn.MAXIFS($A$2:$A$5001,$B$2:$B$5001,B319,$I$2:$I$5001,I319),1,0))</f>
        <v/>
      </c>
    </row>
    <row r="320" customFormat="false" ht="15" hidden="false" customHeight="false" outlineLevel="0" collapsed="false">
      <c r="I320" s="15" t="str">
        <f aca="false">IF(A320="","",INT(A320))</f>
        <v/>
      </c>
      <c r="J320" s="16" t="str">
        <f aca="false">IF(B320="","",IF(A320=_xlfn.MINIFS($A$2:$A$5001,$B$2:$B$5001,B320),1,0))</f>
        <v/>
      </c>
      <c r="K320" s="16" t="str">
        <f aca="false">IF(B320="","",IF(AND(D320="Formalização",E320="Concluído"),IF(COUNTIFS($B$2:$B$5001,B320,$E$2:$E$5001,"Em ajustes",$A$2:$A$5001,"&lt;"&amp;I320)&gt;0,1,0),0))</f>
        <v/>
      </c>
      <c r="L320" s="16" t="str">
        <f aca="false">IF(B320="","",IF(A320=_xlfn.MAXIFS($A$2:$A$5001,$B$2:$B$5001,B320,$I$2:$I$5001,I320),1,0))</f>
        <v/>
      </c>
    </row>
    <row r="321" customFormat="false" ht="15" hidden="false" customHeight="false" outlineLevel="0" collapsed="false">
      <c r="I321" s="15" t="str">
        <f aca="false">IF(A321="","",INT(A321))</f>
        <v/>
      </c>
      <c r="J321" s="16" t="str">
        <f aca="false">IF(B321="","",IF(A321=_xlfn.MINIFS($A$2:$A$5001,$B$2:$B$5001,B321),1,0))</f>
        <v/>
      </c>
      <c r="K321" s="16" t="str">
        <f aca="false">IF(B321="","",IF(AND(D321="Formalização",E321="Concluído"),IF(COUNTIFS($B$2:$B$5001,B321,$E$2:$E$5001,"Em ajustes",$A$2:$A$5001,"&lt;"&amp;I321)&gt;0,1,0),0))</f>
        <v/>
      </c>
      <c r="L321" s="16" t="str">
        <f aca="false">IF(B321="","",IF(A321=_xlfn.MAXIFS($A$2:$A$5001,$B$2:$B$5001,B321,$I$2:$I$5001,I321),1,0))</f>
        <v/>
      </c>
    </row>
    <row r="322" customFormat="false" ht="15" hidden="false" customHeight="false" outlineLevel="0" collapsed="false">
      <c r="I322" s="15" t="str">
        <f aca="false">IF(A322="","",INT(A322))</f>
        <v/>
      </c>
      <c r="J322" s="16" t="str">
        <f aca="false">IF(B322="","",IF(A322=_xlfn.MINIFS($A$2:$A$5001,$B$2:$B$5001,B322),1,0))</f>
        <v/>
      </c>
      <c r="K322" s="16" t="str">
        <f aca="false">IF(B322="","",IF(AND(D322="Formalização",E322="Concluído"),IF(COUNTIFS($B$2:$B$5001,B322,$E$2:$E$5001,"Em ajustes",$A$2:$A$5001,"&lt;"&amp;I322)&gt;0,1,0),0))</f>
        <v/>
      </c>
      <c r="L322" s="16" t="str">
        <f aca="false">IF(B322="","",IF(A322=_xlfn.MAXIFS($A$2:$A$5001,$B$2:$B$5001,B322,$I$2:$I$5001,I322),1,0))</f>
        <v/>
      </c>
    </row>
    <row r="323" customFormat="false" ht="15" hidden="false" customHeight="false" outlineLevel="0" collapsed="false">
      <c r="I323" s="15" t="str">
        <f aca="false">IF(A323="","",INT(A323))</f>
        <v/>
      </c>
      <c r="J323" s="16" t="str">
        <f aca="false">IF(B323="","",IF(A323=_xlfn.MINIFS($A$2:$A$5001,$B$2:$B$5001,B323),1,0))</f>
        <v/>
      </c>
      <c r="K323" s="16" t="str">
        <f aca="false">IF(B323="","",IF(AND(D323="Formalização",E323="Concluído"),IF(COUNTIFS($B$2:$B$5001,B323,$E$2:$E$5001,"Em ajustes",$A$2:$A$5001,"&lt;"&amp;I323)&gt;0,1,0),0))</f>
        <v/>
      </c>
      <c r="L323" s="16" t="str">
        <f aca="false">IF(B323="","",IF(A323=_xlfn.MAXIFS($A$2:$A$5001,$B$2:$B$5001,B323,$I$2:$I$5001,I323),1,0))</f>
        <v/>
      </c>
    </row>
    <row r="324" customFormat="false" ht="15" hidden="false" customHeight="false" outlineLevel="0" collapsed="false">
      <c r="I324" s="15" t="str">
        <f aca="false">IF(A324="","",INT(A324))</f>
        <v/>
      </c>
      <c r="J324" s="16" t="str">
        <f aca="false">IF(B324="","",IF(A324=_xlfn.MINIFS($A$2:$A$5001,$B$2:$B$5001,B324),1,0))</f>
        <v/>
      </c>
      <c r="K324" s="16" t="str">
        <f aca="false">IF(B324="","",IF(AND(D324="Formalização",E324="Concluído"),IF(COUNTIFS($B$2:$B$5001,B324,$E$2:$E$5001,"Em ajustes",$A$2:$A$5001,"&lt;"&amp;I324)&gt;0,1,0),0))</f>
        <v/>
      </c>
      <c r="L324" s="16" t="str">
        <f aca="false">IF(B324="","",IF(A324=_xlfn.MAXIFS($A$2:$A$5001,$B$2:$B$5001,B324,$I$2:$I$5001,I324),1,0))</f>
        <v/>
      </c>
    </row>
    <row r="325" customFormat="false" ht="15" hidden="false" customHeight="false" outlineLevel="0" collapsed="false">
      <c r="I325" s="15" t="str">
        <f aca="false">IF(A325="","",INT(A325))</f>
        <v/>
      </c>
      <c r="J325" s="16" t="str">
        <f aca="false">IF(B325="","",IF(A325=_xlfn.MINIFS($A$2:$A$5001,$B$2:$B$5001,B325),1,0))</f>
        <v/>
      </c>
      <c r="K325" s="16" t="str">
        <f aca="false">IF(B325="","",IF(AND(D325="Formalização",E325="Concluído"),IF(COUNTIFS($B$2:$B$5001,B325,$E$2:$E$5001,"Em ajustes",$A$2:$A$5001,"&lt;"&amp;I325)&gt;0,1,0),0))</f>
        <v/>
      </c>
      <c r="L325" s="16" t="str">
        <f aca="false">IF(B325="","",IF(A325=_xlfn.MAXIFS($A$2:$A$5001,$B$2:$B$5001,B325,$I$2:$I$5001,I325),1,0))</f>
        <v/>
      </c>
    </row>
    <row r="326" customFormat="false" ht="15" hidden="false" customHeight="false" outlineLevel="0" collapsed="false">
      <c r="I326" s="15" t="str">
        <f aca="false">IF(A326="","",INT(A326))</f>
        <v/>
      </c>
      <c r="J326" s="16" t="str">
        <f aca="false">IF(B326="","",IF(A326=_xlfn.MINIFS($A$2:$A$5001,$B$2:$B$5001,B326),1,0))</f>
        <v/>
      </c>
      <c r="K326" s="16" t="str">
        <f aca="false">IF(B326="","",IF(AND(D326="Formalização",E326="Concluído"),IF(COUNTIFS($B$2:$B$5001,B326,$E$2:$E$5001,"Em ajustes",$A$2:$A$5001,"&lt;"&amp;I326)&gt;0,1,0),0))</f>
        <v/>
      </c>
      <c r="L326" s="16" t="str">
        <f aca="false">IF(B326="","",IF(A326=_xlfn.MAXIFS($A$2:$A$5001,$B$2:$B$5001,B326,$I$2:$I$5001,I326),1,0))</f>
        <v/>
      </c>
    </row>
    <row r="327" customFormat="false" ht="15" hidden="false" customHeight="false" outlineLevel="0" collapsed="false">
      <c r="I327" s="15" t="str">
        <f aca="false">IF(A327="","",INT(A327))</f>
        <v/>
      </c>
      <c r="J327" s="16" t="str">
        <f aca="false">IF(B327="","",IF(A327=_xlfn.MINIFS($A$2:$A$5001,$B$2:$B$5001,B327),1,0))</f>
        <v/>
      </c>
      <c r="K327" s="16" t="str">
        <f aca="false">IF(B327="","",IF(AND(D327="Formalização",E327="Concluído"),IF(COUNTIFS($B$2:$B$5001,B327,$E$2:$E$5001,"Em ajustes",$A$2:$A$5001,"&lt;"&amp;I327)&gt;0,1,0),0))</f>
        <v/>
      </c>
      <c r="L327" s="16" t="str">
        <f aca="false">IF(B327="","",IF(A327=_xlfn.MAXIFS($A$2:$A$5001,$B$2:$B$5001,B327,$I$2:$I$5001,I327),1,0))</f>
        <v/>
      </c>
    </row>
    <row r="328" customFormat="false" ht="15" hidden="false" customHeight="false" outlineLevel="0" collapsed="false">
      <c r="I328" s="15" t="str">
        <f aca="false">IF(A328="","",INT(A328))</f>
        <v/>
      </c>
      <c r="J328" s="16" t="str">
        <f aca="false">IF(B328="","",IF(A328=_xlfn.MINIFS($A$2:$A$5001,$B$2:$B$5001,B328),1,0))</f>
        <v/>
      </c>
      <c r="K328" s="16" t="str">
        <f aca="false">IF(B328="","",IF(AND(D328="Formalização",E328="Concluído"),IF(COUNTIFS($B$2:$B$5001,B328,$E$2:$E$5001,"Em ajustes",$A$2:$A$5001,"&lt;"&amp;I328)&gt;0,1,0),0))</f>
        <v/>
      </c>
      <c r="L328" s="16" t="str">
        <f aca="false">IF(B328="","",IF(A328=_xlfn.MAXIFS($A$2:$A$5001,$B$2:$B$5001,B328,$I$2:$I$5001,I328),1,0))</f>
        <v/>
      </c>
    </row>
    <row r="329" customFormat="false" ht="15" hidden="false" customHeight="false" outlineLevel="0" collapsed="false">
      <c r="I329" s="15" t="str">
        <f aca="false">IF(A329="","",INT(A329))</f>
        <v/>
      </c>
      <c r="J329" s="16" t="str">
        <f aca="false">IF(B329="","",IF(A329=_xlfn.MINIFS($A$2:$A$5001,$B$2:$B$5001,B329),1,0))</f>
        <v/>
      </c>
      <c r="K329" s="16" t="str">
        <f aca="false">IF(B329="","",IF(AND(D329="Formalização",E329="Concluído"),IF(COUNTIFS($B$2:$B$5001,B329,$E$2:$E$5001,"Em ajustes",$A$2:$A$5001,"&lt;"&amp;I329)&gt;0,1,0),0))</f>
        <v/>
      </c>
      <c r="L329" s="16" t="str">
        <f aca="false">IF(B329="","",IF(A329=_xlfn.MAXIFS($A$2:$A$5001,$B$2:$B$5001,B329,$I$2:$I$5001,I329),1,0))</f>
        <v/>
      </c>
    </row>
    <row r="330" customFormat="false" ht="15" hidden="false" customHeight="false" outlineLevel="0" collapsed="false">
      <c r="I330" s="15" t="str">
        <f aca="false">IF(A330="","",INT(A330))</f>
        <v/>
      </c>
      <c r="J330" s="16" t="str">
        <f aca="false">IF(B330="","",IF(A330=_xlfn.MINIFS($A$2:$A$5001,$B$2:$B$5001,B330),1,0))</f>
        <v/>
      </c>
      <c r="K330" s="16" t="str">
        <f aca="false">IF(B330="","",IF(AND(D330="Formalização",E330="Concluído"),IF(COUNTIFS($B$2:$B$5001,B330,$E$2:$E$5001,"Em ajustes",$A$2:$A$5001,"&lt;"&amp;I330)&gt;0,1,0),0))</f>
        <v/>
      </c>
      <c r="L330" s="16" t="str">
        <f aca="false">IF(B330="","",IF(A330=_xlfn.MAXIFS($A$2:$A$5001,$B$2:$B$5001,B330,$I$2:$I$5001,I330),1,0))</f>
        <v/>
      </c>
    </row>
    <row r="331" customFormat="false" ht="15" hidden="false" customHeight="false" outlineLevel="0" collapsed="false">
      <c r="I331" s="15" t="str">
        <f aca="false">IF(A331="","",INT(A331))</f>
        <v/>
      </c>
      <c r="J331" s="16" t="str">
        <f aca="false">IF(B331="","",IF(A331=_xlfn.MINIFS($A$2:$A$5001,$B$2:$B$5001,B331),1,0))</f>
        <v/>
      </c>
      <c r="K331" s="16" t="str">
        <f aca="false">IF(B331="","",IF(AND(D331="Formalização",E331="Concluído"),IF(COUNTIFS($B$2:$B$5001,B331,$E$2:$E$5001,"Em ajustes",$A$2:$A$5001,"&lt;"&amp;I331)&gt;0,1,0),0))</f>
        <v/>
      </c>
      <c r="L331" s="16" t="str">
        <f aca="false">IF(B331="","",IF(A331=_xlfn.MAXIFS($A$2:$A$5001,$B$2:$B$5001,B331,$I$2:$I$5001,I331),1,0))</f>
        <v/>
      </c>
    </row>
    <row r="332" customFormat="false" ht="15" hidden="false" customHeight="false" outlineLevel="0" collapsed="false">
      <c r="I332" s="15" t="str">
        <f aca="false">IF(A332="","",INT(A332))</f>
        <v/>
      </c>
      <c r="J332" s="16" t="str">
        <f aca="false">IF(B332="","",IF(A332=_xlfn.MINIFS($A$2:$A$5001,$B$2:$B$5001,B332),1,0))</f>
        <v/>
      </c>
      <c r="K332" s="16" t="str">
        <f aca="false">IF(B332="","",IF(AND(D332="Formalização",E332="Concluído"),IF(COUNTIFS($B$2:$B$5001,B332,$E$2:$E$5001,"Em ajustes",$A$2:$A$5001,"&lt;"&amp;I332)&gt;0,1,0),0))</f>
        <v/>
      </c>
      <c r="L332" s="16" t="str">
        <f aca="false">IF(B332="","",IF(A332=_xlfn.MAXIFS($A$2:$A$5001,$B$2:$B$5001,B332,$I$2:$I$5001,I332),1,0))</f>
        <v/>
      </c>
    </row>
    <row r="333" customFormat="false" ht="15" hidden="false" customHeight="false" outlineLevel="0" collapsed="false">
      <c r="I333" s="15" t="str">
        <f aca="false">IF(A333="","",INT(A333))</f>
        <v/>
      </c>
      <c r="J333" s="16" t="str">
        <f aca="false">IF(B333="","",IF(A333=_xlfn.MINIFS($A$2:$A$5001,$B$2:$B$5001,B333),1,0))</f>
        <v/>
      </c>
      <c r="K333" s="16" t="str">
        <f aca="false">IF(B333="","",IF(AND(D333="Formalização",E333="Concluído"),IF(COUNTIFS($B$2:$B$5001,B333,$E$2:$E$5001,"Em ajustes",$A$2:$A$5001,"&lt;"&amp;I333)&gt;0,1,0),0))</f>
        <v/>
      </c>
      <c r="L333" s="16" t="str">
        <f aca="false">IF(B333="","",IF(A333=_xlfn.MAXIFS($A$2:$A$5001,$B$2:$B$5001,B333,$I$2:$I$5001,I333),1,0))</f>
        <v/>
      </c>
    </row>
    <row r="334" customFormat="false" ht="15" hidden="false" customHeight="false" outlineLevel="0" collapsed="false">
      <c r="I334" s="15" t="str">
        <f aca="false">IF(A334="","",INT(A334))</f>
        <v/>
      </c>
      <c r="J334" s="16" t="str">
        <f aca="false">IF(B334="","",IF(A334=_xlfn.MINIFS($A$2:$A$5001,$B$2:$B$5001,B334),1,0))</f>
        <v/>
      </c>
      <c r="K334" s="16" t="str">
        <f aca="false">IF(B334="","",IF(AND(D334="Formalização",E334="Concluído"),IF(COUNTIFS($B$2:$B$5001,B334,$E$2:$E$5001,"Em ajustes",$A$2:$A$5001,"&lt;"&amp;I334)&gt;0,1,0),0))</f>
        <v/>
      </c>
      <c r="L334" s="16" t="str">
        <f aca="false">IF(B334="","",IF(A334=_xlfn.MAXIFS($A$2:$A$5001,$B$2:$B$5001,B334,$I$2:$I$5001,I334),1,0))</f>
        <v/>
      </c>
    </row>
    <row r="335" customFormat="false" ht="15" hidden="false" customHeight="false" outlineLevel="0" collapsed="false">
      <c r="I335" s="15" t="str">
        <f aca="false">IF(A335="","",INT(A335))</f>
        <v/>
      </c>
      <c r="J335" s="16" t="str">
        <f aca="false">IF(B335="","",IF(A335=_xlfn.MINIFS($A$2:$A$5001,$B$2:$B$5001,B335),1,0))</f>
        <v/>
      </c>
      <c r="K335" s="16" t="str">
        <f aca="false">IF(B335="","",IF(AND(D335="Formalização",E335="Concluído"),IF(COUNTIFS($B$2:$B$5001,B335,$E$2:$E$5001,"Em ajustes",$A$2:$A$5001,"&lt;"&amp;I335)&gt;0,1,0),0))</f>
        <v/>
      </c>
      <c r="L335" s="16" t="str">
        <f aca="false">IF(B335="","",IF(A335=_xlfn.MAXIFS($A$2:$A$5001,$B$2:$B$5001,B335,$I$2:$I$5001,I335),1,0))</f>
        <v/>
      </c>
    </row>
    <row r="336" customFormat="false" ht="15" hidden="false" customHeight="false" outlineLevel="0" collapsed="false">
      <c r="I336" s="15" t="str">
        <f aca="false">IF(A336="","",INT(A336))</f>
        <v/>
      </c>
      <c r="J336" s="16" t="str">
        <f aca="false">IF(B336="","",IF(A336=_xlfn.MINIFS($A$2:$A$5001,$B$2:$B$5001,B336),1,0))</f>
        <v/>
      </c>
      <c r="K336" s="16" t="str">
        <f aca="false">IF(B336="","",IF(AND(D336="Formalização",E336="Concluído"),IF(COUNTIFS($B$2:$B$5001,B336,$E$2:$E$5001,"Em ajustes",$A$2:$A$5001,"&lt;"&amp;I336)&gt;0,1,0),0))</f>
        <v/>
      </c>
      <c r="L336" s="16" t="str">
        <f aca="false">IF(B336="","",IF(A336=_xlfn.MAXIFS($A$2:$A$5001,$B$2:$B$5001,B336,$I$2:$I$5001,I336),1,0))</f>
        <v/>
      </c>
    </row>
    <row r="337" customFormat="false" ht="15" hidden="false" customHeight="false" outlineLevel="0" collapsed="false">
      <c r="I337" s="15" t="str">
        <f aca="false">IF(A337="","",INT(A337))</f>
        <v/>
      </c>
      <c r="J337" s="16" t="str">
        <f aca="false">IF(B337="","",IF(A337=_xlfn.MINIFS($A$2:$A$5001,$B$2:$B$5001,B337),1,0))</f>
        <v/>
      </c>
      <c r="K337" s="16" t="str">
        <f aca="false">IF(B337="","",IF(AND(D337="Formalização",E337="Concluído"),IF(COUNTIFS($B$2:$B$5001,B337,$E$2:$E$5001,"Em ajustes",$A$2:$A$5001,"&lt;"&amp;I337)&gt;0,1,0),0))</f>
        <v/>
      </c>
      <c r="L337" s="16" t="str">
        <f aca="false">IF(B337="","",IF(A337=_xlfn.MAXIFS($A$2:$A$5001,$B$2:$B$5001,B337,$I$2:$I$5001,I337),1,0))</f>
        <v/>
      </c>
    </row>
    <row r="338" customFormat="false" ht="15" hidden="false" customHeight="false" outlineLevel="0" collapsed="false">
      <c r="I338" s="15" t="str">
        <f aca="false">IF(A338="","",INT(A338))</f>
        <v/>
      </c>
      <c r="J338" s="16" t="str">
        <f aca="false">IF(B338="","",IF(A338=_xlfn.MINIFS($A$2:$A$5001,$B$2:$B$5001,B338),1,0))</f>
        <v/>
      </c>
      <c r="K338" s="16" t="str">
        <f aca="false">IF(B338="","",IF(AND(D338="Formalização",E338="Concluído"),IF(COUNTIFS($B$2:$B$5001,B338,$E$2:$E$5001,"Em ajustes",$A$2:$A$5001,"&lt;"&amp;I338)&gt;0,1,0),0))</f>
        <v/>
      </c>
      <c r="L338" s="16" t="str">
        <f aca="false">IF(B338="","",IF(A338=_xlfn.MAXIFS($A$2:$A$5001,$B$2:$B$5001,B338,$I$2:$I$5001,I338),1,0))</f>
        <v/>
      </c>
    </row>
    <row r="339" customFormat="false" ht="15" hidden="false" customHeight="false" outlineLevel="0" collapsed="false">
      <c r="I339" s="15" t="str">
        <f aca="false">IF(A339="","",INT(A339))</f>
        <v/>
      </c>
      <c r="J339" s="16" t="str">
        <f aca="false">IF(B339="","",IF(A339=_xlfn.MINIFS($A$2:$A$5001,$B$2:$B$5001,B339),1,0))</f>
        <v/>
      </c>
      <c r="K339" s="16" t="str">
        <f aca="false">IF(B339="","",IF(AND(D339="Formalização",E339="Concluído"),IF(COUNTIFS($B$2:$B$5001,B339,$E$2:$E$5001,"Em ajustes",$A$2:$A$5001,"&lt;"&amp;I339)&gt;0,1,0),0))</f>
        <v/>
      </c>
      <c r="L339" s="16" t="str">
        <f aca="false">IF(B339="","",IF(A339=_xlfn.MAXIFS($A$2:$A$5001,$B$2:$B$5001,B339,$I$2:$I$5001,I339),1,0))</f>
        <v/>
      </c>
    </row>
    <row r="340" customFormat="false" ht="15" hidden="false" customHeight="false" outlineLevel="0" collapsed="false">
      <c r="I340" s="15" t="str">
        <f aca="false">IF(A340="","",INT(A340))</f>
        <v/>
      </c>
      <c r="J340" s="16" t="str">
        <f aca="false">IF(B340="","",IF(A340=_xlfn.MINIFS($A$2:$A$5001,$B$2:$B$5001,B340),1,0))</f>
        <v/>
      </c>
      <c r="K340" s="16" t="str">
        <f aca="false">IF(B340="","",IF(AND(D340="Formalização",E340="Concluído"),IF(COUNTIFS($B$2:$B$5001,B340,$E$2:$E$5001,"Em ajustes",$A$2:$A$5001,"&lt;"&amp;I340)&gt;0,1,0),0))</f>
        <v/>
      </c>
      <c r="L340" s="16" t="str">
        <f aca="false">IF(B340="","",IF(A340=_xlfn.MAXIFS($A$2:$A$5001,$B$2:$B$5001,B340,$I$2:$I$5001,I340),1,0))</f>
        <v/>
      </c>
    </row>
    <row r="341" customFormat="false" ht="15" hidden="false" customHeight="false" outlineLevel="0" collapsed="false">
      <c r="I341" s="15" t="str">
        <f aca="false">IF(A341="","",INT(A341))</f>
        <v/>
      </c>
      <c r="J341" s="16" t="str">
        <f aca="false">IF(B341="","",IF(A341=_xlfn.MINIFS($A$2:$A$5001,$B$2:$B$5001,B341),1,0))</f>
        <v/>
      </c>
      <c r="K341" s="16" t="str">
        <f aca="false">IF(B341="","",IF(AND(D341="Formalização",E341="Concluído"),IF(COUNTIFS($B$2:$B$5001,B341,$E$2:$E$5001,"Em ajustes",$A$2:$A$5001,"&lt;"&amp;I341)&gt;0,1,0),0))</f>
        <v/>
      </c>
      <c r="L341" s="16" t="str">
        <f aca="false">IF(B341="","",IF(A341=_xlfn.MAXIFS($A$2:$A$5001,$B$2:$B$5001,B341,$I$2:$I$5001,I341),1,0))</f>
        <v/>
      </c>
    </row>
    <row r="342" customFormat="false" ht="15" hidden="false" customHeight="false" outlineLevel="0" collapsed="false">
      <c r="I342" s="15" t="str">
        <f aca="false">IF(A342="","",INT(A342))</f>
        <v/>
      </c>
      <c r="J342" s="16" t="str">
        <f aca="false">IF(B342="","",IF(A342=_xlfn.MINIFS($A$2:$A$5001,$B$2:$B$5001,B342),1,0))</f>
        <v/>
      </c>
      <c r="K342" s="16" t="str">
        <f aca="false">IF(B342="","",IF(AND(D342="Formalização",E342="Concluído"),IF(COUNTIFS($B$2:$B$5001,B342,$E$2:$E$5001,"Em ajustes",$A$2:$A$5001,"&lt;"&amp;I342)&gt;0,1,0),0))</f>
        <v/>
      </c>
      <c r="L342" s="16" t="str">
        <f aca="false">IF(B342="","",IF(A342=_xlfn.MAXIFS($A$2:$A$5001,$B$2:$B$5001,B342,$I$2:$I$5001,I342),1,0))</f>
        <v/>
      </c>
    </row>
    <row r="343" customFormat="false" ht="15" hidden="false" customHeight="false" outlineLevel="0" collapsed="false">
      <c r="I343" s="15" t="str">
        <f aca="false">IF(A343="","",INT(A343))</f>
        <v/>
      </c>
      <c r="J343" s="16" t="str">
        <f aca="false">IF(B343="","",IF(A343=_xlfn.MINIFS($A$2:$A$5001,$B$2:$B$5001,B343),1,0))</f>
        <v/>
      </c>
      <c r="K343" s="16" t="str">
        <f aca="false">IF(B343="","",IF(AND(D343="Formalização",E343="Concluído"),IF(COUNTIFS($B$2:$B$5001,B343,$E$2:$E$5001,"Em ajustes",$A$2:$A$5001,"&lt;"&amp;I343)&gt;0,1,0),0))</f>
        <v/>
      </c>
      <c r="L343" s="16" t="str">
        <f aca="false">IF(B343="","",IF(A343=_xlfn.MAXIFS($A$2:$A$5001,$B$2:$B$5001,B343,$I$2:$I$5001,I343),1,0))</f>
        <v/>
      </c>
    </row>
    <row r="344" customFormat="false" ht="15" hidden="false" customHeight="false" outlineLevel="0" collapsed="false">
      <c r="I344" s="15" t="str">
        <f aca="false">IF(A344="","",INT(A344))</f>
        <v/>
      </c>
      <c r="J344" s="16" t="str">
        <f aca="false">IF(B344="","",IF(A344=_xlfn.MINIFS($A$2:$A$5001,$B$2:$B$5001,B344),1,0))</f>
        <v/>
      </c>
      <c r="K344" s="16" t="str">
        <f aca="false">IF(B344="","",IF(AND(D344="Formalização",E344="Concluído"),IF(COUNTIFS($B$2:$B$5001,B344,$E$2:$E$5001,"Em ajustes",$A$2:$A$5001,"&lt;"&amp;I344)&gt;0,1,0),0))</f>
        <v/>
      </c>
      <c r="L344" s="16" t="str">
        <f aca="false">IF(B344="","",IF(A344=_xlfn.MAXIFS($A$2:$A$5001,$B$2:$B$5001,B344,$I$2:$I$5001,I344),1,0))</f>
        <v/>
      </c>
    </row>
    <row r="345" customFormat="false" ht="15" hidden="false" customHeight="false" outlineLevel="0" collapsed="false">
      <c r="I345" s="15" t="str">
        <f aca="false">IF(A345="","",INT(A345))</f>
        <v/>
      </c>
      <c r="J345" s="16" t="str">
        <f aca="false">IF(B345="","",IF(A345=_xlfn.MINIFS($A$2:$A$5001,$B$2:$B$5001,B345),1,0))</f>
        <v/>
      </c>
      <c r="K345" s="16" t="str">
        <f aca="false">IF(B345="","",IF(AND(D345="Formalização",E345="Concluído"),IF(COUNTIFS($B$2:$B$5001,B345,$E$2:$E$5001,"Em ajustes",$A$2:$A$5001,"&lt;"&amp;I345)&gt;0,1,0),0))</f>
        <v/>
      </c>
      <c r="L345" s="16" t="str">
        <f aca="false">IF(B345="","",IF(A345=_xlfn.MAXIFS($A$2:$A$5001,$B$2:$B$5001,B345,$I$2:$I$5001,I345),1,0))</f>
        <v/>
      </c>
    </row>
    <row r="346" customFormat="false" ht="15" hidden="false" customHeight="false" outlineLevel="0" collapsed="false">
      <c r="I346" s="15" t="str">
        <f aca="false">IF(A346="","",INT(A346))</f>
        <v/>
      </c>
      <c r="J346" s="16" t="str">
        <f aca="false">IF(B346="","",IF(A346=_xlfn.MINIFS($A$2:$A$5001,$B$2:$B$5001,B346),1,0))</f>
        <v/>
      </c>
      <c r="K346" s="16" t="str">
        <f aca="false">IF(B346="","",IF(AND(D346="Formalização",E346="Concluído"),IF(COUNTIFS($B$2:$B$5001,B346,$E$2:$E$5001,"Em ajustes",$A$2:$A$5001,"&lt;"&amp;I346)&gt;0,1,0),0))</f>
        <v/>
      </c>
      <c r="L346" s="16" t="str">
        <f aca="false">IF(B346="","",IF(A346=_xlfn.MAXIFS($A$2:$A$5001,$B$2:$B$5001,B346,$I$2:$I$5001,I346),1,0))</f>
        <v/>
      </c>
    </row>
    <row r="347" customFormat="false" ht="15" hidden="false" customHeight="false" outlineLevel="0" collapsed="false">
      <c r="I347" s="15" t="str">
        <f aca="false">IF(A347="","",INT(A347))</f>
        <v/>
      </c>
      <c r="J347" s="16" t="str">
        <f aca="false">IF(B347="","",IF(A347=_xlfn.MINIFS($A$2:$A$5001,$B$2:$B$5001,B347),1,0))</f>
        <v/>
      </c>
      <c r="K347" s="16" t="str">
        <f aca="false">IF(B347="","",IF(AND(D347="Formalização",E347="Concluído"),IF(COUNTIFS($B$2:$B$5001,B347,$E$2:$E$5001,"Em ajustes",$A$2:$A$5001,"&lt;"&amp;I347)&gt;0,1,0),0))</f>
        <v/>
      </c>
      <c r="L347" s="16" t="str">
        <f aca="false">IF(B347="","",IF(A347=_xlfn.MAXIFS($A$2:$A$5001,$B$2:$B$5001,B347,$I$2:$I$5001,I347),1,0))</f>
        <v/>
      </c>
    </row>
    <row r="348" customFormat="false" ht="15" hidden="false" customHeight="false" outlineLevel="0" collapsed="false">
      <c r="I348" s="15" t="str">
        <f aca="false">IF(A348="","",INT(A348))</f>
        <v/>
      </c>
      <c r="J348" s="16" t="str">
        <f aca="false">IF(B348="","",IF(A348=_xlfn.MINIFS($A$2:$A$5001,$B$2:$B$5001,B348),1,0))</f>
        <v/>
      </c>
      <c r="K348" s="16" t="str">
        <f aca="false">IF(B348="","",IF(AND(D348="Formalização",E348="Concluído"),IF(COUNTIFS($B$2:$B$5001,B348,$E$2:$E$5001,"Em ajustes",$A$2:$A$5001,"&lt;"&amp;I348)&gt;0,1,0),0))</f>
        <v/>
      </c>
      <c r="L348" s="16" t="str">
        <f aca="false">IF(B348="","",IF(A348=_xlfn.MAXIFS($A$2:$A$5001,$B$2:$B$5001,B348,$I$2:$I$5001,I348),1,0))</f>
        <v/>
      </c>
    </row>
    <row r="349" customFormat="false" ht="15" hidden="false" customHeight="false" outlineLevel="0" collapsed="false">
      <c r="I349" s="15" t="str">
        <f aca="false">IF(A349="","",INT(A349))</f>
        <v/>
      </c>
      <c r="J349" s="16" t="str">
        <f aca="false">IF(B349="","",IF(A349=_xlfn.MINIFS($A$2:$A$5001,$B$2:$B$5001,B349),1,0))</f>
        <v/>
      </c>
      <c r="K349" s="16" t="str">
        <f aca="false">IF(B349="","",IF(AND(D349="Formalização",E349="Concluído"),IF(COUNTIFS($B$2:$B$5001,B349,$E$2:$E$5001,"Em ajustes",$A$2:$A$5001,"&lt;"&amp;I349)&gt;0,1,0),0))</f>
        <v/>
      </c>
      <c r="L349" s="16" t="str">
        <f aca="false">IF(B349="","",IF(A349=_xlfn.MAXIFS($A$2:$A$5001,$B$2:$B$5001,B349,$I$2:$I$5001,I349),1,0))</f>
        <v/>
      </c>
    </row>
    <row r="350" customFormat="false" ht="15" hidden="false" customHeight="false" outlineLevel="0" collapsed="false">
      <c r="I350" s="15" t="str">
        <f aca="false">IF(A350="","",INT(A350))</f>
        <v/>
      </c>
      <c r="J350" s="16" t="str">
        <f aca="false">IF(B350="","",IF(A350=_xlfn.MINIFS($A$2:$A$5001,$B$2:$B$5001,B350),1,0))</f>
        <v/>
      </c>
      <c r="K350" s="16" t="str">
        <f aca="false">IF(B350="","",IF(AND(D350="Formalização",E350="Concluído"),IF(COUNTIFS($B$2:$B$5001,B350,$E$2:$E$5001,"Em ajustes",$A$2:$A$5001,"&lt;"&amp;I350)&gt;0,1,0),0))</f>
        <v/>
      </c>
      <c r="L350" s="16" t="str">
        <f aca="false">IF(B350="","",IF(A350=_xlfn.MAXIFS($A$2:$A$5001,$B$2:$B$5001,B350,$I$2:$I$5001,I350),1,0))</f>
        <v/>
      </c>
    </row>
    <row r="351" customFormat="false" ht="15" hidden="false" customHeight="false" outlineLevel="0" collapsed="false">
      <c r="I351" s="15" t="str">
        <f aca="false">IF(A351="","",INT(A351))</f>
        <v/>
      </c>
      <c r="J351" s="16" t="str">
        <f aca="false">IF(B351="","",IF(A351=_xlfn.MINIFS($A$2:$A$5001,$B$2:$B$5001,B351),1,0))</f>
        <v/>
      </c>
      <c r="K351" s="16" t="str">
        <f aca="false">IF(B351="","",IF(AND(D351="Formalização",E351="Concluído"),IF(COUNTIFS($B$2:$B$5001,B351,$E$2:$E$5001,"Em ajustes",$A$2:$A$5001,"&lt;"&amp;I351)&gt;0,1,0),0))</f>
        <v/>
      </c>
      <c r="L351" s="16" t="str">
        <f aca="false">IF(B351="","",IF(A351=_xlfn.MAXIFS($A$2:$A$5001,$B$2:$B$5001,B351,$I$2:$I$5001,I351),1,0))</f>
        <v/>
      </c>
    </row>
    <row r="352" customFormat="false" ht="15" hidden="false" customHeight="false" outlineLevel="0" collapsed="false">
      <c r="I352" s="15" t="str">
        <f aca="false">IF(A352="","",INT(A352))</f>
        <v/>
      </c>
      <c r="J352" s="16" t="str">
        <f aca="false">IF(B352="","",IF(A352=_xlfn.MINIFS($A$2:$A$5001,$B$2:$B$5001,B352),1,0))</f>
        <v/>
      </c>
      <c r="K352" s="16" t="str">
        <f aca="false">IF(B352="","",IF(AND(D352="Formalização",E352="Concluído"),IF(COUNTIFS($B$2:$B$5001,B352,$E$2:$E$5001,"Em ajustes",$A$2:$A$5001,"&lt;"&amp;I352)&gt;0,1,0),0))</f>
        <v/>
      </c>
      <c r="L352" s="16" t="str">
        <f aca="false">IF(B352="","",IF(A352=_xlfn.MAXIFS($A$2:$A$5001,$B$2:$B$5001,B352,$I$2:$I$5001,I352),1,0))</f>
        <v/>
      </c>
    </row>
    <row r="353" customFormat="false" ht="15" hidden="false" customHeight="false" outlineLevel="0" collapsed="false">
      <c r="I353" s="15" t="str">
        <f aca="false">IF(A353="","",INT(A353))</f>
        <v/>
      </c>
      <c r="J353" s="16" t="str">
        <f aca="false">IF(B353="","",IF(A353=_xlfn.MINIFS($A$2:$A$5001,$B$2:$B$5001,B353),1,0))</f>
        <v/>
      </c>
      <c r="K353" s="16" t="str">
        <f aca="false">IF(B353="","",IF(AND(D353="Formalização",E353="Concluído"),IF(COUNTIFS($B$2:$B$5001,B353,$E$2:$E$5001,"Em ajustes",$A$2:$A$5001,"&lt;"&amp;I353)&gt;0,1,0),0))</f>
        <v/>
      </c>
      <c r="L353" s="16" t="str">
        <f aca="false">IF(B353="","",IF(A353=_xlfn.MAXIFS($A$2:$A$5001,$B$2:$B$5001,B353,$I$2:$I$5001,I353),1,0))</f>
        <v/>
      </c>
    </row>
    <row r="354" customFormat="false" ht="15" hidden="false" customHeight="false" outlineLevel="0" collapsed="false">
      <c r="I354" s="15" t="str">
        <f aca="false">IF(A354="","",INT(A354))</f>
        <v/>
      </c>
      <c r="J354" s="16" t="str">
        <f aca="false">IF(B354="","",IF(A354=_xlfn.MINIFS($A$2:$A$5001,$B$2:$B$5001,B354),1,0))</f>
        <v/>
      </c>
      <c r="K354" s="16" t="str">
        <f aca="false">IF(B354="","",IF(AND(D354="Formalização",E354="Concluído"),IF(COUNTIFS($B$2:$B$5001,B354,$E$2:$E$5001,"Em ajustes",$A$2:$A$5001,"&lt;"&amp;I354)&gt;0,1,0),0))</f>
        <v/>
      </c>
      <c r="L354" s="16" t="str">
        <f aca="false">IF(B354="","",IF(A354=_xlfn.MAXIFS($A$2:$A$5001,$B$2:$B$5001,B354,$I$2:$I$5001,I354),1,0))</f>
        <v/>
      </c>
    </row>
    <row r="355" customFormat="false" ht="15" hidden="false" customHeight="false" outlineLevel="0" collapsed="false">
      <c r="I355" s="15" t="str">
        <f aca="false">IF(A355="","",INT(A355))</f>
        <v/>
      </c>
      <c r="J355" s="16" t="str">
        <f aca="false">IF(B355="","",IF(A355=_xlfn.MINIFS($A$2:$A$5001,$B$2:$B$5001,B355),1,0))</f>
        <v/>
      </c>
      <c r="K355" s="16" t="str">
        <f aca="false">IF(B355="","",IF(AND(D355="Formalização",E355="Concluído"),IF(COUNTIFS($B$2:$B$5001,B355,$E$2:$E$5001,"Em ajustes",$A$2:$A$5001,"&lt;"&amp;I355)&gt;0,1,0),0))</f>
        <v/>
      </c>
      <c r="L355" s="16" t="str">
        <f aca="false">IF(B355="","",IF(A355=_xlfn.MAXIFS($A$2:$A$5001,$B$2:$B$5001,B355,$I$2:$I$5001,I355),1,0))</f>
        <v/>
      </c>
    </row>
    <row r="356" customFormat="false" ht="15" hidden="false" customHeight="false" outlineLevel="0" collapsed="false">
      <c r="I356" s="15" t="str">
        <f aca="false">IF(A356="","",INT(A356))</f>
        <v/>
      </c>
      <c r="J356" s="16" t="str">
        <f aca="false">IF(B356="","",IF(A356=_xlfn.MINIFS($A$2:$A$5001,$B$2:$B$5001,B356),1,0))</f>
        <v/>
      </c>
      <c r="K356" s="16" t="str">
        <f aca="false">IF(B356="","",IF(AND(D356="Formalização",E356="Concluído"),IF(COUNTIFS($B$2:$B$5001,B356,$E$2:$E$5001,"Em ajustes",$A$2:$A$5001,"&lt;"&amp;I356)&gt;0,1,0),0))</f>
        <v/>
      </c>
      <c r="L356" s="16" t="str">
        <f aca="false">IF(B356="","",IF(A356=_xlfn.MAXIFS($A$2:$A$5001,$B$2:$B$5001,B356,$I$2:$I$5001,I356),1,0))</f>
        <v/>
      </c>
    </row>
    <row r="357" customFormat="false" ht="15" hidden="false" customHeight="false" outlineLevel="0" collapsed="false">
      <c r="I357" s="15" t="str">
        <f aca="false">IF(A357="","",INT(A357))</f>
        <v/>
      </c>
      <c r="J357" s="16" t="str">
        <f aca="false">IF(B357="","",IF(A357=_xlfn.MINIFS($A$2:$A$5001,$B$2:$B$5001,B357),1,0))</f>
        <v/>
      </c>
      <c r="K357" s="16" t="str">
        <f aca="false">IF(B357="","",IF(AND(D357="Formalização",E357="Concluído"),IF(COUNTIFS($B$2:$B$5001,B357,$E$2:$E$5001,"Em ajustes",$A$2:$A$5001,"&lt;"&amp;I357)&gt;0,1,0),0))</f>
        <v/>
      </c>
      <c r="L357" s="16" t="str">
        <f aca="false">IF(B357="","",IF(A357=_xlfn.MAXIFS($A$2:$A$5001,$B$2:$B$5001,B357,$I$2:$I$5001,I357),1,0))</f>
        <v/>
      </c>
    </row>
    <row r="358" customFormat="false" ht="15" hidden="false" customHeight="false" outlineLevel="0" collapsed="false">
      <c r="I358" s="15" t="str">
        <f aca="false">IF(A358="","",INT(A358))</f>
        <v/>
      </c>
      <c r="J358" s="16" t="str">
        <f aca="false">IF(B358="","",IF(A358=_xlfn.MINIFS($A$2:$A$5001,$B$2:$B$5001,B358),1,0))</f>
        <v/>
      </c>
      <c r="K358" s="16" t="str">
        <f aca="false">IF(B358="","",IF(AND(D358="Formalização",E358="Concluído"),IF(COUNTIFS($B$2:$B$5001,B358,$E$2:$E$5001,"Em ajustes",$A$2:$A$5001,"&lt;"&amp;I358)&gt;0,1,0),0))</f>
        <v/>
      </c>
      <c r="L358" s="16" t="str">
        <f aca="false">IF(B358="","",IF(A358=_xlfn.MAXIFS($A$2:$A$5001,$B$2:$B$5001,B358,$I$2:$I$5001,I358),1,0))</f>
        <v/>
      </c>
    </row>
    <row r="359" customFormat="false" ht="15" hidden="false" customHeight="false" outlineLevel="0" collapsed="false">
      <c r="I359" s="15" t="str">
        <f aca="false">IF(A359="","",INT(A359))</f>
        <v/>
      </c>
      <c r="J359" s="16" t="str">
        <f aca="false">IF(B359="","",IF(A359=_xlfn.MINIFS($A$2:$A$5001,$B$2:$B$5001,B359),1,0))</f>
        <v/>
      </c>
      <c r="K359" s="16" t="str">
        <f aca="false">IF(B359="","",IF(AND(D359="Formalização",E359="Concluído"),IF(COUNTIFS($B$2:$B$5001,B359,$E$2:$E$5001,"Em ajustes",$A$2:$A$5001,"&lt;"&amp;I359)&gt;0,1,0),0))</f>
        <v/>
      </c>
      <c r="L359" s="16" t="str">
        <f aca="false">IF(B359="","",IF(A359=_xlfn.MAXIFS($A$2:$A$5001,$B$2:$B$5001,B359,$I$2:$I$5001,I359),1,0))</f>
        <v/>
      </c>
    </row>
    <row r="360" customFormat="false" ht="15" hidden="false" customHeight="false" outlineLevel="0" collapsed="false">
      <c r="I360" s="15" t="str">
        <f aca="false">IF(A360="","",INT(A360))</f>
        <v/>
      </c>
      <c r="J360" s="16" t="str">
        <f aca="false">IF(B360="","",IF(A360=_xlfn.MINIFS($A$2:$A$5001,$B$2:$B$5001,B360),1,0))</f>
        <v/>
      </c>
      <c r="K360" s="16" t="str">
        <f aca="false">IF(B360="","",IF(AND(D360="Formalização",E360="Concluído"),IF(COUNTIFS($B$2:$B$5001,B360,$E$2:$E$5001,"Em ajustes",$A$2:$A$5001,"&lt;"&amp;I360)&gt;0,1,0),0))</f>
        <v/>
      </c>
      <c r="L360" s="16" t="str">
        <f aca="false">IF(B360="","",IF(A360=_xlfn.MAXIFS($A$2:$A$5001,$B$2:$B$5001,B360,$I$2:$I$5001,I360),1,0))</f>
        <v/>
      </c>
    </row>
    <row r="361" customFormat="false" ht="15" hidden="false" customHeight="false" outlineLevel="0" collapsed="false">
      <c r="I361" s="15" t="str">
        <f aca="false">IF(A361="","",INT(A361))</f>
        <v/>
      </c>
      <c r="J361" s="16" t="str">
        <f aca="false">IF(B361="","",IF(A361=_xlfn.MINIFS($A$2:$A$5001,$B$2:$B$5001,B361),1,0))</f>
        <v/>
      </c>
      <c r="K361" s="16" t="str">
        <f aca="false">IF(B361="","",IF(AND(D361="Formalização",E361="Concluído"),IF(COUNTIFS($B$2:$B$5001,B361,$E$2:$E$5001,"Em ajustes",$A$2:$A$5001,"&lt;"&amp;I361)&gt;0,1,0),0))</f>
        <v/>
      </c>
      <c r="L361" s="16" t="str">
        <f aca="false">IF(B361="","",IF(A361=_xlfn.MAXIFS($A$2:$A$5001,$B$2:$B$5001,B361,$I$2:$I$5001,I361),1,0))</f>
        <v/>
      </c>
    </row>
    <row r="362" customFormat="false" ht="15" hidden="false" customHeight="false" outlineLevel="0" collapsed="false">
      <c r="I362" s="15" t="str">
        <f aca="false">IF(A362="","",INT(A362))</f>
        <v/>
      </c>
      <c r="J362" s="16" t="str">
        <f aca="false">IF(B362="","",IF(A362=_xlfn.MINIFS($A$2:$A$5001,$B$2:$B$5001,B362),1,0))</f>
        <v/>
      </c>
      <c r="K362" s="16" t="str">
        <f aca="false">IF(B362="","",IF(AND(D362="Formalização",E362="Concluído"),IF(COUNTIFS($B$2:$B$5001,B362,$E$2:$E$5001,"Em ajustes",$A$2:$A$5001,"&lt;"&amp;I362)&gt;0,1,0),0))</f>
        <v/>
      </c>
      <c r="L362" s="16" t="str">
        <f aca="false">IF(B362="","",IF(A362=_xlfn.MAXIFS($A$2:$A$5001,$B$2:$B$5001,B362,$I$2:$I$5001,I362),1,0))</f>
        <v/>
      </c>
    </row>
    <row r="363" customFormat="false" ht="15" hidden="false" customHeight="false" outlineLevel="0" collapsed="false">
      <c r="I363" s="15" t="str">
        <f aca="false">IF(A363="","",INT(A363))</f>
        <v/>
      </c>
      <c r="J363" s="16" t="str">
        <f aca="false">IF(B363="","",IF(A363=_xlfn.MINIFS($A$2:$A$5001,$B$2:$B$5001,B363),1,0))</f>
        <v/>
      </c>
      <c r="K363" s="16" t="str">
        <f aca="false">IF(B363="","",IF(AND(D363="Formalização",E363="Concluído"),IF(COUNTIFS($B$2:$B$5001,B363,$E$2:$E$5001,"Em ajustes",$A$2:$A$5001,"&lt;"&amp;I363)&gt;0,1,0),0))</f>
        <v/>
      </c>
      <c r="L363" s="16" t="str">
        <f aca="false">IF(B363="","",IF(A363=_xlfn.MAXIFS($A$2:$A$5001,$B$2:$B$5001,B363,$I$2:$I$5001,I363),1,0))</f>
        <v/>
      </c>
    </row>
    <row r="364" customFormat="false" ht="15" hidden="false" customHeight="false" outlineLevel="0" collapsed="false">
      <c r="I364" s="15" t="str">
        <f aca="false">IF(A364="","",INT(A364))</f>
        <v/>
      </c>
      <c r="J364" s="16" t="str">
        <f aca="false">IF(B364="","",IF(A364=_xlfn.MINIFS($A$2:$A$5001,$B$2:$B$5001,B364),1,0))</f>
        <v/>
      </c>
      <c r="K364" s="16" t="str">
        <f aca="false">IF(B364="","",IF(AND(D364="Formalização",E364="Concluído"),IF(COUNTIFS($B$2:$B$5001,B364,$E$2:$E$5001,"Em ajustes",$A$2:$A$5001,"&lt;"&amp;I364)&gt;0,1,0),0))</f>
        <v/>
      </c>
      <c r="L364" s="16" t="str">
        <f aca="false">IF(B364="","",IF(A364=_xlfn.MAXIFS($A$2:$A$5001,$B$2:$B$5001,B364,$I$2:$I$5001,I364),1,0))</f>
        <v/>
      </c>
    </row>
    <row r="365" customFormat="false" ht="15" hidden="false" customHeight="false" outlineLevel="0" collapsed="false">
      <c r="I365" s="15" t="str">
        <f aca="false">IF(A365="","",INT(A365))</f>
        <v/>
      </c>
      <c r="J365" s="16" t="str">
        <f aca="false">IF(B365="","",IF(A365=_xlfn.MINIFS($A$2:$A$5001,$B$2:$B$5001,B365),1,0))</f>
        <v/>
      </c>
      <c r="K365" s="16" t="str">
        <f aca="false">IF(B365="","",IF(AND(D365="Formalização",E365="Concluído"),IF(COUNTIFS($B$2:$B$5001,B365,$E$2:$E$5001,"Em ajustes",$A$2:$A$5001,"&lt;"&amp;I365)&gt;0,1,0),0))</f>
        <v/>
      </c>
      <c r="L365" s="16" t="str">
        <f aca="false">IF(B365="","",IF(A365=_xlfn.MAXIFS($A$2:$A$5001,$B$2:$B$5001,B365,$I$2:$I$5001,I365),1,0))</f>
        <v/>
      </c>
    </row>
    <row r="366" customFormat="false" ht="15" hidden="false" customHeight="false" outlineLevel="0" collapsed="false">
      <c r="I366" s="15" t="str">
        <f aca="false">IF(A366="","",INT(A366))</f>
        <v/>
      </c>
      <c r="J366" s="16" t="str">
        <f aca="false">IF(B366="","",IF(A366=_xlfn.MINIFS($A$2:$A$5001,$B$2:$B$5001,B366),1,0))</f>
        <v/>
      </c>
      <c r="K366" s="16" t="str">
        <f aca="false">IF(B366="","",IF(AND(D366="Formalização",E366="Concluído"),IF(COUNTIFS($B$2:$B$5001,B366,$E$2:$E$5001,"Em ajustes",$A$2:$A$5001,"&lt;"&amp;I366)&gt;0,1,0),0))</f>
        <v/>
      </c>
      <c r="L366" s="16" t="str">
        <f aca="false">IF(B366="","",IF(A366=_xlfn.MAXIFS($A$2:$A$5001,$B$2:$B$5001,B366,$I$2:$I$5001,I366),1,0))</f>
        <v/>
      </c>
    </row>
    <row r="367" customFormat="false" ht="15" hidden="false" customHeight="false" outlineLevel="0" collapsed="false">
      <c r="I367" s="15" t="str">
        <f aca="false">IF(A367="","",INT(A367))</f>
        <v/>
      </c>
      <c r="J367" s="16" t="str">
        <f aca="false">IF(B367="","",IF(A367=_xlfn.MINIFS($A$2:$A$5001,$B$2:$B$5001,B367),1,0))</f>
        <v/>
      </c>
      <c r="K367" s="16" t="str">
        <f aca="false">IF(B367="","",IF(AND(D367="Formalização",E367="Concluído"),IF(COUNTIFS($B$2:$B$5001,B367,$E$2:$E$5001,"Em ajustes",$A$2:$A$5001,"&lt;"&amp;I367)&gt;0,1,0),0))</f>
        <v/>
      </c>
      <c r="L367" s="16" t="str">
        <f aca="false">IF(B367="","",IF(A367=_xlfn.MAXIFS($A$2:$A$5001,$B$2:$B$5001,B367,$I$2:$I$5001,I367),1,0))</f>
        <v/>
      </c>
    </row>
    <row r="368" customFormat="false" ht="15" hidden="false" customHeight="false" outlineLevel="0" collapsed="false">
      <c r="I368" s="15" t="str">
        <f aca="false">IF(A368="","",INT(A368))</f>
        <v/>
      </c>
      <c r="J368" s="16" t="str">
        <f aca="false">IF(B368="","",IF(A368=_xlfn.MINIFS($A$2:$A$5001,$B$2:$B$5001,B368),1,0))</f>
        <v/>
      </c>
      <c r="K368" s="16" t="str">
        <f aca="false">IF(B368="","",IF(AND(D368="Formalização",E368="Concluído"),IF(COUNTIFS($B$2:$B$5001,B368,$E$2:$E$5001,"Em ajustes",$A$2:$A$5001,"&lt;"&amp;I368)&gt;0,1,0),0))</f>
        <v/>
      </c>
      <c r="L368" s="16" t="str">
        <f aca="false">IF(B368="","",IF(A368=_xlfn.MAXIFS($A$2:$A$5001,$B$2:$B$5001,B368,$I$2:$I$5001,I368),1,0))</f>
        <v/>
      </c>
    </row>
    <row r="369" customFormat="false" ht="15" hidden="false" customHeight="false" outlineLevel="0" collapsed="false">
      <c r="I369" s="15" t="str">
        <f aca="false">IF(A369="","",INT(A369))</f>
        <v/>
      </c>
      <c r="J369" s="16" t="str">
        <f aca="false">IF(B369="","",IF(A369=_xlfn.MINIFS($A$2:$A$5001,$B$2:$B$5001,B369),1,0))</f>
        <v/>
      </c>
      <c r="K369" s="16" t="str">
        <f aca="false">IF(B369="","",IF(AND(D369="Formalização",E369="Concluído"),IF(COUNTIFS($B$2:$B$5001,B369,$E$2:$E$5001,"Em ajustes",$A$2:$A$5001,"&lt;"&amp;I369)&gt;0,1,0),0))</f>
        <v/>
      </c>
      <c r="L369" s="16" t="str">
        <f aca="false">IF(B369="","",IF(A369=_xlfn.MAXIFS($A$2:$A$5001,$B$2:$B$5001,B369,$I$2:$I$5001,I369),1,0))</f>
        <v/>
      </c>
    </row>
    <row r="370" customFormat="false" ht="15" hidden="false" customHeight="false" outlineLevel="0" collapsed="false">
      <c r="I370" s="15" t="str">
        <f aca="false">IF(A370="","",INT(A370))</f>
        <v/>
      </c>
      <c r="J370" s="16" t="str">
        <f aca="false">IF(B370="","",IF(A370=_xlfn.MINIFS($A$2:$A$5001,$B$2:$B$5001,B370),1,0))</f>
        <v/>
      </c>
      <c r="K370" s="16" t="str">
        <f aca="false">IF(B370="","",IF(AND(D370="Formalização",E370="Concluído"),IF(COUNTIFS($B$2:$B$5001,B370,$E$2:$E$5001,"Em ajustes",$A$2:$A$5001,"&lt;"&amp;I370)&gt;0,1,0),0))</f>
        <v/>
      </c>
      <c r="L370" s="16" t="str">
        <f aca="false">IF(B370="","",IF(A370=_xlfn.MAXIFS($A$2:$A$5001,$B$2:$B$5001,B370,$I$2:$I$5001,I370),1,0))</f>
        <v/>
      </c>
    </row>
    <row r="371" customFormat="false" ht="15" hidden="false" customHeight="false" outlineLevel="0" collapsed="false">
      <c r="I371" s="15" t="str">
        <f aca="false">IF(A371="","",INT(A371))</f>
        <v/>
      </c>
      <c r="J371" s="16" t="str">
        <f aca="false">IF(B371="","",IF(A371=_xlfn.MINIFS($A$2:$A$5001,$B$2:$B$5001,B371),1,0))</f>
        <v/>
      </c>
      <c r="K371" s="16" t="str">
        <f aca="false">IF(B371="","",IF(AND(D371="Formalização",E371="Concluído"),IF(COUNTIFS($B$2:$B$5001,B371,$E$2:$E$5001,"Em ajustes",$A$2:$A$5001,"&lt;"&amp;I371)&gt;0,1,0),0))</f>
        <v/>
      </c>
      <c r="L371" s="16" t="str">
        <f aca="false">IF(B371="","",IF(A371=_xlfn.MAXIFS($A$2:$A$5001,$B$2:$B$5001,B371,$I$2:$I$5001,I371),1,0))</f>
        <v/>
      </c>
    </row>
    <row r="372" customFormat="false" ht="15" hidden="false" customHeight="false" outlineLevel="0" collapsed="false">
      <c r="I372" s="15" t="str">
        <f aca="false">IF(A372="","",INT(A372))</f>
        <v/>
      </c>
      <c r="J372" s="16" t="str">
        <f aca="false">IF(B372="","",IF(A372=_xlfn.MINIFS($A$2:$A$5001,$B$2:$B$5001,B372),1,0))</f>
        <v/>
      </c>
      <c r="K372" s="16" t="str">
        <f aca="false">IF(B372="","",IF(AND(D372="Formalização",E372="Concluído"),IF(COUNTIFS($B$2:$B$5001,B372,$E$2:$E$5001,"Em ajustes",$A$2:$A$5001,"&lt;"&amp;I372)&gt;0,1,0),0))</f>
        <v/>
      </c>
      <c r="L372" s="16" t="str">
        <f aca="false">IF(B372="","",IF(A372=_xlfn.MAXIFS($A$2:$A$5001,$B$2:$B$5001,B372,$I$2:$I$5001,I372),1,0))</f>
        <v/>
      </c>
    </row>
    <row r="373" customFormat="false" ht="15" hidden="false" customHeight="false" outlineLevel="0" collapsed="false">
      <c r="I373" s="15" t="str">
        <f aca="false">IF(A373="","",INT(A373))</f>
        <v/>
      </c>
      <c r="J373" s="16" t="str">
        <f aca="false">IF(B373="","",IF(A373=_xlfn.MINIFS($A$2:$A$5001,$B$2:$B$5001,B373),1,0))</f>
        <v/>
      </c>
      <c r="K373" s="16" t="str">
        <f aca="false">IF(B373="","",IF(AND(D373="Formalização",E373="Concluído"),IF(COUNTIFS($B$2:$B$5001,B373,$E$2:$E$5001,"Em ajustes",$A$2:$A$5001,"&lt;"&amp;I373)&gt;0,1,0),0))</f>
        <v/>
      </c>
      <c r="L373" s="16" t="str">
        <f aca="false">IF(B373="","",IF(A373=_xlfn.MAXIFS($A$2:$A$5001,$B$2:$B$5001,B373,$I$2:$I$5001,I373),1,0))</f>
        <v/>
      </c>
    </row>
    <row r="374" customFormat="false" ht="15" hidden="false" customHeight="false" outlineLevel="0" collapsed="false">
      <c r="I374" s="15" t="str">
        <f aca="false">IF(A374="","",INT(A374))</f>
        <v/>
      </c>
      <c r="J374" s="16" t="str">
        <f aca="false">IF(B374="","",IF(A374=_xlfn.MINIFS($A$2:$A$5001,$B$2:$B$5001,B374),1,0))</f>
        <v/>
      </c>
      <c r="K374" s="16" t="str">
        <f aca="false">IF(B374="","",IF(AND(D374="Formalização",E374="Concluído"),IF(COUNTIFS($B$2:$B$5001,B374,$E$2:$E$5001,"Em ajustes",$A$2:$A$5001,"&lt;"&amp;I374)&gt;0,1,0),0))</f>
        <v/>
      </c>
      <c r="L374" s="16" t="str">
        <f aca="false">IF(B374="","",IF(A374=_xlfn.MAXIFS($A$2:$A$5001,$B$2:$B$5001,B374,$I$2:$I$5001,I374),1,0))</f>
        <v/>
      </c>
    </row>
    <row r="375" customFormat="false" ht="15" hidden="false" customHeight="false" outlineLevel="0" collapsed="false">
      <c r="I375" s="15" t="str">
        <f aca="false">IF(A375="","",INT(A375))</f>
        <v/>
      </c>
      <c r="J375" s="16" t="str">
        <f aca="false">IF(B375="","",IF(A375=_xlfn.MINIFS($A$2:$A$5001,$B$2:$B$5001,B375),1,0))</f>
        <v/>
      </c>
      <c r="K375" s="16" t="str">
        <f aca="false">IF(B375="","",IF(AND(D375="Formalização",E375="Concluído"),IF(COUNTIFS($B$2:$B$5001,B375,$E$2:$E$5001,"Em ajustes",$A$2:$A$5001,"&lt;"&amp;I375)&gt;0,1,0),0))</f>
        <v/>
      </c>
      <c r="L375" s="16" t="str">
        <f aca="false">IF(B375="","",IF(A375=_xlfn.MAXIFS($A$2:$A$5001,$B$2:$B$5001,B375,$I$2:$I$5001,I375),1,0))</f>
        <v/>
      </c>
    </row>
    <row r="376" customFormat="false" ht="15" hidden="false" customHeight="false" outlineLevel="0" collapsed="false">
      <c r="I376" s="15" t="str">
        <f aca="false">IF(A376="","",INT(A376))</f>
        <v/>
      </c>
      <c r="J376" s="16" t="str">
        <f aca="false">IF(B376="","",IF(A376=_xlfn.MINIFS($A$2:$A$5001,$B$2:$B$5001,B376),1,0))</f>
        <v/>
      </c>
      <c r="K376" s="16" t="str">
        <f aca="false">IF(B376="","",IF(AND(D376="Formalização",E376="Concluído"),IF(COUNTIFS($B$2:$B$5001,B376,$E$2:$E$5001,"Em ajustes",$A$2:$A$5001,"&lt;"&amp;I376)&gt;0,1,0),0))</f>
        <v/>
      </c>
      <c r="L376" s="16" t="str">
        <f aca="false">IF(B376="","",IF(A376=_xlfn.MAXIFS($A$2:$A$5001,$B$2:$B$5001,B376,$I$2:$I$5001,I376),1,0))</f>
        <v/>
      </c>
    </row>
    <row r="377" customFormat="false" ht="15" hidden="false" customHeight="false" outlineLevel="0" collapsed="false">
      <c r="I377" s="15" t="str">
        <f aca="false">IF(A377="","",INT(A377))</f>
        <v/>
      </c>
      <c r="J377" s="16" t="str">
        <f aca="false">IF(B377="","",IF(A377=_xlfn.MINIFS($A$2:$A$5001,$B$2:$B$5001,B377),1,0))</f>
        <v/>
      </c>
      <c r="K377" s="16" t="str">
        <f aca="false">IF(B377="","",IF(AND(D377="Formalização",E377="Concluído"),IF(COUNTIFS($B$2:$B$5001,B377,$E$2:$E$5001,"Em ajustes",$A$2:$A$5001,"&lt;"&amp;I377)&gt;0,1,0),0))</f>
        <v/>
      </c>
      <c r="L377" s="16" t="str">
        <f aca="false">IF(B377="","",IF(A377=_xlfn.MAXIFS($A$2:$A$5001,$B$2:$B$5001,B377,$I$2:$I$5001,I377),1,0))</f>
        <v/>
      </c>
    </row>
    <row r="378" customFormat="false" ht="15" hidden="false" customHeight="false" outlineLevel="0" collapsed="false">
      <c r="I378" s="15" t="str">
        <f aca="false">IF(A378="","",INT(A378))</f>
        <v/>
      </c>
      <c r="J378" s="16" t="str">
        <f aca="false">IF(B378="","",IF(A378=_xlfn.MINIFS($A$2:$A$5001,$B$2:$B$5001,B378),1,0))</f>
        <v/>
      </c>
      <c r="K378" s="16" t="str">
        <f aca="false">IF(B378="","",IF(AND(D378="Formalização",E378="Concluído"),IF(COUNTIFS($B$2:$B$5001,B378,$E$2:$E$5001,"Em ajustes",$A$2:$A$5001,"&lt;"&amp;I378)&gt;0,1,0),0))</f>
        <v/>
      </c>
      <c r="L378" s="16" t="str">
        <f aca="false">IF(B378="","",IF(A378=_xlfn.MAXIFS($A$2:$A$5001,$B$2:$B$5001,B378,$I$2:$I$5001,I378),1,0))</f>
        <v/>
      </c>
    </row>
    <row r="379" customFormat="false" ht="15" hidden="false" customHeight="false" outlineLevel="0" collapsed="false">
      <c r="I379" s="15" t="str">
        <f aca="false">IF(A379="","",INT(A379))</f>
        <v/>
      </c>
      <c r="J379" s="16" t="str">
        <f aca="false">IF(B379="","",IF(A379=_xlfn.MINIFS($A$2:$A$5001,$B$2:$B$5001,B379),1,0))</f>
        <v/>
      </c>
      <c r="K379" s="16" t="str">
        <f aca="false">IF(B379="","",IF(AND(D379="Formalização",E379="Concluído"),IF(COUNTIFS($B$2:$B$5001,B379,$E$2:$E$5001,"Em ajustes",$A$2:$A$5001,"&lt;"&amp;I379)&gt;0,1,0),0))</f>
        <v/>
      </c>
      <c r="L379" s="16" t="str">
        <f aca="false">IF(B379="","",IF(A379=_xlfn.MAXIFS($A$2:$A$5001,$B$2:$B$5001,B379,$I$2:$I$5001,I379),1,0))</f>
        <v/>
      </c>
    </row>
    <row r="380" customFormat="false" ht="15" hidden="false" customHeight="false" outlineLevel="0" collapsed="false">
      <c r="I380" s="15" t="str">
        <f aca="false">IF(A380="","",INT(A380))</f>
        <v/>
      </c>
      <c r="J380" s="16" t="str">
        <f aca="false">IF(B380="","",IF(A380=_xlfn.MINIFS($A$2:$A$5001,$B$2:$B$5001,B380),1,0))</f>
        <v/>
      </c>
      <c r="K380" s="16" t="str">
        <f aca="false">IF(B380="","",IF(AND(D380="Formalização",E380="Concluído"),IF(COUNTIFS($B$2:$B$5001,B380,$E$2:$E$5001,"Em ajustes",$A$2:$A$5001,"&lt;"&amp;I380)&gt;0,1,0),0))</f>
        <v/>
      </c>
      <c r="L380" s="16" t="str">
        <f aca="false">IF(B380="","",IF(A380=_xlfn.MAXIFS($A$2:$A$5001,$B$2:$B$5001,B380,$I$2:$I$5001,I380),1,0))</f>
        <v/>
      </c>
    </row>
    <row r="381" customFormat="false" ht="15" hidden="false" customHeight="false" outlineLevel="0" collapsed="false">
      <c r="I381" s="15" t="str">
        <f aca="false">IF(A381="","",INT(A381))</f>
        <v/>
      </c>
      <c r="J381" s="16" t="str">
        <f aca="false">IF(B381="","",IF(A381=_xlfn.MINIFS($A$2:$A$5001,$B$2:$B$5001,B381),1,0))</f>
        <v/>
      </c>
      <c r="K381" s="16" t="str">
        <f aca="false">IF(B381="","",IF(AND(D381="Formalização",E381="Concluído"),IF(COUNTIFS($B$2:$B$5001,B381,$E$2:$E$5001,"Em ajustes",$A$2:$A$5001,"&lt;"&amp;I381)&gt;0,1,0),0))</f>
        <v/>
      </c>
      <c r="L381" s="16" t="str">
        <f aca="false">IF(B381="","",IF(A381=_xlfn.MAXIFS($A$2:$A$5001,$B$2:$B$5001,B381,$I$2:$I$5001,I381),1,0))</f>
        <v/>
      </c>
    </row>
    <row r="382" customFormat="false" ht="15" hidden="false" customHeight="false" outlineLevel="0" collapsed="false">
      <c r="I382" s="15" t="str">
        <f aca="false">IF(A382="","",INT(A382))</f>
        <v/>
      </c>
      <c r="J382" s="16" t="str">
        <f aca="false">IF(B382="","",IF(A382=_xlfn.MINIFS($A$2:$A$5001,$B$2:$B$5001,B382),1,0))</f>
        <v/>
      </c>
      <c r="K382" s="16" t="str">
        <f aca="false">IF(B382="","",IF(AND(D382="Formalização",E382="Concluído"),IF(COUNTIFS($B$2:$B$5001,B382,$E$2:$E$5001,"Em ajustes",$A$2:$A$5001,"&lt;"&amp;I382)&gt;0,1,0),0))</f>
        <v/>
      </c>
      <c r="L382" s="16" t="str">
        <f aca="false">IF(B382="","",IF(A382=_xlfn.MAXIFS($A$2:$A$5001,$B$2:$B$5001,B382,$I$2:$I$5001,I382),1,0))</f>
        <v/>
      </c>
    </row>
    <row r="383" customFormat="false" ht="15" hidden="false" customHeight="false" outlineLevel="0" collapsed="false">
      <c r="I383" s="15" t="str">
        <f aca="false">IF(A383="","",INT(A383))</f>
        <v/>
      </c>
      <c r="J383" s="16" t="str">
        <f aca="false">IF(B383="","",IF(A383=_xlfn.MINIFS($A$2:$A$5001,$B$2:$B$5001,B383),1,0))</f>
        <v/>
      </c>
      <c r="K383" s="16" t="str">
        <f aca="false">IF(B383="","",IF(AND(D383="Formalização",E383="Concluído"),IF(COUNTIFS($B$2:$B$5001,B383,$E$2:$E$5001,"Em ajustes",$A$2:$A$5001,"&lt;"&amp;I383)&gt;0,1,0),0))</f>
        <v/>
      </c>
      <c r="L383" s="16" t="str">
        <f aca="false">IF(B383="","",IF(A383=_xlfn.MAXIFS($A$2:$A$5001,$B$2:$B$5001,B383,$I$2:$I$5001,I383),1,0))</f>
        <v/>
      </c>
    </row>
    <row r="384" customFormat="false" ht="15" hidden="false" customHeight="false" outlineLevel="0" collapsed="false">
      <c r="I384" s="15" t="str">
        <f aca="false">IF(A384="","",INT(A384))</f>
        <v/>
      </c>
      <c r="J384" s="16" t="str">
        <f aca="false">IF(B384="","",IF(A384=_xlfn.MINIFS($A$2:$A$5001,$B$2:$B$5001,B384),1,0))</f>
        <v/>
      </c>
      <c r="K384" s="16" t="str">
        <f aca="false">IF(B384="","",IF(AND(D384="Formalização",E384="Concluído"),IF(COUNTIFS($B$2:$B$5001,B384,$E$2:$E$5001,"Em ajustes",$A$2:$A$5001,"&lt;"&amp;I384)&gt;0,1,0),0))</f>
        <v/>
      </c>
      <c r="L384" s="16" t="str">
        <f aca="false">IF(B384="","",IF(A384=_xlfn.MAXIFS($A$2:$A$5001,$B$2:$B$5001,B384,$I$2:$I$5001,I384),1,0))</f>
        <v/>
      </c>
    </row>
    <row r="385" customFormat="false" ht="15" hidden="false" customHeight="false" outlineLevel="0" collapsed="false">
      <c r="I385" s="15" t="str">
        <f aca="false">IF(A385="","",INT(A385))</f>
        <v/>
      </c>
      <c r="J385" s="16" t="str">
        <f aca="false">IF(B385="","",IF(A385=_xlfn.MINIFS($A$2:$A$5001,$B$2:$B$5001,B385),1,0))</f>
        <v/>
      </c>
      <c r="K385" s="16" t="str">
        <f aca="false">IF(B385="","",IF(AND(D385="Formalização",E385="Concluído"),IF(COUNTIFS($B$2:$B$5001,B385,$E$2:$E$5001,"Em ajustes",$A$2:$A$5001,"&lt;"&amp;I385)&gt;0,1,0),0))</f>
        <v/>
      </c>
      <c r="L385" s="16" t="str">
        <f aca="false">IF(B385="","",IF(A385=_xlfn.MAXIFS($A$2:$A$5001,$B$2:$B$5001,B385,$I$2:$I$5001,I385),1,0))</f>
        <v/>
      </c>
    </row>
    <row r="386" customFormat="false" ht="15" hidden="false" customHeight="false" outlineLevel="0" collapsed="false">
      <c r="I386" s="15" t="str">
        <f aca="false">IF(A386="","",INT(A386))</f>
        <v/>
      </c>
      <c r="J386" s="16" t="str">
        <f aca="false">IF(B386="","",IF(A386=_xlfn.MINIFS($A$2:$A$5001,$B$2:$B$5001,B386),1,0))</f>
        <v/>
      </c>
      <c r="K386" s="16" t="str">
        <f aca="false">IF(B386="","",IF(AND(D386="Formalização",E386="Concluído"),IF(COUNTIFS($B$2:$B$5001,B386,$E$2:$E$5001,"Em ajustes",$A$2:$A$5001,"&lt;"&amp;I386)&gt;0,1,0),0))</f>
        <v/>
      </c>
      <c r="L386" s="16" t="str">
        <f aca="false">IF(B386="","",IF(A386=_xlfn.MAXIFS($A$2:$A$5001,$B$2:$B$5001,B386,$I$2:$I$5001,I386),1,0))</f>
        <v/>
      </c>
    </row>
    <row r="387" customFormat="false" ht="15" hidden="false" customHeight="false" outlineLevel="0" collapsed="false">
      <c r="I387" s="15" t="str">
        <f aca="false">IF(A387="","",INT(A387))</f>
        <v/>
      </c>
      <c r="J387" s="16" t="str">
        <f aca="false">IF(B387="","",IF(A387=_xlfn.MINIFS($A$2:$A$5001,$B$2:$B$5001,B387),1,0))</f>
        <v/>
      </c>
      <c r="K387" s="16" t="str">
        <f aca="false">IF(B387="","",IF(AND(D387="Formalização",E387="Concluído"),IF(COUNTIFS($B$2:$B$5001,B387,$E$2:$E$5001,"Em ajustes",$A$2:$A$5001,"&lt;"&amp;I387)&gt;0,1,0),0))</f>
        <v/>
      </c>
      <c r="L387" s="16" t="str">
        <f aca="false">IF(B387="","",IF(A387=_xlfn.MAXIFS($A$2:$A$5001,$B$2:$B$5001,B387,$I$2:$I$5001,I387),1,0))</f>
        <v/>
      </c>
    </row>
    <row r="388" customFormat="false" ht="15" hidden="false" customHeight="false" outlineLevel="0" collapsed="false">
      <c r="I388" s="15" t="str">
        <f aca="false">IF(A388="","",INT(A388))</f>
        <v/>
      </c>
      <c r="J388" s="16" t="str">
        <f aca="false">IF(B388="","",IF(A388=_xlfn.MINIFS($A$2:$A$5001,$B$2:$B$5001,B388),1,0))</f>
        <v/>
      </c>
      <c r="K388" s="16" t="str">
        <f aca="false">IF(B388="","",IF(AND(D388="Formalização",E388="Concluído"),IF(COUNTIFS($B$2:$B$5001,B388,$E$2:$E$5001,"Em ajustes",$A$2:$A$5001,"&lt;"&amp;I388)&gt;0,1,0),0))</f>
        <v/>
      </c>
      <c r="L388" s="16" t="str">
        <f aca="false">IF(B388="","",IF(A388=_xlfn.MAXIFS($A$2:$A$5001,$B$2:$B$5001,B388,$I$2:$I$5001,I388),1,0))</f>
        <v/>
      </c>
    </row>
    <row r="389" customFormat="false" ht="15" hidden="false" customHeight="false" outlineLevel="0" collapsed="false">
      <c r="I389" s="15" t="str">
        <f aca="false">IF(A389="","",INT(A389))</f>
        <v/>
      </c>
      <c r="J389" s="16" t="str">
        <f aca="false">IF(B389="","",IF(A389=_xlfn.MINIFS($A$2:$A$5001,$B$2:$B$5001,B389),1,0))</f>
        <v/>
      </c>
      <c r="K389" s="16" t="str">
        <f aca="false">IF(B389="","",IF(AND(D389="Formalização",E389="Concluído"),IF(COUNTIFS($B$2:$B$5001,B389,$E$2:$E$5001,"Em ajustes",$A$2:$A$5001,"&lt;"&amp;I389)&gt;0,1,0),0))</f>
        <v/>
      </c>
      <c r="L389" s="16" t="str">
        <f aca="false">IF(B389="","",IF(A389=_xlfn.MAXIFS($A$2:$A$5001,$B$2:$B$5001,B389,$I$2:$I$5001,I389),1,0))</f>
        <v/>
      </c>
    </row>
    <row r="390" customFormat="false" ht="15" hidden="false" customHeight="false" outlineLevel="0" collapsed="false">
      <c r="I390" s="15" t="str">
        <f aca="false">IF(A390="","",INT(A390))</f>
        <v/>
      </c>
      <c r="J390" s="16" t="str">
        <f aca="false">IF(B390="","",IF(A390=_xlfn.MINIFS($A$2:$A$5001,$B$2:$B$5001,B390),1,0))</f>
        <v/>
      </c>
      <c r="K390" s="16" t="str">
        <f aca="false">IF(B390="","",IF(AND(D390="Formalização",E390="Concluído"),IF(COUNTIFS($B$2:$B$5001,B390,$E$2:$E$5001,"Em ajustes",$A$2:$A$5001,"&lt;"&amp;I390)&gt;0,1,0),0))</f>
        <v/>
      </c>
      <c r="L390" s="16" t="str">
        <f aca="false">IF(B390="","",IF(A390=_xlfn.MAXIFS($A$2:$A$5001,$B$2:$B$5001,B390,$I$2:$I$5001,I390),1,0))</f>
        <v/>
      </c>
    </row>
    <row r="391" customFormat="false" ht="15" hidden="false" customHeight="false" outlineLevel="0" collapsed="false">
      <c r="I391" s="15" t="str">
        <f aca="false">IF(A391="","",INT(A391))</f>
        <v/>
      </c>
      <c r="J391" s="16" t="str">
        <f aca="false">IF(B391="","",IF(A391=_xlfn.MINIFS($A$2:$A$5001,$B$2:$B$5001,B391),1,0))</f>
        <v/>
      </c>
      <c r="K391" s="16" t="str">
        <f aca="false">IF(B391="","",IF(AND(D391="Formalização",E391="Concluído"),IF(COUNTIFS($B$2:$B$5001,B391,$E$2:$E$5001,"Em ajustes",$A$2:$A$5001,"&lt;"&amp;I391)&gt;0,1,0),0))</f>
        <v/>
      </c>
      <c r="L391" s="16" t="str">
        <f aca="false">IF(B391="","",IF(A391=_xlfn.MAXIFS($A$2:$A$5001,$B$2:$B$5001,B391,$I$2:$I$5001,I391),1,0))</f>
        <v/>
      </c>
    </row>
    <row r="392" customFormat="false" ht="15" hidden="false" customHeight="false" outlineLevel="0" collapsed="false">
      <c r="I392" s="15" t="str">
        <f aca="false">IF(A392="","",INT(A392))</f>
        <v/>
      </c>
      <c r="J392" s="16" t="str">
        <f aca="false">IF(B392="","",IF(A392=_xlfn.MINIFS($A$2:$A$5001,$B$2:$B$5001,B392),1,0))</f>
        <v/>
      </c>
      <c r="K392" s="16" t="str">
        <f aca="false">IF(B392="","",IF(AND(D392="Formalização",E392="Concluído"),IF(COUNTIFS($B$2:$B$5001,B392,$E$2:$E$5001,"Em ajustes",$A$2:$A$5001,"&lt;"&amp;I392)&gt;0,1,0),0))</f>
        <v/>
      </c>
      <c r="L392" s="16" t="str">
        <f aca="false">IF(B392="","",IF(A392=_xlfn.MAXIFS($A$2:$A$5001,$B$2:$B$5001,B392,$I$2:$I$5001,I392),1,0))</f>
        <v/>
      </c>
    </row>
    <row r="393" customFormat="false" ht="15" hidden="false" customHeight="false" outlineLevel="0" collapsed="false">
      <c r="I393" s="15" t="str">
        <f aca="false">IF(A393="","",INT(A393))</f>
        <v/>
      </c>
      <c r="J393" s="16" t="str">
        <f aca="false">IF(B393="","",IF(A393=_xlfn.MINIFS($A$2:$A$5001,$B$2:$B$5001,B393),1,0))</f>
        <v/>
      </c>
      <c r="K393" s="16" t="str">
        <f aca="false">IF(B393="","",IF(AND(D393="Formalização",E393="Concluído"),IF(COUNTIFS($B$2:$B$5001,B393,$E$2:$E$5001,"Em ajustes",$A$2:$A$5001,"&lt;"&amp;I393)&gt;0,1,0),0))</f>
        <v/>
      </c>
      <c r="L393" s="16" t="str">
        <f aca="false">IF(B393="","",IF(A393=_xlfn.MAXIFS($A$2:$A$5001,$B$2:$B$5001,B393,$I$2:$I$5001,I393),1,0))</f>
        <v/>
      </c>
    </row>
    <row r="394" customFormat="false" ht="15" hidden="false" customHeight="false" outlineLevel="0" collapsed="false">
      <c r="I394" s="15" t="str">
        <f aca="false">IF(A394="","",INT(A394))</f>
        <v/>
      </c>
      <c r="J394" s="16" t="str">
        <f aca="false">IF(B394="","",IF(A394=_xlfn.MINIFS($A$2:$A$5001,$B$2:$B$5001,B394),1,0))</f>
        <v/>
      </c>
      <c r="K394" s="16" t="str">
        <f aca="false">IF(B394="","",IF(AND(D394="Formalização",E394="Concluído"),IF(COUNTIFS($B$2:$B$5001,B394,$E$2:$E$5001,"Em ajustes",$A$2:$A$5001,"&lt;"&amp;I394)&gt;0,1,0),0))</f>
        <v/>
      </c>
      <c r="L394" s="16" t="str">
        <f aca="false">IF(B394="","",IF(A394=_xlfn.MAXIFS($A$2:$A$5001,$B$2:$B$5001,B394,$I$2:$I$5001,I394),1,0))</f>
        <v/>
      </c>
    </row>
    <row r="395" customFormat="false" ht="15" hidden="false" customHeight="false" outlineLevel="0" collapsed="false">
      <c r="I395" s="15" t="str">
        <f aca="false">IF(A395="","",INT(A395))</f>
        <v/>
      </c>
      <c r="J395" s="16" t="str">
        <f aca="false">IF(B395="","",IF(A395=_xlfn.MINIFS($A$2:$A$5001,$B$2:$B$5001,B395),1,0))</f>
        <v/>
      </c>
      <c r="K395" s="16" t="str">
        <f aca="false">IF(B395="","",IF(AND(D395="Formalização",E395="Concluído"),IF(COUNTIFS($B$2:$B$5001,B395,$E$2:$E$5001,"Em ajustes",$A$2:$A$5001,"&lt;"&amp;I395)&gt;0,1,0),0))</f>
        <v/>
      </c>
      <c r="L395" s="16" t="str">
        <f aca="false">IF(B395="","",IF(A395=_xlfn.MAXIFS($A$2:$A$5001,$B$2:$B$5001,B395,$I$2:$I$5001,I395),1,0))</f>
        <v/>
      </c>
    </row>
    <row r="396" customFormat="false" ht="15" hidden="false" customHeight="false" outlineLevel="0" collapsed="false">
      <c r="I396" s="15" t="str">
        <f aca="false">IF(A396="","",INT(A396))</f>
        <v/>
      </c>
      <c r="J396" s="16" t="str">
        <f aca="false">IF(B396="","",IF(A396=_xlfn.MINIFS($A$2:$A$5001,$B$2:$B$5001,B396),1,0))</f>
        <v/>
      </c>
      <c r="K396" s="16" t="str">
        <f aca="false">IF(B396="","",IF(AND(D396="Formalização",E396="Concluído"),IF(COUNTIFS($B$2:$B$5001,B396,$E$2:$E$5001,"Em ajustes",$A$2:$A$5001,"&lt;"&amp;I396)&gt;0,1,0),0))</f>
        <v/>
      </c>
      <c r="L396" s="16" t="str">
        <f aca="false">IF(B396="","",IF(A396=_xlfn.MAXIFS($A$2:$A$5001,$B$2:$B$5001,B396,$I$2:$I$5001,I396),1,0))</f>
        <v/>
      </c>
    </row>
    <row r="397" customFormat="false" ht="15" hidden="false" customHeight="false" outlineLevel="0" collapsed="false">
      <c r="I397" s="15" t="str">
        <f aca="false">IF(A397="","",INT(A397))</f>
        <v/>
      </c>
      <c r="J397" s="16" t="str">
        <f aca="false">IF(B397="","",IF(A397=_xlfn.MINIFS($A$2:$A$5001,$B$2:$B$5001,B397),1,0))</f>
        <v/>
      </c>
      <c r="K397" s="16" t="str">
        <f aca="false">IF(B397="","",IF(AND(D397="Formalização",E397="Concluído"),IF(COUNTIFS($B$2:$B$5001,B397,$E$2:$E$5001,"Em ajustes",$A$2:$A$5001,"&lt;"&amp;I397)&gt;0,1,0),0))</f>
        <v/>
      </c>
      <c r="L397" s="16" t="str">
        <f aca="false">IF(B397="","",IF(A397=_xlfn.MAXIFS($A$2:$A$5001,$B$2:$B$5001,B397,$I$2:$I$5001,I397),1,0))</f>
        <v/>
      </c>
    </row>
    <row r="398" customFormat="false" ht="15" hidden="false" customHeight="false" outlineLevel="0" collapsed="false">
      <c r="I398" s="15" t="str">
        <f aca="false">IF(A398="","",INT(A398))</f>
        <v/>
      </c>
      <c r="J398" s="16" t="str">
        <f aca="false">IF(B398="","",IF(A398=_xlfn.MINIFS($A$2:$A$5001,$B$2:$B$5001,B398),1,0))</f>
        <v/>
      </c>
      <c r="K398" s="16" t="str">
        <f aca="false">IF(B398="","",IF(AND(D398="Formalização",E398="Concluído"),IF(COUNTIFS($B$2:$B$5001,B398,$E$2:$E$5001,"Em ajustes",$A$2:$A$5001,"&lt;"&amp;I398)&gt;0,1,0),0))</f>
        <v/>
      </c>
      <c r="L398" s="16" t="str">
        <f aca="false">IF(B398="","",IF(A398=_xlfn.MAXIFS($A$2:$A$5001,$B$2:$B$5001,B398,$I$2:$I$5001,I398),1,0))</f>
        <v/>
      </c>
    </row>
    <row r="399" customFormat="false" ht="15" hidden="false" customHeight="false" outlineLevel="0" collapsed="false">
      <c r="I399" s="15" t="str">
        <f aca="false">IF(A399="","",INT(A399))</f>
        <v/>
      </c>
      <c r="J399" s="16" t="str">
        <f aca="false">IF(B399="","",IF(A399=_xlfn.MINIFS($A$2:$A$5001,$B$2:$B$5001,B399),1,0))</f>
        <v/>
      </c>
      <c r="K399" s="16" t="str">
        <f aca="false">IF(B399="","",IF(AND(D399="Formalização",E399="Concluído"),IF(COUNTIFS($B$2:$B$5001,B399,$E$2:$E$5001,"Em ajustes",$A$2:$A$5001,"&lt;"&amp;I399)&gt;0,1,0),0))</f>
        <v/>
      </c>
      <c r="L399" s="16" t="str">
        <f aca="false">IF(B399="","",IF(A399=_xlfn.MAXIFS($A$2:$A$5001,$B$2:$B$5001,B399,$I$2:$I$5001,I399),1,0))</f>
        <v/>
      </c>
    </row>
    <row r="400" customFormat="false" ht="15" hidden="false" customHeight="false" outlineLevel="0" collapsed="false">
      <c r="I400" s="15" t="str">
        <f aca="false">IF(A400="","",INT(A400))</f>
        <v/>
      </c>
      <c r="J400" s="16" t="str">
        <f aca="false">IF(B400="","",IF(A400=_xlfn.MINIFS($A$2:$A$5001,$B$2:$B$5001,B400),1,0))</f>
        <v/>
      </c>
      <c r="K400" s="16" t="str">
        <f aca="false">IF(B400="","",IF(AND(D400="Formalização",E400="Concluído"),IF(COUNTIFS($B$2:$B$5001,B400,$E$2:$E$5001,"Em ajustes",$A$2:$A$5001,"&lt;"&amp;I400)&gt;0,1,0),0))</f>
        <v/>
      </c>
      <c r="L400" s="16" t="str">
        <f aca="false">IF(B400="","",IF(A400=_xlfn.MAXIFS($A$2:$A$5001,$B$2:$B$5001,B400,$I$2:$I$5001,I400),1,0))</f>
        <v/>
      </c>
    </row>
    <row r="401" customFormat="false" ht="15" hidden="false" customHeight="false" outlineLevel="0" collapsed="false">
      <c r="I401" s="15" t="str">
        <f aca="false">IF(A401="","",INT(A401))</f>
        <v/>
      </c>
      <c r="J401" s="16" t="str">
        <f aca="false">IF(B401="","",IF(A401=_xlfn.MINIFS($A$2:$A$5001,$B$2:$B$5001,B401),1,0))</f>
        <v/>
      </c>
      <c r="K401" s="16" t="str">
        <f aca="false">IF(B401="","",IF(AND(D401="Formalização",E401="Concluído"),IF(COUNTIFS($B$2:$B$5001,B401,$E$2:$E$5001,"Em ajustes",$A$2:$A$5001,"&lt;"&amp;I401)&gt;0,1,0),0))</f>
        <v/>
      </c>
      <c r="L401" s="16" t="str">
        <f aca="false">IF(B401="","",IF(A401=_xlfn.MAXIFS($A$2:$A$5001,$B$2:$B$5001,B401,$I$2:$I$5001,I401),1,0))</f>
        <v/>
      </c>
    </row>
    <row r="402" customFormat="false" ht="15" hidden="false" customHeight="false" outlineLevel="0" collapsed="false">
      <c r="I402" s="15" t="str">
        <f aca="false">IF(A402="","",INT(A402))</f>
        <v/>
      </c>
      <c r="J402" s="16" t="str">
        <f aca="false">IF(B402="","",IF(A402=_xlfn.MINIFS($A$2:$A$5001,$B$2:$B$5001,B402),1,0))</f>
        <v/>
      </c>
      <c r="K402" s="16" t="str">
        <f aca="false">IF(B402="","",IF(AND(D402="Formalização",E402="Concluído"),IF(COUNTIFS($B$2:$B$5001,B402,$E$2:$E$5001,"Em ajustes",$A$2:$A$5001,"&lt;"&amp;I402)&gt;0,1,0),0))</f>
        <v/>
      </c>
      <c r="L402" s="16" t="str">
        <f aca="false">IF(B402="","",IF(A402=_xlfn.MAXIFS($A$2:$A$5001,$B$2:$B$5001,B402,$I$2:$I$5001,I402),1,0))</f>
        <v/>
      </c>
    </row>
    <row r="403" customFormat="false" ht="15" hidden="false" customHeight="false" outlineLevel="0" collapsed="false">
      <c r="I403" s="15" t="str">
        <f aca="false">IF(A403="","",INT(A403))</f>
        <v/>
      </c>
      <c r="J403" s="16" t="str">
        <f aca="false">IF(B403="","",IF(A403=_xlfn.MINIFS($A$2:$A$5001,$B$2:$B$5001,B403),1,0))</f>
        <v/>
      </c>
      <c r="K403" s="16" t="str">
        <f aca="false">IF(B403="","",IF(AND(D403="Formalização",E403="Concluído"),IF(COUNTIFS($B$2:$B$5001,B403,$E$2:$E$5001,"Em ajustes",$A$2:$A$5001,"&lt;"&amp;I403)&gt;0,1,0),0))</f>
        <v/>
      </c>
      <c r="L403" s="16" t="str">
        <f aca="false">IF(B403="","",IF(A403=_xlfn.MAXIFS($A$2:$A$5001,$B$2:$B$5001,B403,$I$2:$I$5001,I403),1,0))</f>
        <v/>
      </c>
    </row>
    <row r="404" customFormat="false" ht="15" hidden="false" customHeight="false" outlineLevel="0" collapsed="false">
      <c r="I404" s="15" t="str">
        <f aca="false">IF(A404="","",INT(A404))</f>
        <v/>
      </c>
      <c r="J404" s="16" t="str">
        <f aca="false">IF(B404="","",IF(A404=_xlfn.MINIFS($A$2:$A$5001,$B$2:$B$5001,B404),1,0))</f>
        <v/>
      </c>
      <c r="K404" s="16" t="str">
        <f aca="false">IF(B404="","",IF(AND(D404="Formalização",E404="Concluído"),IF(COUNTIFS($B$2:$B$5001,B404,$E$2:$E$5001,"Em ajustes",$A$2:$A$5001,"&lt;"&amp;I404)&gt;0,1,0),0))</f>
        <v/>
      </c>
      <c r="L404" s="16" t="str">
        <f aca="false">IF(B404="","",IF(A404=_xlfn.MAXIFS($A$2:$A$5001,$B$2:$B$5001,B404,$I$2:$I$5001,I404),1,0))</f>
        <v/>
      </c>
    </row>
    <row r="405" customFormat="false" ht="15" hidden="false" customHeight="false" outlineLevel="0" collapsed="false">
      <c r="I405" s="15" t="str">
        <f aca="false">IF(A405="","",INT(A405))</f>
        <v/>
      </c>
      <c r="J405" s="16" t="str">
        <f aca="false">IF(B405="","",IF(A405=_xlfn.MINIFS($A$2:$A$5001,$B$2:$B$5001,B405),1,0))</f>
        <v/>
      </c>
      <c r="K405" s="16" t="str">
        <f aca="false">IF(B405="","",IF(AND(D405="Formalização",E405="Concluído"),IF(COUNTIFS($B$2:$B$5001,B405,$E$2:$E$5001,"Em ajustes",$A$2:$A$5001,"&lt;"&amp;I405)&gt;0,1,0),0))</f>
        <v/>
      </c>
      <c r="L405" s="16" t="str">
        <f aca="false">IF(B405="","",IF(A405=_xlfn.MAXIFS($A$2:$A$5001,$B$2:$B$5001,B405,$I$2:$I$5001,I405),1,0))</f>
        <v/>
      </c>
    </row>
    <row r="406" customFormat="false" ht="15" hidden="false" customHeight="false" outlineLevel="0" collapsed="false">
      <c r="I406" s="15" t="str">
        <f aca="false">IF(A406="","",INT(A406))</f>
        <v/>
      </c>
      <c r="J406" s="16" t="str">
        <f aca="false">IF(B406="","",IF(A406=_xlfn.MINIFS($A$2:$A$5001,$B$2:$B$5001,B406),1,0))</f>
        <v/>
      </c>
      <c r="K406" s="16" t="str">
        <f aca="false">IF(B406="","",IF(AND(D406="Formalização",E406="Concluído"),IF(COUNTIFS($B$2:$B$5001,B406,$E$2:$E$5001,"Em ajustes",$A$2:$A$5001,"&lt;"&amp;I406)&gt;0,1,0),0))</f>
        <v/>
      </c>
      <c r="L406" s="16" t="str">
        <f aca="false">IF(B406="","",IF(A406=_xlfn.MAXIFS($A$2:$A$5001,$B$2:$B$5001,B406,$I$2:$I$5001,I406),1,0))</f>
        <v/>
      </c>
    </row>
    <row r="407" customFormat="false" ht="15" hidden="false" customHeight="false" outlineLevel="0" collapsed="false">
      <c r="I407" s="15" t="str">
        <f aca="false">IF(A407="","",INT(A407))</f>
        <v/>
      </c>
      <c r="J407" s="16" t="str">
        <f aca="false">IF(B407="","",IF(A407=_xlfn.MINIFS($A$2:$A$5001,$B$2:$B$5001,B407),1,0))</f>
        <v/>
      </c>
      <c r="K407" s="16" t="str">
        <f aca="false">IF(B407="","",IF(AND(D407="Formalização",E407="Concluído"),IF(COUNTIFS($B$2:$B$5001,B407,$E$2:$E$5001,"Em ajustes",$A$2:$A$5001,"&lt;"&amp;I407)&gt;0,1,0),0))</f>
        <v/>
      </c>
      <c r="L407" s="16" t="str">
        <f aca="false">IF(B407="","",IF(A407=_xlfn.MAXIFS($A$2:$A$5001,$B$2:$B$5001,B407,$I$2:$I$5001,I407),1,0))</f>
        <v/>
      </c>
    </row>
    <row r="408" customFormat="false" ht="15" hidden="false" customHeight="false" outlineLevel="0" collapsed="false">
      <c r="I408" s="15" t="str">
        <f aca="false">IF(A408="","",INT(A408))</f>
        <v/>
      </c>
      <c r="J408" s="16" t="str">
        <f aca="false">IF(B408="","",IF(A408=_xlfn.MINIFS($A$2:$A$5001,$B$2:$B$5001,B408),1,0))</f>
        <v/>
      </c>
      <c r="K408" s="16" t="str">
        <f aca="false">IF(B408="","",IF(AND(D408="Formalização",E408="Concluído"),IF(COUNTIFS($B$2:$B$5001,B408,$E$2:$E$5001,"Em ajustes",$A$2:$A$5001,"&lt;"&amp;I408)&gt;0,1,0),0))</f>
        <v/>
      </c>
      <c r="L408" s="16" t="str">
        <f aca="false">IF(B408="","",IF(A408=_xlfn.MAXIFS($A$2:$A$5001,$B$2:$B$5001,B408,$I$2:$I$5001,I408),1,0))</f>
        <v/>
      </c>
    </row>
    <row r="409" customFormat="false" ht="15" hidden="false" customHeight="false" outlineLevel="0" collapsed="false">
      <c r="I409" s="15" t="str">
        <f aca="false">IF(A409="","",INT(A409))</f>
        <v/>
      </c>
      <c r="J409" s="16" t="str">
        <f aca="false">IF(B409="","",IF(A409=_xlfn.MINIFS($A$2:$A$5001,$B$2:$B$5001,B409),1,0))</f>
        <v/>
      </c>
      <c r="K409" s="16" t="str">
        <f aca="false">IF(B409="","",IF(AND(D409="Formalização",E409="Concluído"),IF(COUNTIFS($B$2:$B$5001,B409,$E$2:$E$5001,"Em ajustes",$A$2:$A$5001,"&lt;"&amp;I409)&gt;0,1,0),0))</f>
        <v/>
      </c>
      <c r="L409" s="16" t="str">
        <f aca="false">IF(B409="","",IF(A409=_xlfn.MAXIFS($A$2:$A$5001,$B$2:$B$5001,B409,$I$2:$I$5001,I409),1,0))</f>
        <v/>
      </c>
    </row>
    <row r="410" customFormat="false" ht="15" hidden="false" customHeight="false" outlineLevel="0" collapsed="false">
      <c r="I410" s="15" t="str">
        <f aca="false">IF(A410="","",INT(A410))</f>
        <v/>
      </c>
      <c r="J410" s="16" t="str">
        <f aca="false">IF(B410="","",IF(A410=_xlfn.MINIFS($A$2:$A$5001,$B$2:$B$5001,B410),1,0))</f>
        <v/>
      </c>
      <c r="K410" s="16" t="str">
        <f aca="false">IF(B410="","",IF(AND(D410="Formalização",E410="Concluído"),IF(COUNTIFS($B$2:$B$5001,B410,$E$2:$E$5001,"Em ajustes",$A$2:$A$5001,"&lt;"&amp;I410)&gt;0,1,0),0))</f>
        <v/>
      </c>
      <c r="L410" s="16" t="str">
        <f aca="false">IF(B410="","",IF(A410=_xlfn.MAXIFS($A$2:$A$5001,$B$2:$B$5001,B410,$I$2:$I$5001,I410),1,0))</f>
        <v/>
      </c>
    </row>
    <row r="411" customFormat="false" ht="15" hidden="false" customHeight="false" outlineLevel="0" collapsed="false">
      <c r="I411" s="15" t="str">
        <f aca="false">IF(A411="","",INT(A411))</f>
        <v/>
      </c>
      <c r="J411" s="16" t="str">
        <f aca="false">IF(B411="","",IF(A411=_xlfn.MINIFS($A$2:$A$5001,$B$2:$B$5001,B411),1,0))</f>
        <v/>
      </c>
      <c r="K411" s="16" t="str">
        <f aca="false">IF(B411="","",IF(AND(D411="Formalização",E411="Concluído"),IF(COUNTIFS($B$2:$B$5001,B411,$E$2:$E$5001,"Em ajustes",$A$2:$A$5001,"&lt;"&amp;I411)&gt;0,1,0),0))</f>
        <v/>
      </c>
      <c r="L411" s="16" t="str">
        <f aca="false">IF(B411="","",IF(A411=_xlfn.MAXIFS($A$2:$A$5001,$B$2:$B$5001,B411,$I$2:$I$5001,I411),1,0))</f>
        <v/>
      </c>
    </row>
    <row r="412" customFormat="false" ht="15" hidden="false" customHeight="false" outlineLevel="0" collapsed="false">
      <c r="I412" s="15" t="str">
        <f aca="false">IF(A412="","",INT(A412))</f>
        <v/>
      </c>
      <c r="J412" s="16" t="str">
        <f aca="false">IF(B412="","",IF(A412=_xlfn.MINIFS($A$2:$A$5001,$B$2:$B$5001,B412),1,0))</f>
        <v/>
      </c>
      <c r="K412" s="16" t="str">
        <f aca="false">IF(B412="","",IF(AND(D412="Formalização",E412="Concluído"),IF(COUNTIFS($B$2:$B$5001,B412,$E$2:$E$5001,"Em ajustes",$A$2:$A$5001,"&lt;"&amp;I412)&gt;0,1,0),0))</f>
        <v/>
      </c>
      <c r="L412" s="16" t="str">
        <f aca="false">IF(B412="","",IF(A412=_xlfn.MAXIFS($A$2:$A$5001,$B$2:$B$5001,B412,$I$2:$I$5001,I412),1,0))</f>
        <v/>
      </c>
    </row>
    <row r="413" customFormat="false" ht="15" hidden="false" customHeight="false" outlineLevel="0" collapsed="false">
      <c r="I413" s="15" t="str">
        <f aca="false">IF(A413="","",INT(A413))</f>
        <v/>
      </c>
      <c r="J413" s="16" t="str">
        <f aca="false">IF(B413="","",IF(A413=_xlfn.MINIFS($A$2:$A$5001,$B$2:$B$5001,B413),1,0))</f>
        <v/>
      </c>
      <c r="K413" s="16" t="str">
        <f aca="false">IF(B413="","",IF(AND(D413="Formalização",E413="Concluído"),IF(COUNTIFS($B$2:$B$5001,B413,$E$2:$E$5001,"Em ajustes",$A$2:$A$5001,"&lt;"&amp;I413)&gt;0,1,0),0))</f>
        <v/>
      </c>
      <c r="L413" s="16" t="str">
        <f aca="false">IF(B413="","",IF(A413=_xlfn.MAXIFS($A$2:$A$5001,$B$2:$B$5001,B413,$I$2:$I$5001,I413),1,0))</f>
        <v/>
      </c>
    </row>
    <row r="414" customFormat="false" ht="15" hidden="false" customHeight="false" outlineLevel="0" collapsed="false">
      <c r="I414" s="15" t="str">
        <f aca="false">IF(A414="","",INT(A414))</f>
        <v/>
      </c>
      <c r="J414" s="16" t="str">
        <f aca="false">IF(B414="","",IF(A414=_xlfn.MINIFS($A$2:$A$5001,$B$2:$B$5001,B414),1,0))</f>
        <v/>
      </c>
      <c r="K414" s="16" t="str">
        <f aca="false">IF(B414="","",IF(AND(D414="Formalização",E414="Concluído"),IF(COUNTIFS($B$2:$B$5001,B414,$E$2:$E$5001,"Em ajustes",$A$2:$A$5001,"&lt;"&amp;I414)&gt;0,1,0),0))</f>
        <v/>
      </c>
      <c r="L414" s="16" t="str">
        <f aca="false">IF(B414="","",IF(A414=_xlfn.MAXIFS($A$2:$A$5001,$B$2:$B$5001,B414,$I$2:$I$5001,I414),1,0))</f>
        <v/>
      </c>
    </row>
    <row r="415" customFormat="false" ht="15" hidden="false" customHeight="false" outlineLevel="0" collapsed="false">
      <c r="I415" s="15" t="str">
        <f aca="false">IF(A415="","",INT(A415))</f>
        <v/>
      </c>
      <c r="J415" s="16" t="str">
        <f aca="false">IF(B415="","",IF(A415=_xlfn.MINIFS($A$2:$A$5001,$B$2:$B$5001,B415),1,0))</f>
        <v/>
      </c>
      <c r="K415" s="16" t="str">
        <f aca="false">IF(B415="","",IF(AND(D415="Formalização",E415="Concluído"),IF(COUNTIFS($B$2:$B$5001,B415,$E$2:$E$5001,"Em ajustes",$A$2:$A$5001,"&lt;"&amp;I415)&gt;0,1,0),0))</f>
        <v/>
      </c>
      <c r="L415" s="16" t="str">
        <f aca="false">IF(B415="","",IF(A415=_xlfn.MAXIFS($A$2:$A$5001,$B$2:$B$5001,B415,$I$2:$I$5001,I415),1,0))</f>
        <v/>
      </c>
    </row>
    <row r="416" customFormat="false" ht="15" hidden="false" customHeight="false" outlineLevel="0" collapsed="false">
      <c r="I416" s="15" t="str">
        <f aca="false">IF(A416="","",INT(A416))</f>
        <v/>
      </c>
      <c r="J416" s="16" t="str">
        <f aca="false">IF(B416="","",IF(A416=_xlfn.MINIFS($A$2:$A$5001,$B$2:$B$5001,B416),1,0))</f>
        <v/>
      </c>
      <c r="K416" s="16" t="str">
        <f aca="false">IF(B416="","",IF(AND(D416="Formalização",E416="Concluído"),IF(COUNTIFS($B$2:$B$5001,B416,$E$2:$E$5001,"Em ajustes",$A$2:$A$5001,"&lt;"&amp;I416)&gt;0,1,0),0))</f>
        <v/>
      </c>
      <c r="L416" s="16" t="str">
        <f aca="false">IF(B416="","",IF(A416=_xlfn.MAXIFS($A$2:$A$5001,$B$2:$B$5001,B416,$I$2:$I$5001,I416),1,0))</f>
        <v/>
      </c>
    </row>
    <row r="417" customFormat="false" ht="15" hidden="false" customHeight="false" outlineLevel="0" collapsed="false">
      <c r="I417" s="15" t="str">
        <f aca="false">IF(A417="","",INT(A417))</f>
        <v/>
      </c>
      <c r="J417" s="16" t="str">
        <f aca="false">IF(B417="","",IF(A417=_xlfn.MINIFS($A$2:$A$5001,$B$2:$B$5001,B417),1,0))</f>
        <v/>
      </c>
      <c r="K417" s="16" t="str">
        <f aca="false">IF(B417="","",IF(AND(D417="Formalização",E417="Concluído"),IF(COUNTIFS($B$2:$B$5001,B417,$E$2:$E$5001,"Em ajustes",$A$2:$A$5001,"&lt;"&amp;I417)&gt;0,1,0),0))</f>
        <v/>
      </c>
      <c r="L417" s="16" t="str">
        <f aca="false">IF(B417="","",IF(A417=_xlfn.MAXIFS($A$2:$A$5001,$B$2:$B$5001,B417,$I$2:$I$5001,I417),1,0))</f>
        <v/>
      </c>
    </row>
    <row r="418" customFormat="false" ht="15" hidden="false" customHeight="false" outlineLevel="0" collapsed="false">
      <c r="I418" s="15" t="str">
        <f aca="false">IF(A418="","",INT(A418))</f>
        <v/>
      </c>
      <c r="J418" s="16" t="str">
        <f aca="false">IF(B418="","",IF(A418=_xlfn.MINIFS($A$2:$A$5001,$B$2:$B$5001,B418),1,0))</f>
        <v/>
      </c>
      <c r="K418" s="16" t="str">
        <f aca="false">IF(B418="","",IF(AND(D418="Formalização",E418="Concluído"),IF(COUNTIFS($B$2:$B$5001,B418,$E$2:$E$5001,"Em ajustes",$A$2:$A$5001,"&lt;"&amp;I418)&gt;0,1,0),0))</f>
        <v/>
      </c>
      <c r="L418" s="16" t="str">
        <f aca="false">IF(B418="","",IF(A418=_xlfn.MAXIFS($A$2:$A$5001,$B$2:$B$5001,B418,$I$2:$I$5001,I418),1,0))</f>
        <v/>
      </c>
    </row>
    <row r="419" customFormat="false" ht="15" hidden="false" customHeight="false" outlineLevel="0" collapsed="false">
      <c r="I419" s="15" t="str">
        <f aca="false">IF(A419="","",INT(A419))</f>
        <v/>
      </c>
      <c r="J419" s="16" t="str">
        <f aca="false">IF(B419="","",IF(A419=_xlfn.MINIFS($A$2:$A$5001,$B$2:$B$5001,B419),1,0))</f>
        <v/>
      </c>
      <c r="K419" s="16" t="str">
        <f aca="false">IF(B419="","",IF(AND(D419="Formalização",E419="Concluído"),IF(COUNTIFS($B$2:$B$5001,B419,$E$2:$E$5001,"Em ajustes",$A$2:$A$5001,"&lt;"&amp;I419)&gt;0,1,0),0))</f>
        <v/>
      </c>
      <c r="L419" s="16" t="str">
        <f aca="false">IF(B419="","",IF(A419=_xlfn.MAXIFS($A$2:$A$5001,$B$2:$B$5001,B419,$I$2:$I$5001,I419),1,0))</f>
        <v/>
      </c>
    </row>
    <row r="420" customFormat="false" ht="15" hidden="false" customHeight="false" outlineLevel="0" collapsed="false">
      <c r="I420" s="15" t="str">
        <f aca="false">IF(A420="","",INT(A420))</f>
        <v/>
      </c>
      <c r="J420" s="16" t="str">
        <f aca="false">IF(B420="","",IF(A420=_xlfn.MINIFS($A$2:$A$5001,$B$2:$B$5001,B420),1,0))</f>
        <v/>
      </c>
      <c r="K420" s="16" t="str">
        <f aca="false">IF(B420="","",IF(AND(D420="Formalização",E420="Concluído"),IF(COUNTIFS($B$2:$B$5001,B420,$E$2:$E$5001,"Em ajustes",$A$2:$A$5001,"&lt;"&amp;I420)&gt;0,1,0),0))</f>
        <v/>
      </c>
      <c r="L420" s="16" t="str">
        <f aca="false">IF(B420="","",IF(A420=_xlfn.MAXIFS($A$2:$A$5001,$B$2:$B$5001,B420,$I$2:$I$5001,I420),1,0))</f>
        <v/>
      </c>
    </row>
    <row r="421" customFormat="false" ht="15" hidden="false" customHeight="false" outlineLevel="0" collapsed="false">
      <c r="I421" s="15" t="str">
        <f aca="false">IF(A421="","",INT(A421))</f>
        <v/>
      </c>
      <c r="J421" s="16" t="str">
        <f aca="false">IF(B421="","",IF(A421=_xlfn.MINIFS($A$2:$A$5001,$B$2:$B$5001,B421),1,0))</f>
        <v/>
      </c>
      <c r="K421" s="16" t="str">
        <f aca="false">IF(B421="","",IF(AND(D421="Formalização",E421="Concluído"),IF(COUNTIFS($B$2:$B$5001,B421,$E$2:$E$5001,"Em ajustes",$A$2:$A$5001,"&lt;"&amp;I421)&gt;0,1,0),0))</f>
        <v/>
      </c>
      <c r="L421" s="16" t="str">
        <f aca="false">IF(B421="","",IF(A421=_xlfn.MAXIFS($A$2:$A$5001,$B$2:$B$5001,B421,$I$2:$I$5001,I421),1,0))</f>
        <v/>
      </c>
    </row>
    <row r="422" customFormat="false" ht="15" hidden="false" customHeight="false" outlineLevel="0" collapsed="false">
      <c r="I422" s="15" t="str">
        <f aca="false">IF(A422="","",INT(A422))</f>
        <v/>
      </c>
      <c r="J422" s="16" t="str">
        <f aca="false">IF(B422="","",IF(A422=_xlfn.MINIFS($A$2:$A$5001,$B$2:$B$5001,B422),1,0))</f>
        <v/>
      </c>
      <c r="K422" s="16" t="str">
        <f aca="false">IF(B422="","",IF(AND(D422="Formalização",E422="Concluído"),IF(COUNTIFS($B$2:$B$5001,B422,$E$2:$E$5001,"Em ajustes",$A$2:$A$5001,"&lt;"&amp;I422)&gt;0,1,0),0))</f>
        <v/>
      </c>
      <c r="L422" s="16" t="str">
        <f aca="false">IF(B422="","",IF(A422=_xlfn.MAXIFS($A$2:$A$5001,$B$2:$B$5001,B422,$I$2:$I$5001,I422),1,0))</f>
        <v/>
      </c>
    </row>
    <row r="423" customFormat="false" ht="15" hidden="false" customHeight="false" outlineLevel="0" collapsed="false">
      <c r="I423" s="15" t="str">
        <f aca="false">IF(A423="","",INT(A423))</f>
        <v/>
      </c>
      <c r="J423" s="16" t="str">
        <f aca="false">IF(B423="","",IF(A423=_xlfn.MINIFS($A$2:$A$5001,$B$2:$B$5001,B423),1,0))</f>
        <v/>
      </c>
      <c r="K423" s="16" t="str">
        <f aca="false">IF(B423="","",IF(AND(D423="Formalização",E423="Concluído"),IF(COUNTIFS($B$2:$B$5001,B423,$E$2:$E$5001,"Em ajustes",$A$2:$A$5001,"&lt;"&amp;I423)&gt;0,1,0),0))</f>
        <v/>
      </c>
      <c r="L423" s="16" t="str">
        <f aca="false">IF(B423="","",IF(A423=_xlfn.MAXIFS($A$2:$A$5001,$B$2:$B$5001,B423,$I$2:$I$5001,I423),1,0))</f>
        <v/>
      </c>
    </row>
    <row r="424" customFormat="false" ht="15" hidden="false" customHeight="false" outlineLevel="0" collapsed="false">
      <c r="I424" s="15" t="str">
        <f aca="false">IF(A424="","",INT(A424))</f>
        <v/>
      </c>
      <c r="J424" s="16" t="str">
        <f aca="false">IF(B424="","",IF(A424=_xlfn.MINIFS($A$2:$A$5001,$B$2:$B$5001,B424),1,0))</f>
        <v/>
      </c>
      <c r="K424" s="16" t="str">
        <f aca="false">IF(B424="","",IF(AND(D424="Formalização",E424="Concluído"),IF(COUNTIFS($B$2:$B$5001,B424,$E$2:$E$5001,"Em ajustes",$A$2:$A$5001,"&lt;"&amp;I424)&gt;0,1,0),0))</f>
        <v/>
      </c>
      <c r="L424" s="16" t="str">
        <f aca="false">IF(B424="","",IF(A424=_xlfn.MAXIFS($A$2:$A$5001,$B$2:$B$5001,B424,$I$2:$I$5001,I424),1,0))</f>
        <v/>
      </c>
    </row>
    <row r="425" customFormat="false" ht="15" hidden="false" customHeight="false" outlineLevel="0" collapsed="false">
      <c r="I425" s="15" t="str">
        <f aca="false">IF(A425="","",INT(A425))</f>
        <v/>
      </c>
      <c r="J425" s="16" t="str">
        <f aca="false">IF(B425="","",IF(A425=_xlfn.MINIFS($A$2:$A$5001,$B$2:$B$5001,B425),1,0))</f>
        <v/>
      </c>
      <c r="K425" s="16" t="str">
        <f aca="false">IF(B425="","",IF(AND(D425="Formalização",E425="Concluído"),IF(COUNTIFS($B$2:$B$5001,B425,$E$2:$E$5001,"Em ajustes",$A$2:$A$5001,"&lt;"&amp;I425)&gt;0,1,0),0))</f>
        <v/>
      </c>
      <c r="L425" s="16" t="str">
        <f aca="false">IF(B425="","",IF(A425=_xlfn.MAXIFS($A$2:$A$5001,$B$2:$B$5001,B425,$I$2:$I$5001,I425),1,0))</f>
        <v/>
      </c>
    </row>
    <row r="426" customFormat="false" ht="15" hidden="false" customHeight="false" outlineLevel="0" collapsed="false">
      <c r="I426" s="15" t="str">
        <f aca="false">IF(A426="","",INT(A426))</f>
        <v/>
      </c>
      <c r="J426" s="16" t="str">
        <f aca="false">IF(B426="","",IF(A426=_xlfn.MINIFS($A$2:$A$5001,$B$2:$B$5001,B426),1,0))</f>
        <v/>
      </c>
      <c r="K426" s="16" t="str">
        <f aca="false">IF(B426="","",IF(AND(D426="Formalização",E426="Concluído"),IF(COUNTIFS($B$2:$B$5001,B426,$E$2:$E$5001,"Em ajustes",$A$2:$A$5001,"&lt;"&amp;I426)&gt;0,1,0),0))</f>
        <v/>
      </c>
      <c r="L426" s="16" t="str">
        <f aca="false">IF(B426="","",IF(A426=_xlfn.MAXIFS($A$2:$A$5001,$B$2:$B$5001,B426,$I$2:$I$5001,I426),1,0))</f>
        <v/>
      </c>
    </row>
    <row r="427" customFormat="false" ht="15" hidden="false" customHeight="false" outlineLevel="0" collapsed="false">
      <c r="I427" s="15" t="str">
        <f aca="false">IF(A427="","",INT(A427))</f>
        <v/>
      </c>
      <c r="J427" s="16" t="str">
        <f aca="false">IF(B427="","",IF(A427=_xlfn.MINIFS($A$2:$A$5001,$B$2:$B$5001,B427),1,0))</f>
        <v/>
      </c>
      <c r="K427" s="16" t="str">
        <f aca="false">IF(B427="","",IF(AND(D427="Formalização",E427="Concluído"),IF(COUNTIFS($B$2:$B$5001,B427,$E$2:$E$5001,"Em ajustes",$A$2:$A$5001,"&lt;"&amp;I427)&gt;0,1,0),0))</f>
        <v/>
      </c>
      <c r="L427" s="16" t="str">
        <f aca="false">IF(B427="","",IF(A427=_xlfn.MAXIFS($A$2:$A$5001,$B$2:$B$5001,B427,$I$2:$I$5001,I427),1,0))</f>
        <v/>
      </c>
    </row>
    <row r="428" customFormat="false" ht="15" hidden="false" customHeight="false" outlineLevel="0" collapsed="false">
      <c r="I428" s="15" t="str">
        <f aca="false">IF(A428="","",INT(A428))</f>
        <v/>
      </c>
      <c r="J428" s="16" t="str">
        <f aca="false">IF(B428="","",IF(A428=_xlfn.MINIFS($A$2:$A$5001,$B$2:$B$5001,B428),1,0))</f>
        <v/>
      </c>
      <c r="K428" s="16" t="str">
        <f aca="false">IF(B428="","",IF(AND(D428="Formalização",E428="Concluído"),IF(COUNTIFS($B$2:$B$5001,B428,$E$2:$E$5001,"Em ajustes",$A$2:$A$5001,"&lt;"&amp;I428)&gt;0,1,0),0))</f>
        <v/>
      </c>
      <c r="L428" s="16" t="str">
        <f aca="false">IF(B428="","",IF(A428=_xlfn.MAXIFS($A$2:$A$5001,$B$2:$B$5001,B428,$I$2:$I$5001,I428),1,0))</f>
        <v/>
      </c>
    </row>
    <row r="429" customFormat="false" ht="15" hidden="false" customHeight="false" outlineLevel="0" collapsed="false">
      <c r="I429" s="15" t="str">
        <f aca="false">IF(A429="","",INT(A429))</f>
        <v/>
      </c>
      <c r="J429" s="16" t="str">
        <f aca="false">IF(B429="","",IF(A429=_xlfn.MINIFS($A$2:$A$5001,$B$2:$B$5001,B429),1,0))</f>
        <v/>
      </c>
      <c r="K429" s="16" t="str">
        <f aca="false">IF(B429="","",IF(AND(D429="Formalização",E429="Concluído"),IF(COUNTIFS($B$2:$B$5001,B429,$E$2:$E$5001,"Em ajustes",$A$2:$A$5001,"&lt;"&amp;I429)&gt;0,1,0),0))</f>
        <v/>
      </c>
      <c r="L429" s="16" t="str">
        <f aca="false">IF(B429="","",IF(A429=_xlfn.MAXIFS($A$2:$A$5001,$B$2:$B$5001,B429,$I$2:$I$5001,I429),1,0))</f>
        <v/>
      </c>
    </row>
    <row r="430" customFormat="false" ht="15" hidden="false" customHeight="false" outlineLevel="0" collapsed="false">
      <c r="I430" s="15" t="str">
        <f aca="false">IF(A430="","",INT(A430))</f>
        <v/>
      </c>
      <c r="J430" s="16" t="str">
        <f aca="false">IF(B430="","",IF(A430=_xlfn.MINIFS($A$2:$A$5001,$B$2:$B$5001,B430),1,0))</f>
        <v/>
      </c>
      <c r="K430" s="16" t="str">
        <f aca="false">IF(B430="","",IF(AND(D430="Formalização",E430="Concluído"),IF(COUNTIFS($B$2:$B$5001,B430,$E$2:$E$5001,"Em ajustes",$A$2:$A$5001,"&lt;"&amp;I430)&gt;0,1,0),0))</f>
        <v/>
      </c>
      <c r="L430" s="16" t="str">
        <f aca="false">IF(B430="","",IF(A430=_xlfn.MAXIFS($A$2:$A$5001,$B$2:$B$5001,B430,$I$2:$I$5001,I430),1,0))</f>
        <v/>
      </c>
    </row>
    <row r="431" customFormat="false" ht="15" hidden="false" customHeight="false" outlineLevel="0" collapsed="false">
      <c r="I431" s="15" t="str">
        <f aca="false">IF(A431="","",INT(A431))</f>
        <v/>
      </c>
      <c r="J431" s="16" t="str">
        <f aca="false">IF(B431="","",IF(A431=_xlfn.MINIFS($A$2:$A$5001,$B$2:$B$5001,B431),1,0))</f>
        <v/>
      </c>
      <c r="K431" s="16" t="str">
        <f aca="false">IF(B431="","",IF(AND(D431="Formalização",E431="Concluído"),IF(COUNTIFS($B$2:$B$5001,B431,$E$2:$E$5001,"Em ajustes",$A$2:$A$5001,"&lt;"&amp;I431)&gt;0,1,0),0))</f>
        <v/>
      </c>
      <c r="L431" s="16" t="str">
        <f aca="false">IF(B431="","",IF(A431=_xlfn.MAXIFS($A$2:$A$5001,$B$2:$B$5001,B431,$I$2:$I$5001,I431),1,0))</f>
        <v/>
      </c>
    </row>
    <row r="432" customFormat="false" ht="15" hidden="false" customHeight="false" outlineLevel="0" collapsed="false">
      <c r="I432" s="15" t="str">
        <f aca="false">IF(A432="","",INT(A432))</f>
        <v/>
      </c>
      <c r="J432" s="16" t="str">
        <f aca="false">IF(B432="","",IF(A432=_xlfn.MINIFS($A$2:$A$5001,$B$2:$B$5001,B432),1,0))</f>
        <v/>
      </c>
      <c r="K432" s="16" t="str">
        <f aca="false">IF(B432="","",IF(AND(D432="Formalização",E432="Concluído"),IF(COUNTIFS($B$2:$B$5001,B432,$E$2:$E$5001,"Em ajustes",$A$2:$A$5001,"&lt;"&amp;I432)&gt;0,1,0),0))</f>
        <v/>
      </c>
      <c r="L432" s="16" t="str">
        <f aca="false">IF(B432="","",IF(A432=_xlfn.MAXIFS($A$2:$A$5001,$B$2:$B$5001,B432,$I$2:$I$5001,I432),1,0))</f>
        <v/>
      </c>
    </row>
    <row r="433" customFormat="false" ht="15" hidden="false" customHeight="false" outlineLevel="0" collapsed="false">
      <c r="I433" s="15" t="str">
        <f aca="false">IF(A433="","",INT(A433))</f>
        <v/>
      </c>
      <c r="J433" s="16" t="str">
        <f aca="false">IF(B433="","",IF(A433=_xlfn.MINIFS($A$2:$A$5001,$B$2:$B$5001,B433),1,0))</f>
        <v/>
      </c>
      <c r="K433" s="16" t="str">
        <f aca="false">IF(B433="","",IF(AND(D433="Formalização",E433="Concluído"),IF(COUNTIFS($B$2:$B$5001,B433,$E$2:$E$5001,"Em ajustes",$A$2:$A$5001,"&lt;"&amp;I433)&gt;0,1,0),0))</f>
        <v/>
      </c>
      <c r="L433" s="16" t="str">
        <f aca="false">IF(B433="","",IF(A433=_xlfn.MAXIFS($A$2:$A$5001,$B$2:$B$5001,B433,$I$2:$I$5001,I433),1,0))</f>
        <v/>
      </c>
    </row>
    <row r="434" customFormat="false" ht="15" hidden="false" customHeight="false" outlineLevel="0" collapsed="false">
      <c r="I434" s="15" t="str">
        <f aca="false">IF(A434="","",INT(A434))</f>
        <v/>
      </c>
      <c r="J434" s="16" t="str">
        <f aca="false">IF(B434="","",IF(A434=_xlfn.MINIFS($A$2:$A$5001,$B$2:$B$5001,B434),1,0))</f>
        <v/>
      </c>
      <c r="K434" s="16" t="str">
        <f aca="false">IF(B434="","",IF(AND(D434="Formalização",E434="Concluído"),IF(COUNTIFS($B$2:$B$5001,B434,$E$2:$E$5001,"Em ajustes",$A$2:$A$5001,"&lt;"&amp;I434)&gt;0,1,0),0))</f>
        <v/>
      </c>
      <c r="L434" s="16" t="str">
        <f aca="false">IF(B434="","",IF(A434=_xlfn.MAXIFS($A$2:$A$5001,$B$2:$B$5001,B434,$I$2:$I$5001,I434),1,0))</f>
        <v/>
      </c>
    </row>
    <row r="435" customFormat="false" ht="15" hidden="false" customHeight="false" outlineLevel="0" collapsed="false">
      <c r="I435" s="15" t="str">
        <f aca="false">IF(A435="","",INT(A435))</f>
        <v/>
      </c>
      <c r="J435" s="16" t="str">
        <f aca="false">IF(B435="","",IF(A435=_xlfn.MINIFS($A$2:$A$5001,$B$2:$B$5001,B435),1,0))</f>
        <v/>
      </c>
      <c r="K435" s="16" t="str">
        <f aca="false">IF(B435="","",IF(AND(D435="Formalização",E435="Concluído"),IF(COUNTIFS($B$2:$B$5001,B435,$E$2:$E$5001,"Em ajustes",$A$2:$A$5001,"&lt;"&amp;I435)&gt;0,1,0),0))</f>
        <v/>
      </c>
      <c r="L435" s="16" t="str">
        <f aca="false">IF(B435="","",IF(A435=_xlfn.MAXIFS($A$2:$A$5001,$B$2:$B$5001,B435,$I$2:$I$5001,I435),1,0))</f>
        <v/>
      </c>
    </row>
    <row r="436" customFormat="false" ht="15" hidden="false" customHeight="false" outlineLevel="0" collapsed="false">
      <c r="I436" s="15" t="str">
        <f aca="false">IF(A436="","",INT(A436))</f>
        <v/>
      </c>
      <c r="J436" s="16" t="str">
        <f aca="false">IF(B436="","",IF(A436=_xlfn.MINIFS($A$2:$A$5001,$B$2:$B$5001,B436),1,0))</f>
        <v/>
      </c>
      <c r="K436" s="16" t="str">
        <f aca="false">IF(B436="","",IF(AND(D436="Formalização",E436="Concluído"),IF(COUNTIFS($B$2:$B$5001,B436,$E$2:$E$5001,"Em ajustes",$A$2:$A$5001,"&lt;"&amp;I436)&gt;0,1,0),0))</f>
        <v/>
      </c>
      <c r="L436" s="16" t="str">
        <f aca="false">IF(B436="","",IF(A436=_xlfn.MAXIFS($A$2:$A$5001,$B$2:$B$5001,B436,$I$2:$I$5001,I436),1,0))</f>
        <v/>
      </c>
    </row>
    <row r="437" customFormat="false" ht="15" hidden="false" customHeight="false" outlineLevel="0" collapsed="false">
      <c r="I437" s="15" t="str">
        <f aca="false">IF(A437="","",INT(A437))</f>
        <v/>
      </c>
      <c r="J437" s="16" t="str">
        <f aca="false">IF(B437="","",IF(A437=_xlfn.MINIFS($A$2:$A$5001,$B$2:$B$5001,B437),1,0))</f>
        <v/>
      </c>
      <c r="K437" s="16" t="str">
        <f aca="false">IF(B437="","",IF(AND(D437="Formalização",E437="Concluído"),IF(COUNTIFS($B$2:$B$5001,B437,$E$2:$E$5001,"Em ajustes",$A$2:$A$5001,"&lt;"&amp;I437)&gt;0,1,0),0))</f>
        <v/>
      </c>
      <c r="L437" s="16" t="str">
        <f aca="false">IF(B437="","",IF(A437=_xlfn.MAXIFS($A$2:$A$5001,$B$2:$B$5001,B437,$I$2:$I$5001,I437),1,0))</f>
        <v/>
      </c>
    </row>
    <row r="438" customFormat="false" ht="15" hidden="false" customHeight="false" outlineLevel="0" collapsed="false">
      <c r="I438" s="15" t="str">
        <f aca="false">IF(A438="","",INT(A438))</f>
        <v/>
      </c>
      <c r="J438" s="16" t="str">
        <f aca="false">IF(B438="","",IF(A438=_xlfn.MINIFS($A$2:$A$5001,$B$2:$B$5001,B438),1,0))</f>
        <v/>
      </c>
      <c r="K438" s="16" t="str">
        <f aca="false">IF(B438="","",IF(AND(D438="Formalização",E438="Concluído"),IF(COUNTIFS($B$2:$B$5001,B438,$E$2:$E$5001,"Em ajustes",$A$2:$A$5001,"&lt;"&amp;I438)&gt;0,1,0),0))</f>
        <v/>
      </c>
      <c r="L438" s="16" t="str">
        <f aca="false">IF(B438="","",IF(A438=_xlfn.MAXIFS($A$2:$A$5001,$B$2:$B$5001,B438,$I$2:$I$5001,I438),1,0))</f>
        <v/>
      </c>
    </row>
    <row r="439" customFormat="false" ht="15" hidden="false" customHeight="false" outlineLevel="0" collapsed="false">
      <c r="I439" s="15" t="str">
        <f aca="false">IF(A439="","",INT(A439))</f>
        <v/>
      </c>
      <c r="J439" s="16" t="str">
        <f aca="false">IF(B439="","",IF(A439=_xlfn.MINIFS($A$2:$A$5001,$B$2:$B$5001,B439),1,0))</f>
        <v/>
      </c>
      <c r="K439" s="16" t="str">
        <f aca="false">IF(B439="","",IF(AND(D439="Formalização",E439="Concluído"),IF(COUNTIFS($B$2:$B$5001,B439,$E$2:$E$5001,"Em ajustes",$A$2:$A$5001,"&lt;"&amp;I439)&gt;0,1,0),0))</f>
        <v/>
      </c>
      <c r="L439" s="16" t="str">
        <f aca="false">IF(B439="","",IF(A439=_xlfn.MAXIFS($A$2:$A$5001,$B$2:$B$5001,B439,$I$2:$I$5001,I439),1,0))</f>
        <v/>
      </c>
    </row>
    <row r="440" customFormat="false" ht="15" hidden="false" customHeight="false" outlineLevel="0" collapsed="false">
      <c r="I440" s="15" t="str">
        <f aca="false">IF(A440="","",INT(A440))</f>
        <v/>
      </c>
      <c r="J440" s="16" t="str">
        <f aca="false">IF(B440="","",IF(A440=_xlfn.MINIFS($A$2:$A$5001,$B$2:$B$5001,B440),1,0))</f>
        <v/>
      </c>
      <c r="K440" s="16" t="str">
        <f aca="false">IF(B440="","",IF(AND(D440="Formalização",E440="Concluído"),IF(COUNTIFS($B$2:$B$5001,B440,$E$2:$E$5001,"Em ajustes",$A$2:$A$5001,"&lt;"&amp;I440)&gt;0,1,0),0))</f>
        <v/>
      </c>
      <c r="L440" s="16" t="str">
        <f aca="false">IF(B440="","",IF(A440=_xlfn.MAXIFS($A$2:$A$5001,$B$2:$B$5001,B440,$I$2:$I$5001,I440),1,0))</f>
        <v/>
      </c>
    </row>
    <row r="441" customFormat="false" ht="15" hidden="false" customHeight="false" outlineLevel="0" collapsed="false">
      <c r="I441" s="15" t="str">
        <f aca="false">IF(A441="","",INT(A441))</f>
        <v/>
      </c>
      <c r="J441" s="16" t="str">
        <f aca="false">IF(B441="","",IF(A441=_xlfn.MINIFS($A$2:$A$5001,$B$2:$B$5001,B441),1,0))</f>
        <v/>
      </c>
      <c r="K441" s="16" t="str">
        <f aca="false">IF(B441="","",IF(AND(D441="Formalização",E441="Concluído"),IF(COUNTIFS($B$2:$B$5001,B441,$E$2:$E$5001,"Em ajustes",$A$2:$A$5001,"&lt;"&amp;I441)&gt;0,1,0),0))</f>
        <v/>
      </c>
      <c r="L441" s="16" t="str">
        <f aca="false">IF(B441="","",IF(A441=_xlfn.MAXIFS($A$2:$A$5001,$B$2:$B$5001,B441,$I$2:$I$5001,I441),1,0))</f>
        <v/>
      </c>
    </row>
    <row r="442" customFormat="false" ht="15" hidden="false" customHeight="false" outlineLevel="0" collapsed="false">
      <c r="I442" s="15" t="str">
        <f aca="false">IF(A442="","",INT(A442))</f>
        <v/>
      </c>
      <c r="J442" s="16" t="str">
        <f aca="false">IF(B442="","",IF(A442=_xlfn.MINIFS($A$2:$A$5001,$B$2:$B$5001,B442),1,0))</f>
        <v/>
      </c>
      <c r="K442" s="16" t="str">
        <f aca="false">IF(B442="","",IF(AND(D442="Formalização",E442="Concluído"),IF(COUNTIFS($B$2:$B$5001,B442,$E$2:$E$5001,"Em ajustes",$A$2:$A$5001,"&lt;"&amp;I442)&gt;0,1,0),0))</f>
        <v/>
      </c>
      <c r="L442" s="16" t="str">
        <f aca="false">IF(B442="","",IF(A442=_xlfn.MAXIFS($A$2:$A$5001,$B$2:$B$5001,B442,$I$2:$I$5001,I442),1,0))</f>
        <v/>
      </c>
    </row>
    <row r="443" customFormat="false" ht="15" hidden="false" customHeight="false" outlineLevel="0" collapsed="false">
      <c r="I443" s="15" t="str">
        <f aca="false">IF(A443="","",INT(A443))</f>
        <v/>
      </c>
      <c r="J443" s="16" t="str">
        <f aca="false">IF(B443="","",IF(A443=_xlfn.MINIFS($A$2:$A$5001,$B$2:$B$5001,B443),1,0))</f>
        <v/>
      </c>
      <c r="K443" s="16" t="str">
        <f aca="false">IF(B443="","",IF(AND(D443="Formalização",E443="Concluído"),IF(COUNTIFS($B$2:$B$5001,B443,$E$2:$E$5001,"Em ajustes",$A$2:$A$5001,"&lt;"&amp;I443)&gt;0,1,0),0))</f>
        <v/>
      </c>
      <c r="L443" s="16" t="str">
        <f aca="false">IF(B443="","",IF(A443=_xlfn.MAXIFS($A$2:$A$5001,$B$2:$B$5001,B443,$I$2:$I$5001,I443),1,0))</f>
        <v/>
      </c>
    </row>
    <row r="444" customFormat="false" ht="15" hidden="false" customHeight="false" outlineLevel="0" collapsed="false">
      <c r="I444" s="15" t="str">
        <f aca="false">IF(A444="","",INT(A444))</f>
        <v/>
      </c>
      <c r="J444" s="16" t="str">
        <f aca="false">IF(B444="","",IF(A444=_xlfn.MINIFS($A$2:$A$5001,$B$2:$B$5001,B444),1,0))</f>
        <v/>
      </c>
      <c r="K444" s="16" t="str">
        <f aca="false">IF(B444="","",IF(AND(D444="Formalização",E444="Concluído"),IF(COUNTIFS($B$2:$B$5001,B444,$E$2:$E$5001,"Em ajustes",$A$2:$A$5001,"&lt;"&amp;I444)&gt;0,1,0),0))</f>
        <v/>
      </c>
      <c r="L444" s="16" t="str">
        <f aca="false">IF(B444="","",IF(A444=_xlfn.MAXIFS($A$2:$A$5001,$B$2:$B$5001,B444,$I$2:$I$5001,I444),1,0))</f>
        <v/>
      </c>
    </row>
    <row r="445" customFormat="false" ht="15" hidden="false" customHeight="false" outlineLevel="0" collapsed="false">
      <c r="I445" s="15" t="str">
        <f aca="false">IF(A445="","",INT(A445))</f>
        <v/>
      </c>
      <c r="J445" s="16" t="str">
        <f aca="false">IF(B445="","",IF(A445=_xlfn.MINIFS($A$2:$A$5001,$B$2:$B$5001,B445),1,0))</f>
        <v/>
      </c>
      <c r="K445" s="16" t="str">
        <f aca="false">IF(B445="","",IF(AND(D445="Formalização",E445="Concluído"),IF(COUNTIFS($B$2:$B$5001,B445,$E$2:$E$5001,"Em ajustes",$A$2:$A$5001,"&lt;"&amp;I445)&gt;0,1,0),0))</f>
        <v/>
      </c>
      <c r="L445" s="16" t="str">
        <f aca="false">IF(B445="","",IF(A445=_xlfn.MAXIFS($A$2:$A$5001,$B$2:$B$5001,B445,$I$2:$I$5001,I445),1,0))</f>
        <v/>
      </c>
    </row>
    <row r="446" customFormat="false" ht="15" hidden="false" customHeight="false" outlineLevel="0" collapsed="false">
      <c r="I446" s="15" t="str">
        <f aca="false">IF(A446="","",INT(A446))</f>
        <v/>
      </c>
      <c r="J446" s="16" t="str">
        <f aca="false">IF(B446="","",IF(A446=_xlfn.MINIFS($A$2:$A$5001,$B$2:$B$5001,B446),1,0))</f>
        <v/>
      </c>
      <c r="K446" s="16" t="str">
        <f aca="false">IF(B446="","",IF(AND(D446="Formalização",E446="Concluído"),IF(COUNTIFS($B$2:$B$5001,B446,$E$2:$E$5001,"Em ajustes",$A$2:$A$5001,"&lt;"&amp;I446)&gt;0,1,0),0))</f>
        <v/>
      </c>
      <c r="L446" s="16" t="str">
        <f aca="false">IF(B446="","",IF(A446=_xlfn.MAXIFS($A$2:$A$5001,$B$2:$B$5001,B446,$I$2:$I$5001,I446),1,0))</f>
        <v/>
      </c>
    </row>
    <row r="447" customFormat="false" ht="15" hidden="false" customHeight="false" outlineLevel="0" collapsed="false">
      <c r="I447" s="15" t="str">
        <f aca="false">IF(A447="","",INT(A447))</f>
        <v/>
      </c>
      <c r="J447" s="16" t="str">
        <f aca="false">IF(B447="","",IF(A447=_xlfn.MINIFS($A$2:$A$5001,$B$2:$B$5001,B447),1,0))</f>
        <v/>
      </c>
      <c r="K447" s="16" t="str">
        <f aca="false">IF(B447="","",IF(AND(D447="Formalização",E447="Concluído"),IF(COUNTIFS($B$2:$B$5001,B447,$E$2:$E$5001,"Em ajustes",$A$2:$A$5001,"&lt;"&amp;I447)&gt;0,1,0),0))</f>
        <v/>
      </c>
      <c r="L447" s="16" t="str">
        <f aca="false">IF(B447="","",IF(A447=_xlfn.MAXIFS($A$2:$A$5001,$B$2:$B$5001,B447,$I$2:$I$5001,I447),1,0))</f>
        <v/>
      </c>
    </row>
    <row r="448" customFormat="false" ht="15" hidden="false" customHeight="false" outlineLevel="0" collapsed="false">
      <c r="I448" s="15" t="str">
        <f aca="false">IF(A448="","",INT(A448))</f>
        <v/>
      </c>
      <c r="J448" s="16" t="str">
        <f aca="false">IF(B448="","",IF(A448=_xlfn.MINIFS($A$2:$A$5001,$B$2:$B$5001,B448),1,0))</f>
        <v/>
      </c>
      <c r="K448" s="16" t="str">
        <f aca="false">IF(B448="","",IF(AND(D448="Formalização",E448="Concluído"),IF(COUNTIFS($B$2:$B$5001,B448,$E$2:$E$5001,"Em ajustes",$A$2:$A$5001,"&lt;"&amp;I448)&gt;0,1,0),0))</f>
        <v/>
      </c>
      <c r="L448" s="16" t="str">
        <f aca="false">IF(B448="","",IF(A448=_xlfn.MAXIFS($A$2:$A$5001,$B$2:$B$5001,B448,$I$2:$I$5001,I448),1,0))</f>
        <v/>
      </c>
    </row>
    <row r="449" customFormat="false" ht="15" hidden="false" customHeight="false" outlineLevel="0" collapsed="false">
      <c r="I449" s="15" t="str">
        <f aca="false">IF(A449="","",INT(A449))</f>
        <v/>
      </c>
      <c r="J449" s="16" t="str">
        <f aca="false">IF(B449="","",IF(A449=_xlfn.MINIFS($A$2:$A$5001,$B$2:$B$5001,B449),1,0))</f>
        <v/>
      </c>
      <c r="K449" s="16" t="str">
        <f aca="false">IF(B449="","",IF(AND(D449="Formalização",E449="Concluído"),IF(COUNTIFS($B$2:$B$5001,B449,$E$2:$E$5001,"Em ajustes",$A$2:$A$5001,"&lt;"&amp;I449)&gt;0,1,0),0))</f>
        <v/>
      </c>
      <c r="L449" s="16" t="str">
        <f aca="false">IF(B449="","",IF(A449=_xlfn.MAXIFS($A$2:$A$5001,$B$2:$B$5001,B449,$I$2:$I$5001,I449),1,0))</f>
        <v/>
      </c>
    </row>
    <row r="450" customFormat="false" ht="15" hidden="false" customHeight="false" outlineLevel="0" collapsed="false">
      <c r="I450" s="15" t="str">
        <f aca="false">IF(A450="","",INT(A450))</f>
        <v/>
      </c>
      <c r="J450" s="16" t="str">
        <f aca="false">IF(B450="","",IF(A450=_xlfn.MINIFS($A$2:$A$5001,$B$2:$B$5001,B450),1,0))</f>
        <v/>
      </c>
      <c r="K450" s="16" t="str">
        <f aca="false">IF(B450="","",IF(AND(D450="Formalização",E450="Concluído"),IF(COUNTIFS($B$2:$B$5001,B450,$E$2:$E$5001,"Em ajustes",$A$2:$A$5001,"&lt;"&amp;I450)&gt;0,1,0),0))</f>
        <v/>
      </c>
      <c r="L450" s="16" t="str">
        <f aca="false">IF(B450="","",IF(A450=_xlfn.MAXIFS($A$2:$A$5001,$B$2:$B$5001,B450,$I$2:$I$5001,I450),1,0))</f>
        <v/>
      </c>
    </row>
    <row r="451" customFormat="false" ht="15" hidden="false" customHeight="false" outlineLevel="0" collapsed="false">
      <c r="I451" s="15" t="str">
        <f aca="false">IF(A451="","",INT(A451))</f>
        <v/>
      </c>
      <c r="J451" s="16" t="str">
        <f aca="false">IF(B451="","",IF(A451=_xlfn.MINIFS($A$2:$A$5001,$B$2:$B$5001,B451),1,0))</f>
        <v/>
      </c>
      <c r="K451" s="16" t="str">
        <f aca="false">IF(B451="","",IF(AND(D451="Formalização",E451="Concluído"),IF(COUNTIFS($B$2:$B$5001,B451,$E$2:$E$5001,"Em ajustes",$A$2:$A$5001,"&lt;"&amp;I451)&gt;0,1,0),0))</f>
        <v/>
      </c>
      <c r="L451" s="16" t="str">
        <f aca="false">IF(B451="","",IF(A451=_xlfn.MAXIFS($A$2:$A$5001,$B$2:$B$5001,B451,$I$2:$I$5001,I451),1,0))</f>
        <v/>
      </c>
    </row>
    <row r="452" customFormat="false" ht="15" hidden="false" customHeight="false" outlineLevel="0" collapsed="false">
      <c r="I452" s="15" t="str">
        <f aca="false">IF(A452="","",INT(A452))</f>
        <v/>
      </c>
      <c r="J452" s="16" t="str">
        <f aca="false">IF(B452="","",IF(A452=_xlfn.MINIFS($A$2:$A$5001,$B$2:$B$5001,B452),1,0))</f>
        <v/>
      </c>
      <c r="K452" s="16" t="str">
        <f aca="false">IF(B452="","",IF(AND(D452="Formalização",E452="Concluído"),IF(COUNTIFS($B$2:$B$5001,B452,$E$2:$E$5001,"Em ajustes",$A$2:$A$5001,"&lt;"&amp;I452)&gt;0,1,0),0))</f>
        <v/>
      </c>
      <c r="L452" s="16" t="str">
        <f aca="false">IF(B452="","",IF(A452=_xlfn.MAXIFS($A$2:$A$5001,$B$2:$B$5001,B452,$I$2:$I$5001,I452),1,0))</f>
        <v/>
      </c>
    </row>
    <row r="453" customFormat="false" ht="15" hidden="false" customHeight="false" outlineLevel="0" collapsed="false">
      <c r="I453" s="15" t="str">
        <f aca="false">IF(A453="","",INT(A453))</f>
        <v/>
      </c>
      <c r="J453" s="16" t="str">
        <f aca="false">IF(B453="","",IF(A453=_xlfn.MINIFS($A$2:$A$5001,$B$2:$B$5001,B453),1,0))</f>
        <v/>
      </c>
      <c r="K453" s="16" t="str">
        <f aca="false">IF(B453="","",IF(AND(D453="Formalização",E453="Concluído"),IF(COUNTIFS($B$2:$B$5001,B453,$E$2:$E$5001,"Em ajustes",$A$2:$A$5001,"&lt;"&amp;I453)&gt;0,1,0),0))</f>
        <v/>
      </c>
      <c r="L453" s="16" t="str">
        <f aca="false">IF(B453="","",IF(A453=_xlfn.MAXIFS($A$2:$A$5001,$B$2:$B$5001,B453,$I$2:$I$5001,I453),1,0))</f>
        <v/>
      </c>
    </row>
    <row r="454" customFormat="false" ht="15" hidden="false" customHeight="false" outlineLevel="0" collapsed="false">
      <c r="I454" s="15" t="str">
        <f aca="false">IF(A454="","",INT(A454))</f>
        <v/>
      </c>
      <c r="J454" s="16" t="str">
        <f aca="false">IF(B454="","",IF(A454=_xlfn.MINIFS($A$2:$A$5001,$B$2:$B$5001,B454),1,0))</f>
        <v/>
      </c>
      <c r="K454" s="16" t="str">
        <f aca="false">IF(B454="","",IF(AND(D454="Formalização",E454="Concluído"),IF(COUNTIFS($B$2:$B$5001,B454,$E$2:$E$5001,"Em ajustes",$A$2:$A$5001,"&lt;"&amp;I454)&gt;0,1,0),0))</f>
        <v/>
      </c>
      <c r="L454" s="16" t="str">
        <f aca="false">IF(B454="","",IF(A454=_xlfn.MAXIFS($A$2:$A$5001,$B$2:$B$5001,B454,$I$2:$I$5001,I454),1,0))</f>
        <v/>
      </c>
    </row>
    <row r="455" customFormat="false" ht="15" hidden="false" customHeight="false" outlineLevel="0" collapsed="false">
      <c r="I455" s="15" t="str">
        <f aca="false">IF(A455="","",INT(A455))</f>
        <v/>
      </c>
      <c r="J455" s="16" t="str">
        <f aca="false">IF(B455="","",IF(A455=_xlfn.MINIFS($A$2:$A$5001,$B$2:$B$5001,B455),1,0))</f>
        <v/>
      </c>
      <c r="K455" s="16" t="str">
        <f aca="false">IF(B455="","",IF(AND(D455="Formalização",E455="Concluído"),IF(COUNTIFS($B$2:$B$5001,B455,$E$2:$E$5001,"Em ajustes",$A$2:$A$5001,"&lt;"&amp;I455)&gt;0,1,0),0))</f>
        <v/>
      </c>
      <c r="L455" s="16" t="str">
        <f aca="false">IF(B455="","",IF(A455=_xlfn.MAXIFS($A$2:$A$5001,$B$2:$B$5001,B455,$I$2:$I$5001,I455),1,0))</f>
        <v/>
      </c>
    </row>
    <row r="456" customFormat="false" ht="15" hidden="false" customHeight="false" outlineLevel="0" collapsed="false">
      <c r="I456" s="15" t="str">
        <f aca="false">IF(A456="","",INT(A456))</f>
        <v/>
      </c>
      <c r="J456" s="16" t="str">
        <f aca="false">IF(B456="","",IF(A456=_xlfn.MINIFS($A$2:$A$5001,$B$2:$B$5001,B456),1,0))</f>
        <v/>
      </c>
      <c r="K456" s="16" t="str">
        <f aca="false">IF(B456="","",IF(AND(D456="Formalização",E456="Concluído"),IF(COUNTIFS($B$2:$B$5001,B456,$E$2:$E$5001,"Em ajustes",$A$2:$A$5001,"&lt;"&amp;I456)&gt;0,1,0),0))</f>
        <v/>
      </c>
      <c r="L456" s="16" t="str">
        <f aca="false">IF(B456="","",IF(A456=_xlfn.MAXIFS($A$2:$A$5001,$B$2:$B$5001,B456,$I$2:$I$5001,I456),1,0))</f>
        <v/>
      </c>
    </row>
    <row r="457" customFormat="false" ht="15" hidden="false" customHeight="false" outlineLevel="0" collapsed="false">
      <c r="I457" s="15" t="str">
        <f aca="false">IF(A457="","",INT(A457))</f>
        <v/>
      </c>
      <c r="J457" s="16" t="str">
        <f aca="false">IF(B457="","",IF(A457=_xlfn.MINIFS($A$2:$A$5001,$B$2:$B$5001,B457),1,0))</f>
        <v/>
      </c>
      <c r="K457" s="16" t="str">
        <f aca="false">IF(B457="","",IF(AND(D457="Formalização",E457="Concluído"),IF(COUNTIFS($B$2:$B$5001,B457,$E$2:$E$5001,"Em ajustes",$A$2:$A$5001,"&lt;"&amp;I457)&gt;0,1,0),0))</f>
        <v/>
      </c>
      <c r="L457" s="16" t="str">
        <f aca="false">IF(B457="","",IF(A457=_xlfn.MAXIFS($A$2:$A$5001,$B$2:$B$5001,B457,$I$2:$I$5001,I457),1,0))</f>
        <v/>
      </c>
    </row>
    <row r="458" customFormat="false" ht="15" hidden="false" customHeight="false" outlineLevel="0" collapsed="false">
      <c r="I458" s="15" t="str">
        <f aca="false">IF(A458="","",INT(A458))</f>
        <v/>
      </c>
      <c r="J458" s="16" t="str">
        <f aca="false">IF(B458="","",IF(A458=_xlfn.MINIFS($A$2:$A$5001,$B$2:$B$5001,B458),1,0))</f>
        <v/>
      </c>
      <c r="K458" s="16" t="str">
        <f aca="false">IF(B458="","",IF(AND(D458="Formalização",E458="Concluído"),IF(COUNTIFS($B$2:$B$5001,B458,$E$2:$E$5001,"Em ajustes",$A$2:$A$5001,"&lt;"&amp;I458)&gt;0,1,0),0))</f>
        <v/>
      </c>
      <c r="L458" s="16" t="str">
        <f aca="false">IF(B458="","",IF(A458=_xlfn.MAXIFS($A$2:$A$5001,$B$2:$B$5001,B458,$I$2:$I$5001,I458),1,0))</f>
        <v/>
      </c>
    </row>
    <row r="459" customFormat="false" ht="15" hidden="false" customHeight="false" outlineLevel="0" collapsed="false">
      <c r="I459" s="15" t="str">
        <f aca="false">IF(A459="","",INT(A459))</f>
        <v/>
      </c>
      <c r="J459" s="16" t="str">
        <f aca="false">IF(B459="","",IF(A459=_xlfn.MINIFS($A$2:$A$5001,$B$2:$B$5001,B459),1,0))</f>
        <v/>
      </c>
      <c r="K459" s="16" t="str">
        <f aca="false">IF(B459="","",IF(AND(D459="Formalização",E459="Concluído"),IF(COUNTIFS($B$2:$B$5001,B459,$E$2:$E$5001,"Em ajustes",$A$2:$A$5001,"&lt;"&amp;I459)&gt;0,1,0),0))</f>
        <v/>
      </c>
      <c r="L459" s="16" t="str">
        <f aca="false">IF(B459="","",IF(A459=_xlfn.MAXIFS($A$2:$A$5001,$B$2:$B$5001,B459,$I$2:$I$5001,I459),1,0))</f>
        <v/>
      </c>
    </row>
    <row r="460" customFormat="false" ht="15" hidden="false" customHeight="false" outlineLevel="0" collapsed="false">
      <c r="I460" s="15" t="str">
        <f aca="false">IF(A460="","",INT(A460))</f>
        <v/>
      </c>
      <c r="J460" s="16" t="str">
        <f aca="false">IF(B460="","",IF(A460=_xlfn.MINIFS($A$2:$A$5001,$B$2:$B$5001,B460),1,0))</f>
        <v/>
      </c>
      <c r="K460" s="16" t="str">
        <f aca="false">IF(B460="","",IF(AND(D460="Formalização",E460="Concluído"),IF(COUNTIFS($B$2:$B$5001,B460,$E$2:$E$5001,"Em ajustes",$A$2:$A$5001,"&lt;"&amp;I460)&gt;0,1,0),0))</f>
        <v/>
      </c>
      <c r="L460" s="16" t="str">
        <f aca="false">IF(B460="","",IF(A460=_xlfn.MAXIFS($A$2:$A$5001,$B$2:$B$5001,B460,$I$2:$I$5001,I460),1,0))</f>
        <v/>
      </c>
    </row>
    <row r="461" customFormat="false" ht="15" hidden="false" customHeight="false" outlineLevel="0" collapsed="false">
      <c r="I461" s="15" t="str">
        <f aca="false">IF(A461="","",INT(A461))</f>
        <v/>
      </c>
      <c r="J461" s="16" t="str">
        <f aca="false">IF(B461="","",IF(A461=_xlfn.MINIFS($A$2:$A$5001,$B$2:$B$5001,B461),1,0))</f>
        <v/>
      </c>
      <c r="K461" s="16" t="str">
        <f aca="false">IF(B461="","",IF(AND(D461="Formalização",E461="Concluído"),IF(COUNTIFS($B$2:$B$5001,B461,$E$2:$E$5001,"Em ajustes",$A$2:$A$5001,"&lt;"&amp;I461)&gt;0,1,0),0))</f>
        <v/>
      </c>
      <c r="L461" s="16" t="str">
        <f aca="false">IF(B461="","",IF(A461=_xlfn.MAXIFS($A$2:$A$5001,$B$2:$B$5001,B461,$I$2:$I$5001,I461),1,0))</f>
        <v/>
      </c>
    </row>
    <row r="462" customFormat="false" ht="15" hidden="false" customHeight="false" outlineLevel="0" collapsed="false">
      <c r="I462" s="15" t="str">
        <f aca="false">IF(A462="","",INT(A462))</f>
        <v/>
      </c>
      <c r="J462" s="16" t="str">
        <f aca="false">IF(B462="","",IF(A462=_xlfn.MINIFS($A$2:$A$5001,$B$2:$B$5001,B462),1,0))</f>
        <v/>
      </c>
      <c r="K462" s="16" t="str">
        <f aca="false">IF(B462="","",IF(AND(D462="Formalização",E462="Concluído"),IF(COUNTIFS($B$2:$B$5001,B462,$E$2:$E$5001,"Em ajustes",$A$2:$A$5001,"&lt;"&amp;I462)&gt;0,1,0),0))</f>
        <v/>
      </c>
      <c r="L462" s="16" t="str">
        <f aca="false">IF(B462="","",IF(A462=_xlfn.MAXIFS($A$2:$A$5001,$B$2:$B$5001,B462,$I$2:$I$5001,I462),1,0))</f>
        <v/>
      </c>
    </row>
    <row r="463" customFormat="false" ht="15" hidden="false" customHeight="false" outlineLevel="0" collapsed="false">
      <c r="I463" s="15" t="str">
        <f aca="false">IF(A463="","",INT(A463))</f>
        <v/>
      </c>
      <c r="J463" s="16" t="str">
        <f aca="false">IF(B463="","",IF(A463=_xlfn.MINIFS($A$2:$A$5001,$B$2:$B$5001,B463),1,0))</f>
        <v/>
      </c>
      <c r="K463" s="16" t="str">
        <f aca="false">IF(B463="","",IF(AND(D463="Formalização",E463="Concluído"),IF(COUNTIFS($B$2:$B$5001,B463,$E$2:$E$5001,"Em ajustes",$A$2:$A$5001,"&lt;"&amp;I463)&gt;0,1,0),0))</f>
        <v/>
      </c>
      <c r="L463" s="16" t="str">
        <f aca="false">IF(B463="","",IF(A463=_xlfn.MAXIFS($A$2:$A$5001,$B$2:$B$5001,B463,$I$2:$I$5001,I463),1,0))</f>
        <v/>
      </c>
    </row>
    <row r="464" customFormat="false" ht="15" hidden="false" customHeight="false" outlineLevel="0" collapsed="false">
      <c r="I464" s="15" t="str">
        <f aca="false">IF(A464="","",INT(A464))</f>
        <v/>
      </c>
      <c r="J464" s="16" t="str">
        <f aca="false">IF(B464="","",IF(A464=_xlfn.MINIFS($A$2:$A$5001,$B$2:$B$5001,B464),1,0))</f>
        <v/>
      </c>
      <c r="K464" s="16" t="str">
        <f aca="false">IF(B464="","",IF(AND(D464="Formalização",E464="Concluído"),IF(COUNTIFS($B$2:$B$5001,B464,$E$2:$E$5001,"Em ajustes",$A$2:$A$5001,"&lt;"&amp;I464)&gt;0,1,0),0))</f>
        <v/>
      </c>
      <c r="L464" s="16" t="str">
        <f aca="false">IF(B464="","",IF(A464=_xlfn.MAXIFS($A$2:$A$5001,$B$2:$B$5001,B464,$I$2:$I$5001,I464),1,0))</f>
        <v/>
      </c>
    </row>
    <row r="465" customFormat="false" ht="15" hidden="false" customHeight="false" outlineLevel="0" collapsed="false">
      <c r="I465" s="15" t="str">
        <f aca="false">IF(A465="","",INT(A465))</f>
        <v/>
      </c>
      <c r="J465" s="16" t="str">
        <f aca="false">IF(B465="","",IF(A465=_xlfn.MINIFS($A$2:$A$5001,$B$2:$B$5001,B465),1,0))</f>
        <v/>
      </c>
      <c r="K465" s="16" t="str">
        <f aca="false">IF(B465="","",IF(AND(D465="Formalização",E465="Concluído"),IF(COUNTIFS($B$2:$B$5001,B465,$E$2:$E$5001,"Em ajustes",$A$2:$A$5001,"&lt;"&amp;I465)&gt;0,1,0),0))</f>
        <v/>
      </c>
      <c r="L465" s="16" t="str">
        <f aca="false">IF(B465="","",IF(A465=_xlfn.MAXIFS($A$2:$A$5001,$B$2:$B$5001,B465,$I$2:$I$5001,I465),1,0))</f>
        <v/>
      </c>
    </row>
    <row r="466" customFormat="false" ht="15" hidden="false" customHeight="false" outlineLevel="0" collapsed="false">
      <c r="I466" s="15" t="str">
        <f aca="false">IF(A466="","",INT(A466))</f>
        <v/>
      </c>
      <c r="J466" s="16" t="str">
        <f aca="false">IF(B466="","",IF(A466=_xlfn.MINIFS($A$2:$A$5001,$B$2:$B$5001,B466),1,0))</f>
        <v/>
      </c>
      <c r="K466" s="16" t="str">
        <f aca="false">IF(B466="","",IF(AND(D466="Formalização",E466="Concluído"),IF(COUNTIFS($B$2:$B$5001,B466,$E$2:$E$5001,"Em ajustes",$A$2:$A$5001,"&lt;"&amp;I466)&gt;0,1,0),0))</f>
        <v/>
      </c>
      <c r="L466" s="16" t="str">
        <f aca="false">IF(B466="","",IF(A466=_xlfn.MAXIFS($A$2:$A$5001,$B$2:$B$5001,B466,$I$2:$I$5001,I466),1,0))</f>
        <v/>
      </c>
    </row>
    <row r="467" customFormat="false" ht="15" hidden="false" customHeight="false" outlineLevel="0" collapsed="false">
      <c r="I467" s="15" t="str">
        <f aca="false">IF(A467="","",INT(A467))</f>
        <v/>
      </c>
      <c r="J467" s="16" t="str">
        <f aca="false">IF(B467="","",IF(A467=_xlfn.MINIFS($A$2:$A$5001,$B$2:$B$5001,B467),1,0))</f>
        <v/>
      </c>
      <c r="K467" s="16" t="str">
        <f aca="false">IF(B467="","",IF(AND(D467="Formalização",E467="Concluído"),IF(COUNTIFS($B$2:$B$5001,B467,$E$2:$E$5001,"Em ajustes",$A$2:$A$5001,"&lt;"&amp;I467)&gt;0,1,0),0))</f>
        <v/>
      </c>
      <c r="L467" s="16" t="str">
        <f aca="false">IF(B467="","",IF(A467=_xlfn.MAXIFS($A$2:$A$5001,$B$2:$B$5001,B467,$I$2:$I$5001,I467),1,0))</f>
        <v/>
      </c>
    </row>
    <row r="468" customFormat="false" ht="15" hidden="false" customHeight="false" outlineLevel="0" collapsed="false">
      <c r="I468" s="15" t="str">
        <f aca="false">IF(A468="","",INT(A468))</f>
        <v/>
      </c>
      <c r="J468" s="16" t="str">
        <f aca="false">IF(B468="","",IF(A468=_xlfn.MINIFS($A$2:$A$5001,$B$2:$B$5001,B468),1,0))</f>
        <v/>
      </c>
      <c r="K468" s="16" t="str">
        <f aca="false">IF(B468="","",IF(AND(D468="Formalização",E468="Concluído"),IF(COUNTIFS($B$2:$B$5001,B468,$E$2:$E$5001,"Em ajustes",$A$2:$A$5001,"&lt;"&amp;I468)&gt;0,1,0),0))</f>
        <v/>
      </c>
      <c r="L468" s="16" t="str">
        <f aca="false">IF(B468="","",IF(A468=_xlfn.MAXIFS($A$2:$A$5001,$B$2:$B$5001,B468,$I$2:$I$5001,I468),1,0))</f>
        <v/>
      </c>
    </row>
    <row r="469" customFormat="false" ht="15" hidden="false" customHeight="false" outlineLevel="0" collapsed="false">
      <c r="I469" s="15" t="str">
        <f aca="false">IF(A469="","",INT(A469))</f>
        <v/>
      </c>
      <c r="J469" s="16" t="str">
        <f aca="false">IF(B469="","",IF(A469=_xlfn.MINIFS($A$2:$A$5001,$B$2:$B$5001,B469),1,0))</f>
        <v/>
      </c>
      <c r="K469" s="16" t="str">
        <f aca="false">IF(B469="","",IF(AND(D469="Formalização",E469="Concluído"),IF(COUNTIFS($B$2:$B$5001,B469,$E$2:$E$5001,"Em ajustes",$A$2:$A$5001,"&lt;"&amp;I469)&gt;0,1,0),0))</f>
        <v/>
      </c>
      <c r="L469" s="16" t="str">
        <f aca="false">IF(B469="","",IF(A469=_xlfn.MAXIFS($A$2:$A$5001,$B$2:$B$5001,B469,$I$2:$I$5001,I469),1,0))</f>
        <v/>
      </c>
    </row>
    <row r="470" customFormat="false" ht="15" hidden="false" customHeight="false" outlineLevel="0" collapsed="false">
      <c r="I470" s="15" t="str">
        <f aca="false">IF(A470="","",INT(A470))</f>
        <v/>
      </c>
      <c r="J470" s="16" t="str">
        <f aca="false">IF(B470="","",IF(A470=_xlfn.MINIFS($A$2:$A$5001,$B$2:$B$5001,B470),1,0))</f>
        <v/>
      </c>
      <c r="K470" s="16" t="str">
        <f aca="false">IF(B470="","",IF(AND(D470="Formalização",E470="Concluído"),IF(COUNTIFS($B$2:$B$5001,B470,$E$2:$E$5001,"Em ajustes",$A$2:$A$5001,"&lt;"&amp;I470)&gt;0,1,0),0))</f>
        <v/>
      </c>
      <c r="L470" s="16" t="str">
        <f aca="false">IF(B470="","",IF(A470=_xlfn.MAXIFS($A$2:$A$5001,$B$2:$B$5001,B470,$I$2:$I$5001,I470),1,0))</f>
        <v/>
      </c>
    </row>
    <row r="471" customFormat="false" ht="15" hidden="false" customHeight="false" outlineLevel="0" collapsed="false">
      <c r="I471" s="15" t="str">
        <f aca="false">IF(A471="","",INT(A471))</f>
        <v/>
      </c>
      <c r="J471" s="16" t="str">
        <f aca="false">IF(B471="","",IF(A471=_xlfn.MINIFS($A$2:$A$5001,$B$2:$B$5001,B471),1,0))</f>
        <v/>
      </c>
      <c r="K471" s="16" t="str">
        <f aca="false">IF(B471="","",IF(AND(D471="Formalização",E471="Concluído"),IF(COUNTIFS($B$2:$B$5001,B471,$E$2:$E$5001,"Em ajustes",$A$2:$A$5001,"&lt;"&amp;I471)&gt;0,1,0),0))</f>
        <v/>
      </c>
      <c r="L471" s="16" t="str">
        <f aca="false">IF(B471="","",IF(A471=_xlfn.MAXIFS($A$2:$A$5001,$B$2:$B$5001,B471,$I$2:$I$5001,I471),1,0))</f>
        <v/>
      </c>
    </row>
    <row r="472" customFormat="false" ht="15" hidden="false" customHeight="false" outlineLevel="0" collapsed="false">
      <c r="I472" s="15" t="str">
        <f aca="false">IF(A472="","",INT(A472))</f>
        <v/>
      </c>
      <c r="J472" s="16" t="str">
        <f aca="false">IF(B472="","",IF(A472=_xlfn.MINIFS($A$2:$A$5001,$B$2:$B$5001,B472),1,0))</f>
        <v/>
      </c>
      <c r="K472" s="16" t="str">
        <f aca="false">IF(B472="","",IF(AND(D472="Formalização",E472="Concluído"),IF(COUNTIFS($B$2:$B$5001,B472,$E$2:$E$5001,"Em ajustes",$A$2:$A$5001,"&lt;"&amp;I472)&gt;0,1,0),0))</f>
        <v/>
      </c>
      <c r="L472" s="16" t="str">
        <f aca="false">IF(B472="","",IF(A472=_xlfn.MAXIFS($A$2:$A$5001,$B$2:$B$5001,B472,$I$2:$I$5001,I472),1,0))</f>
        <v/>
      </c>
    </row>
    <row r="473" customFormat="false" ht="15" hidden="false" customHeight="false" outlineLevel="0" collapsed="false">
      <c r="I473" s="15" t="str">
        <f aca="false">IF(A473="","",INT(A473))</f>
        <v/>
      </c>
      <c r="J473" s="16" t="str">
        <f aca="false">IF(B473="","",IF(A473=_xlfn.MINIFS($A$2:$A$5001,$B$2:$B$5001,B473),1,0))</f>
        <v/>
      </c>
      <c r="K473" s="16" t="str">
        <f aca="false">IF(B473="","",IF(AND(D473="Formalização",E473="Concluído"),IF(COUNTIFS($B$2:$B$5001,B473,$E$2:$E$5001,"Em ajustes",$A$2:$A$5001,"&lt;"&amp;I473)&gt;0,1,0),0))</f>
        <v/>
      </c>
      <c r="L473" s="16" t="str">
        <f aca="false">IF(B473="","",IF(A473=_xlfn.MAXIFS($A$2:$A$5001,$B$2:$B$5001,B473,$I$2:$I$5001,I473),1,0))</f>
        <v/>
      </c>
    </row>
    <row r="474" customFormat="false" ht="15" hidden="false" customHeight="false" outlineLevel="0" collapsed="false">
      <c r="I474" s="15" t="str">
        <f aca="false">IF(A474="","",INT(A474))</f>
        <v/>
      </c>
      <c r="J474" s="16" t="str">
        <f aca="false">IF(B474="","",IF(A474=_xlfn.MINIFS($A$2:$A$5001,$B$2:$B$5001,B474),1,0))</f>
        <v/>
      </c>
      <c r="K474" s="16" t="str">
        <f aca="false">IF(B474="","",IF(AND(D474="Formalização",E474="Concluído"),IF(COUNTIFS($B$2:$B$5001,B474,$E$2:$E$5001,"Em ajustes",$A$2:$A$5001,"&lt;"&amp;I474)&gt;0,1,0),0))</f>
        <v/>
      </c>
      <c r="L474" s="16" t="str">
        <f aca="false">IF(B474="","",IF(A474=_xlfn.MAXIFS($A$2:$A$5001,$B$2:$B$5001,B474,$I$2:$I$5001,I474),1,0))</f>
        <v/>
      </c>
    </row>
    <row r="475" customFormat="false" ht="15" hidden="false" customHeight="false" outlineLevel="0" collapsed="false">
      <c r="I475" s="15" t="str">
        <f aca="false">IF(A475="","",INT(A475))</f>
        <v/>
      </c>
      <c r="J475" s="16" t="str">
        <f aca="false">IF(B475="","",IF(A475=_xlfn.MINIFS($A$2:$A$5001,$B$2:$B$5001,B475),1,0))</f>
        <v/>
      </c>
      <c r="K475" s="16" t="str">
        <f aca="false">IF(B475="","",IF(AND(D475="Formalização",E475="Concluído"),IF(COUNTIFS($B$2:$B$5001,B475,$E$2:$E$5001,"Em ajustes",$A$2:$A$5001,"&lt;"&amp;I475)&gt;0,1,0),0))</f>
        <v/>
      </c>
      <c r="L475" s="16" t="str">
        <f aca="false">IF(B475="","",IF(A475=_xlfn.MAXIFS($A$2:$A$5001,$B$2:$B$5001,B475,$I$2:$I$5001,I475),1,0))</f>
        <v/>
      </c>
    </row>
    <row r="476" customFormat="false" ht="15" hidden="false" customHeight="false" outlineLevel="0" collapsed="false">
      <c r="I476" s="15" t="str">
        <f aca="false">IF(A476="","",INT(A476))</f>
        <v/>
      </c>
      <c r="J476" s="16" t="str">
        <f aca="false">IF(B476="","",IF(A476=_xlfn.MINIFS($A$2:$A$5001,$B$2:$B$5001,B476),1,0))</f>
        <v/>
      </c>
      <c r="K476" s="16" t="str">
        <f aca="false">IF(B476="","",IF(AND(D476="Formalização",E476="Concluído"),IF(COUNTIFS($B$2:$B$5001,B476,$E$2:$E$5001,"Em ajustes",$A$2:$A$5001,"&lt;"&amp;I476)&gt;0,1,0),0))</f>
        <v/>
      </c>
      <c r="L476" s="16" t="str">
        <f aca="false">IF(B476="","",IF(A476=_xlfn.MAXIFS($A$2:$A$5001,$B$2:$B$5001,B476,$I$2:$I$5001,I476),1,0))</f>
        <v/>
      </c>
    </row>
    <row r="477" customFormat="false" ht="15" hidden="false" customHeight="false" outlineLevel="0" collapsed="false">
      <c r="I477" s="15" t="str">
        <f aca="false">IF(A477="","",INT(A477))</f>
        <v/>
      </c>
      <c r="J477" s="16" t="str">
        <f aca="false">IF(B477="","",IF(A477=_xlfn.MINIFS($A$2:$A$5001,$B$2:$B$5001,B477),1,0))</f>
        <v/>
      </c>
      <c r="K477" s="16" t="str">
        <f aca="false">IF(B477="","",IF(AND(D477="Formalização",E477="Concluído"),IF(COUNTIFS($B$2:$B$5001,B477,$E$2:$E$5001,"Em ajustes",$A$2:$A$5001,"&lt;"&amp;I477)&gt;0,1,0),0))</f>
        <v/>
      </c>
      <c r="L477" s="16" t="str">
        <f aca="false">IF(B477="","",IF(A477=_xlfn.MAXIFS($A$2:$A$5001,$B$2:$B$5001,B477,$I$2:$I$5001,I477),1,0))</f>
        <v/>
      </c>
    </row>
    <row r="478" customFormat="false" ht="15" hidden="false" customHeight="false" outlineLevel="0" collapsed="false">
      <c r="I478" s="15" t="str">
        <f aca="false">IF(A478="","",INT(A478))</f>
        <v/>
      </c>
      <c r="J478" s="16" t="str">
        <f aca="false">IF(B478="","",IF(A478=_xlfn.MINIFS($A$2:$A$5001,$B$2:$B$5001,B478),1,0))</f>
        <v/>
      </c>
      <c r="K478" s="16" t="str">
        <f aca="false">IF(B478="","",IF(AND(D478="Formalização",E478="Concluído"),IF(COUNTIFS($B$2:$B$5001,B478,$E$2:$E$5001,"Em ajustes",$A$2:$A$5001,"&lt;"&amp;I478)&gt;0,1,0),0))</f>
        <v/>
      </c>
      <c r="L478" s="16" t="str">
        <f aca="false">IF(B478="","",IF(A478=_xlfn.MAXIFS($A$2:$A$5001,$B$2:$B$5001,B478,$I$2:$I$5001,I478),1,0))</f>
        <v/>
      </c>
    </row>
    <row r="479" customFormat="false" ht="15" hidden="false" customHeight="false" outlineLevel="0" collapsed="false">
      <c r="I479" s="15" t="str">
        <f aca="false">IF(A479="","",INT(A479))</f>
        <v/>
      </c>
      <c r="J479" s="16" t="str">
        <f aca="false">IF(B479="","",IF(A479=_xlfn.MINIFS($A$2:$A$5001,$B$2:$B$5001,B479),1,0))</f>
        <v/>
      </c>
      <c r="K479" s="16" t="str">
        <f aca="false">IF(B479="","",IF(AND(D479="Formalização",E479="Concluído"),IF(COUNTIFS($B$2:$B$5001,B479,$E$2:$E$5001,"Em ajustes",$A$2:$A$5001,"&lt;"&amp;I479)&gt;0,1,0),0))</f>
        <v/>
      </c>
      <c r="L479" s="16" t="str">
        <f aca="false">IF(B479="","",IF(A479=_xlfn.MAXIFS($A$2:$A$5001,$B$2:$B$5001,B479,$I$2:$I$5001,I479),1,0))</f>
        <v/>
      </c>
    </row>
    <row r="480" customFormat="false" ht="15" hidden="false" customHeight="false" outlineLevel="0" collapsed="false">
      <c r="I480" s="15" t="str">
        <f aca="false">IF(A480="","",INT(A480))</f>
        <v/>
      </c>
      <c r="J480" s="16" t="str">
        <f aca="false">IF(B480="","",IF(A480=_xlfn.MINIFS($A$2:$A$5001,$B$2:$B$5001,B480),1,0))</f>
        <v/>
      </c>
      <c r="K480" s="16" t="str">
        <f aca="false">IF(B480="","",IF(AND(D480="Formalização",E480="Concluído"),IF(COUNTIFS($B$2:$B$5001,B480,$E$2:$E$5001,"Em ajustes",$A$2:$A$5001,"&lt;"&amp;I480)&gt;0,1,0),0))</f>
        <v/>
      </c>
      <c r="L480" s="16" t="str">
        <f aca="false">IF(B480="","",IF(A480=_xlfn.MAXIFS($A$2:$A$5001,$B$2:$B$5001,B480,$I$2:$I$5001,I480),1,0))</f>
        <v/>
      </c>
    </row>
    <row r="481" customFormat="false" ht="15" hidden="false" customHeight="false" outlineLevel="0" collapsed="false">
      <c r="I481" s="15" t="str">
        <f aca="false">IF(A481="","",INT(A481))</f>
        <v/>
      </c>
      <c r="J481" s="16" t="str">
        <f aca="false">IF(B481="","",IF(A481=_xlfn.MINIFS($A$2:$A$5001,$B$2:$B$5001,B481),1,0))</f>
        <v/>
      </c>
      <c r="K481" s="16" t="str">
        <f aca="false">IF(B481="","",IF(AND(D481="Formalização",E481="Concluído"),IF(COUNTIFS($B$2:$B$5001,B481,$E$2:$E$5001,"Em ajustes",$A$2:$A$5001,"&lt;"&amp;I481)&gt;0,1,0),0))</f>
        <v/>
      </c>
      <c r="L481" s="16" t="str">
        <f aca="false">IF(B481="","",IF(A481=_xlfn.MAXIFS($A$2:$A$5001,$B$2:$B$5001,B481,$I$2:$I$5001,I481),1,0))</f>
        <v/>
      </c>
    </row>
    <row r="482" customFormat="false" ht="15" hidden="false" customHeight="false" outlineLevel="0" collapsed="false">
      <c r="I482" s="15" t="str">
        <f aca="false">IF(A482="","",INT(A482))</f>
        <v/>
      </c>
      <c r="J482" s="16" t="str">
        <f aca="false">IF(B482="","",IF(A482=_xlfn.MINIFS($A$2:$A$5001,$B$2:$B$5001,B482),1,0))</f>
        <v/>
      </c>
      <c r="K482" s="16" t="str">
        <f aca="false">IF(B482="","",IF(AND(D482="Formalização",E482="Concluído"),IF(COUNTIFS($B$2:$B$5001,B482,$E$2:$E$5001,"Em ajustes",$A$2:$A$5001,"&lt;"&amp;I482)&gt;0,1,0),0))</f>
        <v/>
      </c>
      <c r="L482" s="16" t="str">
        <f aca="false">IF(B482="","",IF(A482=_xlfn.MAXIFS($A$2:$A$5001,$B$2:$B$5001,B482,$I$2:$I$5001,I482),1,0))</f>
        <v/>
      </c>
    </row>
    <row r="483" customFormat="false" ht="15" hidden="false" customHeight="false" outlineLevel="0" collapsed="false">
      <c r="I483" s="15" t="str">
        <f aca="false">IF(A483="","",INT(A483))</f>
        <v/>
      </c>
      <c r="J483" s="16" t="str">
        <f aca="false">IF(B483="","",IF(A483=_xlfn.MINIFS($A$2:$A$5001,$B$2:$B$5001,B483),1,0))</f>
        <v/>
      </c>
      <c r="K483" s="16" t="str">
        <f aca="false">IF(B483="","",IF(AND(D483="Formalização",E483="Concluído"),IF(COUNTIFS($B$2:$B$5001,B483,$E$2:$E$5001,"Em ajustes",$A$2:$A$5001,"&lt;"&amp;I483)&gt;0,1,0),0))</f>
        <v/>
      </c>
      <c r="L483" s="16" t="str">
        <f aca="false">IF(B483="","",IF(A483=_xlfn.MAXIFS($A$2:$A$5001,$B$2:$B$5001,B483,$I$2:$I$5001,I483),1,0))</f>
        <v/>
      </c>
    </row>
    <row r="484" customFormat="false" ht="15" hidden="false" customHeight="false" outlineLevel="0" collapsed="false">
      <c r="I484" s="15" t="str">
        <f aca="false">IF(A484="","",INT(A484))</f>
        <v/>
      </c>
      <c r="J484" s="16" t="str">
        <f aca="false">IF(B484="","",IF(A484=_xlfn.MINIFS($A$2:$A$5001,$B$2:$B$5001,B484),1,0))</f>
        <v/>
      </c>
      <c r="K484" s="16" t="str">
        <f aca="false">IF(B484="","",IF(AND(D484="Formalização",E484="Concluído"),IF(COUNTIFS($B$2:$B$5001,B484,$E$2:$E$5001,"Em ajustes",$A$2:$A$5001,"&lt;"&amp;I484)&gt;0,1,0),0))</f>
        <v/>
      </c>
      <c r="L484" s="16" t="str">
        <f aca="false">IF(B484="","",IF(A484=_xlfn.MAXIFS($A$2:$A$5001,$B$2:$B$5001,B484,$I$2:$I$5001,I484),1,0))</f>
        <v/>
      </c>
    </row>
    <row r="485" customFormat="false" ht="15" hidden="false" customHeight="false" outlineLevel="0" collapsed="false">
      <c r="I485" s="15" t="str">
        <f aca="false">IF(A485="","",INT(A485))</f>
        <v/>
      </c>
      <c r="J485" s="16" t="str">
        <f aca="false">IF(B485="","",IF(A485=_xlfn.MINIFS($A$2:$A$5001,$B$2:$B$5001,B485),1,0))</f>
        <v/>
      </c>
      <c r="K485" s="16" t="str">
        <f aca="false">IF(B485="","",IF(AND(D485="Formalização",E485="Concluído"),IF(COUNTIFS($B$2:$B$5001,B485,$E$2:$E$5001,"Em ajustes",$A$2:$A$5001,"&lt;"&amp;I485)&gt;0,1,0),0))</f>
        <v/>
      </c>
      <c r="L485" s="16" t="str">
        <f aca="false">IF(B485="","",IF(A485=_xlfn.MAXIFS($A$2:$A$5001,$B$2:$B$5001,B485,$I$2:$I$5001,I485),1,0))</f>
        <v/>
      </c>
    </row>
    <row r="486" customFormat="false" ht="15" hidden="false" customHeight="false" outlineLevel="0" collapsed="false">
      <c r="I486" s="15" t="str">
        <f aca="false">IF(A486="","",INT(A486))</f>
        <v/>
      </c>
      <c r="J486" s="16" t="str">
        <f aca="false">IF(B486="","",IF(A486=_xlfn.MINIFS($A$2:$A$5001,$B$2:$B$5001,B486),1,0))</f>
        <v/>
      </c>
      <c r="K486" s="16" t="str">
        <f aca="false">IF(B486="","",IF(AND(D486="Formalização",E486="Concluído"),IF(COUNTIFS($B$2:$B$5001,B486,$E$2:$E$5001,"Em ajustes",$A$2:$A$5001,"&lt;"&amp;I486)&gt;0,1,0),0))</f>
        <v/>
      </c>
      <c r="L486" s="16" t="str">
        <f aca="false">IF(B486="","",IF(A486=_xlfn.MAXIFS($A$2:$A$5001,$B$2:$B$5001,B486,$I$2:$I$5001,I486),1,0))</f>
        <v/>
      </c>
    </row>
    <row r="487" customFormat="false" ht="15" hidden="false" customHeight="false" outlineLevel="0" collapsed="false">
      <c r="I487" s="15" t="str">
        <f aca="false">IF(A487="","",INT(A487))</f>
        <v/>
      </c>
      <c r="J487" s="16" t="str">
        <f aca="false">IF(B487="","",IF(A487=_xlfn.MINIFS($A$2:$A$5001,$B$2:$B$5001,B487),1,0))</f>
        <v/>
      </c>
      <c r="K487" s="16" t="str">
        <f aca="false">IF(B487="","",IF(AND(D487="Formalização",E487="Concluído"),IF(COUNTIFS($B$2:$B$5001,B487,$E$2:$E$5001,"Em ajustes",$A$2:$A$5001,"&lt;"&amp;I487)&gt;0,1,0),0))</f>
        <v/>
      </c>
      <c r="L487" s="16" t="str">
        <f aca="false">IF(B487="","",IF(A487=_xlfn.MAXIFS($A$2:$A$5001,$B$2:$B$5001,B487,$I$2:$I$5001,I487),1,0))</f>
        <v/>
      </c>
    </row>
    <row r="488" customFormat="false" ht="15" hidden="false" customHeight="false" outlineLevel="0" collapsed="false">
      <c r="I488" s="15" t="str">
        <f aca="false">IF(A488="","",INT(A488))</f>
        <v/>
      </c>
      <c r="J488" s="16" t="str">
        <f aca="false">IF(B488="","",IF(A488=_xlfn.MINIFS($A$2:$A$5001,$B$2:$B$5001,B488),1,0))</f>
        <v/>
      </c>
      <c r="K488" s="16" t="str">
        <f aca="false">IF(B488="","",IF(AND(D488="Formalização",E488="Concluído"),IF(COUNTIFS($B$2:$B$5001,B488,$E$2:$E$5001,"Em ajustes",$A$2:$A$5001,"&lt;"&amp;I488)&gt;0,1,0),0))</f>
        <v/>
      </c>
      <c r="L488" s="16" t="str">
        <f aca="false">IF(B488="","",IF(A488=_xlfn.MAXIFS($A$2:$A$5001,$B$2:$B$5001,B488,$I$2:$I$5001,I488),1,0))</f>
        <v/>
      </c>
    </row>
    <row r="489" customFormat="false" ht="15" hidden="false" customHeight="false" outlineLevel="0" collapsed="false">
      <c r="I489" s="15" t="str">
        <f aca="false">IF(A489="","",INT(A489))</f>
        <v/>
      </c>
      <c r="J489" s="16" t="str">
        <f aca="false">IF(B489="","",IF(A489=_xlfn.MINIFS($A$2:$A$5001,$B$2:$B$5001,B489),1,0))</f>
        <v/>
      </c>
      <c r="K489" s="16" t="str">
        <f aca="false">IF(B489="","",IF(AND(D489="Formalização",E489="Concluído"),IF(COUNTIFS($B$2:$B$5001,B489,$E$2:$E$5001,"Em ajustes",$A$2:$A$5001,"&lt;"&amp;I489)&gt;0,1,0),0))</f>
        <v/>
      </c>
      <c r="L489" s="16" t="str">
        <f aca="false">IF(B489="","",IF(A489=_xlfn.MAXIFS($A$2:$A$5001,$B$2:$B$5001,B489,$I$2:$I$5001,I489),1,0))</f>
        <v/>
      </c>
    </row>
    <row r="490" customFormat="false" ht="15" hidden="false" customHeight="false" outlineLevel="0" collapsed="false">
      <c r="I490" s="15" t="str">
        <f aca="false">IF(A490="","",INT(A490))</f>
        <v/>
      </c>
      <c r="J490" s="16" t="str">
        <f aca="false">IF(B490="","",IF(A490=_xlfn.MINIFS($A$2:$A$5001,$B$2:$B$5001,B490),1,0))</f>
        <v/>
      </c>
      <c r="K490" s="16" t="str">
        <f aca="false">IF(B490="","",IF(AND(D490="Formalização",E490="Concluído"),IF(COUNTIFS($B$2:$B$5001,B490,$E$2:$E$5001,"Em ajustes",$A$2:$A$5001,"&lt;"&amp;I490)&gt;0,1,0),0))</f>
        <v/>
      </c>
      <c r="L490" s="16" t="str">
        <f aca="false">IF(B490="","",IF(A490=_xlfn.MAXIFS($A$2:$A$5001,$B$2:$B$5001,B490,$I$2:$I$5001,I490),1,0))</f>
        <v/>
      </c>
    </row>
    <row r="491" customFormat="false" ht="15" hidden="false" customHeight="false" outlineLevel="0" collapsed="false">
      <c r="I491" s="15" t="str">
        <f aca="false">IF(A491="","",INT(A491))</f>
        <v/>
      </c>
      <c r="J491" s="16" t="str">
        <f aca="false">IF(B491="","",IF(A491=_xlfn.MINIFS($A$2:$A$5001,$B$2:$B$5001,B491),1,0))</f>
        <v/>
      </c>
      <c r="K491" s="16" t="str">
        <f aca="false">IF(B491="","",IF(AND(D491="Formalização",E491="Concluído"),IF(COUNTIFS($B$2:$B$5001,B491,$E$2:$E$5001,"Em ajustes",$A$2:$A$5001,"&lt;"&amp;I491)&gt;0,1,0),0))</f>
        <v/>
      </c>
      <c r="L491" s="16" t="str">
        <f aca="false">IF(B491="","",IF(A491=_xlfn.MAXIFS($A$2:$A$5001,$B$2:$B$5001,B491,$I$2:$I$5001,I491),1,0))</f>
        <v/>
      </c>
    </row>
    <row r="492" customFormat="false" ht="15" hidden="false" customHeight="false" outlineLevel="0" collapsed="false">
      <c r="I492" s="15" t="str">
        <f aca="false">IF(A492="","",INT(A492))</f>
        <v/>
      </c>
      <c r="J492" s="16" t="str">
        <f aca="false">IF(B492="","",IF(A492=_xlfn.MINIFS($A$2:$A$5001,$B$2:$B$5001,B492),1,0))</f>
        <v/>
      </c>
      <c r="K492" s="16" t="str">
        <f aca="false">IF(B492="","",IF(AND(D492="Formalização",E492="Concluído"),IF(COUNTIFS($B$2:$B$5001,B492,$E$2:$E$5001,"Em ajustes",$A$2:$A$5001,"&lt;"&amp;I492)&gt;0,1,0),0))</f>
        <v/>
      </c>
      <c r="L492" s="16" t="str">
        <f aca="false">IF(B492="","",IF(A492=_xlfn.MAXIFS($A$2:$A$5001,$B$2:$B$5001,B492,$I$2:$I$5001,I492),1,0))</f>
        <v/>
      </c>
    </row>
    <row r="493" customFormat="false" ht="15" hidden="false" customHeight="false" outlineLevel="0" collapsed="false">
      <c r="I493" s="15" t="str">
        <f aca="false">IF(A493="","",INT(A493))</f>
        <v/>
      </c>
      <c r="J493" s="16" t="str">
        <f aca="false">IF(B493="","",IF(A493=_xlfn.MINIFS($A$2:$A$5001,$B$2:$B$5001,B493),1,0))</f>
        <v/>
      </c>
      <c r="K493" s="16" t="str">
        <f aca="false">IF(B493="","",IF(AND(D493="Formalização",E493="Concluído"),IF(COUNTIFS($B$2:$B$5001,B493,$E$2:$E$5001,"Em ajustes",$A$2:$A$5001,"&lt;"&amp;I493)&gt;0,1,0),0))</f>
        <v/>
      </c>
      <c r="L493" s="16" t="str">
        <f aca="false">IF(B493="","",IF(A493=_xlfn.MAXIFS($A$2:$A$5001,$B$2:$B$5001,B493,$I$2:$I$5001,I493),1,0))</f>
        <v/>
      </c>
    </row>
    <row r="494" customFormat="false" ht="15" hidden="false" customHeight="false" outlineLevel="0" collapsed="false">
      <c r="I494" s="15" t="str">
        <f aca="false">IF(A494="","",INT(A494))</f>
        <v/>
      </c>
      <c r="J494" s="16" t="str">
        <f aca="false">IF(B494="","",IF(A494=_xlfn.MINIFS($A$2:$A$5001,$B$2:$B$5001,B494),1,0))</f>
        <v/>
      </c>
      <c r="K494" s="16" t="str">
        <f aca="false">IF(B494="","",IF(AND(D494="Formalização",E494="Concluído"),IF(COUNTIFS($B$2:$B$5001,B494,$E$2:$E$5001,"Em ajustes",$A$2:$A$5001,"&lt;"&amp;I494)&gt;0,1,0),0))</f>
        <v/>
      </c>
      <c r="L494" s="16" t="str">
        <f aca="false">IF(B494="","",IF(A494=_xlfn.MAXIFS($A$2:$A$5001,$B$2:$B$5001,B494,$I$2:$I$5001,I494),1,0))</f>
        <v/>
      </c>
    </row>
    <row r="495" customFormat="false" ht="15" hidden="false" customHeight="false" outlineLevel="0" collapsed="false">
      <c r="I495" s="15" t="str">
        <f aca="false">IF(A495="","",INT(A495))</f>
        <v/>
      </c>
      <c r="J495" s="16" t="str">
        <f aca="false">IF(B495="","",IF(A495=_xlfn.MINIFS($A$2:$A$5001,$B$2:$B$5001,B495),1,0))</f>
        <v/>
      </c>
      <c r="K495" s="16" t="str">
        <f aca="false">IF(B495="","",IF(AND(D495="Formalização",E495="Concluído"),IF(COUNTIFS($B$2:$B$5001,B495,$E$2:$E$5001,"Em ajustes",$A$2:$A$5001,"&lt;"&amp;I495)&gt;0,1,0),0))</f>
        <v/>
      </c>
      <c r="L495" s="16" t="str">
        <f aca="false">IF(B495="","",IF(A495=_xlfn.MAXIFS($A$2:$A$5001,$B$2:$B$5001,B495,$I$2:$I$5001,I495),1,0))</f>
        <v/>
      </c>
    </row>
    <row r="496" customFormat="false" ht="15" hidden="false" customHeight="false" outlineLevel="0" collapsed="false">
      <c r="I496" s="15" t="str">
        <f aca="false">IF(A496="","",INT(A496))</f>
        <v/>
      </c>
      <c r="J496" s="16" t="str">
        <f aca="false">IF(B496="","",IF(A496=_xlfn.MINIFS($A$2:$A$5001,$B$2:$B$5001,B496),1,0))</f>
        <v/>
      </c>
      <c r="K496" s="16" t="str">
        <f aca="false">IF(B496="","",IF(AND(D496="Formalização",E496="Concluído"),IF(COUNTIFS($B$2:$B$5001,B496,$E$2:$E$5001,"Em ajustes",$A$2:$A$5001,"&lt;"&amp;I496)&gt;0,1,0),0))</f>
        <v/>
      </c>
      <c r="L496" s="16" t="str">
        <f aca="false">IF(B496="","",IF(A496=_xlfn.MAXIFS($A$2:$A$5001,$B$2:$B$5001,B496,$I$2:$I$5001,I496),1,0))</f>
        <v/>
      </c>
    </row>
    <row r="497" customFormat="false" ht="15" hidden="false" customHeight="false" outlineLevel="0" collapsed="false">
      <c r="I497" s="15" t="str">
        <f aca="false">IF(A497="","",INT(A497))</f>
        <v/>
      </c>
      <c r="J497" s="16" t="str">
        <f aca="false">IF(B497="","",IF(A497=_xlfn.MINIFS($A$2:$A$5001,$B$2:$B$5001,B497),1,0))</f>
        <v/>
      </c>
      <c r="K497" s="16" t="str">
        <f aca="false">IF(B497="","",IF(AND(D497="Formalização",E497="Concluído"),IF(COUNTIFS($B$2:$B$5001,B497,$E$2:$E$5001,"Em ajustes",$A$2:$A$5001,"&lt;"&amp;I497)&gt;0,1,0),0))</f>
        <v/>
      </c>
      <c r="L497" s="16" t="str">
        <f aca="false">IF(B497="","",IF(A497=_xlfn.MAXIFS($A$2:$A$5001,$B$2:$B$5001,B497,$I$2:$I$5001,I497),1,0))</f>
        <v/>
      </c>
    </row>
    <row r="498" customFormat="false" ht="15" hidden="false" customHeight="false" outlineLevel="0" collapsed="false">
      <c r="I498" s="15" t="str">
        <f aca="false">IF(A498="","",INT(A498))</f>
        <v/>
      </c>
      <c r="J498" s="16" t="str">
        <f aca="false">IF(B498="","",IF(A498=_xlfn.MINIFS($A$2:$A$5001,$B$2:$B$5001,B498),1,0))</f>
        <v/>
      </c>
      <c r="K498" s="16" t="str">
        <f aca="false">IF(B498="","",IF(AND(D498="Formalização",E498="Concluído"),IF(COUNTIFS($B$2:$B$5001,B498,$E$2:$E$5001,"Em ajustes",$A$2:$A$5001,"&lt;"&amp;I498)&gt;0,1,0),0))</f>
        <v/>
      </c>
      <c r="L498" s="16" t="str">
        <f aca="false">IF(B498="","",IF(A498=_xlfn.MAXIFS($A$2:$A$5001,$B$2:$B$5001,B498,$I$2:$I$5001,I498),1,0))</f>
        <v/>
      </c>
    </row>
    <row r="499" customFormat="false" ht="15" hidden="false" customHeight="false" outlineLevel="0" collapsed="false">
      <c r="I499" s="15" t="str">
        <f aca="false">IF(A499="","",INT(A499))</f>
        <v/>
      </c>
      <c r="J499" s="16" t="str">
        <f aca="false">IF(B499="","",IF(A499=_xlfn.MINIFS($A$2:$A$5001,$B$2:$B$5001,B499),1,0))</f>
        <v/>
      </c>
      <c r="K499" s="16" t="str">
        <f aca="false">IF(B499="","",IF(AND(D499="Formalização",E499="Concluído"),IF(COUNTIFS($B$2:$B$5001,B499,$E$2:$E$5001,"Em ajustes",$A$2:$A$5001,"&lt;"&amp;I499)&gt;0,1,0),0))</f>
        <v/>
      </c>
      <c r="L499" s="16" t="str">
        <f aca="false">IF(B499="","",IF(A499=_xlfn.MAXIFS($A$2:$A$5001,$B$2:$B$5001,B499,$I$2:$I$5001,I499),1,0))</f>
        <v/>
      </c>
    </row>
    <row r="500" customFormat="false" ht="15" hidden="false" customHeight="false" outlineLevel="0" collapsed="false">
      <c r="I500" s="15" t="str">
        <f aca="false">IF(A500="","",INT(A500))</f>
        <v/>
      </c>
      <c r="J500" s="16" t="str">
        <f aca="false">IF(B500="","",IF(A500=_xlfn.MINIFS($A$2:$A$5001,$B$2:$B$5001,B500),1,0))</f>
        <v/>
      </c>
      <c r="K500" s="16" t="str">
        <f aca="false">IF(B500="","",IF(AND(D500="Formalização",E500="Concluído"),IF(COUNTIFS($B$2:$B$5001,B500,$E$2:$E$5001,"Em ajustes",$A$2:$A$5001,"&lt;"&amp;I500)&gt;0,1,0),0))</f>
        <v/>
      </c>
      <c r="L500" s="16" t="str">
        <f aca="false">IF(B500="","",IF(A500=_xlfn.MAXIFS($A$2:$A$5001,$B$2:$B$5001,B500,$I$2:$I$5001,I500),1,0))</f>
        <v/>
      </c>
    </row>
    <row r="501" customFormat="false" ht="15" hidden="false" customHeight="false" outlineLevel="0" collapsed="false">
      <c r="I501" s="15" t="str">
        <f aca="false">IF(A501="","",INT(A501))</f>
        <v/>
      </c>
      <c r="J501" s="16" t="str">
        <f aca="false">IF(B501="","",IF(A501=_xlfn.MINIFS($A$2:$A$5001,$B$2:$B$5001,B501),1,0))</f>
        <v/>
      </c>
      <c r="K501" s="16" t="str">
        <f aca="false">IF(B501="","",IF(AND(D501="Formalização",E501="Concluído"),IF(COUNTIFS($B$2:$B$5001,B501,$E$2:$E$5001,"Em ajustes",$A$2:$A$5001,"&lt;"&amp;I501)&gt;0,1,0),0))</f>
        <v/>
      </c>
      <c r="L501" s="16" t="str">
        <f aca="false">IF(B501="","",IF(A501=_xlfn.MAXIFS($A$2:$A$5001,$B$2:$B$5001,B501,$I$2:$I$5001,I501),1,0))</f>
        <v/>
      </c>
    </row>
    <row r="502" customFormat="false" ht="15" hidden="false" customHeight="false" outlineLevel="0" collapsed="false">
      <c r="I502" s="15" t="str">
        <f aca="false">IF(A502="","",INT(A502))</f>
        <v/>
      </c>
      <c r="J502" s="16" t="str">
        <f aca="false">IF(B502="","",IF(A502=_xlfn.MINIFS($A$2:$A$5001,$B$2:$B$5001,B502),1,0))</f>
        <v/>
      </c>
      <c r="K502" s="16" t="str">
        <f aca="false">IF(B502="","",IF(AND(D502="Formalização",E502="Concluído"),IF(COUNTIFS($B$2:$B$5001,B502,$E$2:$E$5001,"Em ajustes",$A$2:$A$5001,"&lt;"&amp;I502)&gt;0,1,0),0))</f>
        <v/>
      </c>
      <c r="L502" s="16" t="str">
        <f aca="false">IF(B502="","",IF(A502=_xlfn.MAXIFS($A$2:$A$5001,$B$2:$B$5001,B502,$I$2:$I$5001,I502),1,0))</f>
        <v/>
      </c>
    </row>
    <row r="503" customFormat="false" ht="15" hidden="false" customHeight="false" outlineLevel="0" collapsed="false">
      <c r="I503" s="15" t="str">
        <f aca="false">IF(A503="","",INT(A503))</f>
        <v/>
      </c>
      <c r="J503" s="16" t="str">
        <f aca="false">IF(B503="","",IF(A503=_xlfn.MINIFS($A$2:$A$5001,$B$2:$B$5001,B503),1,0))</f>
        <v/>
      </c>
      <c r="K503" s="16" t="str">
        <f aca="false">IF(B503="","",IF(AND(D503="Formalização",E503="Concluído"),IF(COUNTIFS($B$2:$B$5001,B503,$E$2:$E$5001,"Em ajustes",$A$2:$A$5001,"&lt;"&amp;I503)&gt;0,1,0),0))</f>
        <v/>
      </c>
      <c r="L503" s="16" t="str">
        <f aca="false">IF(B503="","",IF(A503=_xlfn.MAXIFS($A$2:$A$5001,$B$2:$B$5001,B503,$I$2:$I$5001,I503),1,0))</f>
        <v/>
      </c>
    </row>
    <row r="504" customFormat="false" ht="15" hidden="false" customHeight="false" outlineLevel="0" collapsed="false">
      <c r="I504" s="15" t="str">
        <f aca="false">IF(A504="","",INT(A504))</f>
        <v/>
      </c>
      <c r="J504" s="16" t="str">
        <f aca="false">IF(B504="","",IF(A504=_xlfn.MINIFS($A$2:$A$5001,$B$2:$B$5001,B504),1,0))</f>
        <v/>
      </c>
      <c r="K504" s="16" t="str">
        <f aca="false">IF(B504="","",IF(AND(D504="Formalização",E504="Concluído"),IF(COUNTIFS($B$2:$B$5001,B504,$E$2:$E$5001,"Em ajustes",$A$2:$A$5001,"&lt;"&amp;I504)&gt;0,1,0),0))</f>
        <v/>
      </c>
      <c r="L504" s="16" t="str">
        <f aca="false">IF(B504="","",IF(A504=_xlfn.MAXIFS($A$2:$A$5001,$B$2:$B$5001,B504,$I$2:$I$5001,I504),1,0))</f>
        <v/>
      </c>
    </row>
    <row r="505" customFormat="false" ht="15" hidden="false" customHeight="false" outlineLevel="0" collapsed="false">
      <c r="I505" s="15" t="str">
        <f aca="false">IF(A505="","",INT(A505))</f>
        <v/>
      </c>
      <c r="J505" s="16" t="str">
        <f aca="false">IF(B505="","",IF(A505=_xlfn.MINIFS($A$2:$A$5001,$B$2:$B$5001,B505),1,0))</f>
        <v/>
      </c>
      <c r="K505" s="16" t="str">
        <f aca="false">IF(B505="","",IF(AND(D505="Formalização",E505="Concluído"),IF(COUNTIFS($B$2:$B$5001,B505,$E$2:$E$5001,"Em ajustes",$A$2:$A$5001,"&lt;"&amp;I505)&gt;0,1,0),0))</f>
        <v/>
      </c>
      <c r="L505" s="16" t="str">
        <f aca="false">IF(B505="","",IF(A505=_xlfn.MAXIFS($A$2:$A$5001,$B$2:$B$5001,B505,$I$2:$I$5001,I505),1,0))</f>
        <v/>
      </c>
    </row>
    <row r="506" customFormat="false" ht="15" hidden="false" customHeight="false" outlineLevel="0" collapsed="false">
      <c r="I506" s="15" t="str">
        <f aca="false">IF(A506="","",INT(A506))</f>
        <v/>
      </c>
      <c r="J506" s="16" t="str">
        <f aca="false">IF(B506="","",IF(A506=_xlfn.MINIFS($A$2:$A$5001,$B$2:$B$5001,B506),1,0))</f>
        <v/>
      </c>
      <c r="K506" s="16" t="str">
        <f aca="false">IF(B506="","",IF(AND(D506="Formalização",E506="Concluído"),IF(COUNTIFS($B$2:$B$5001,B506,$E$2:$E$5001,"Em ajustes",$A$2:$A$5001,"&lt;"&amp;I506)&gt;0,1,0),0))</f>
        <v/>
      </c>
      <c r="L506" s="16" t="str">
        <f aca="false">IF(B506="","",IF(A506=_xlfn.MAXIFS($A$2:$A$5001,$B$2:$B$5001,B506,$I$2:$I$5001,I506),1,0))</f>
        <v/>
      </c>
    </row>
    <row r="507" customFormat="false" ht="15" hidden="false" customHeight="false" outlineLevel="0" collapsed="false">
      <c r="I507" s="15" t="str">
        <f aca="false">IF(A507="","",INT(A507))</f>
        <v/>
      </c>
      <c r="J507" s="16" t="str">
        <f aca="false">IF(B507="","",IF(A507=_xlfn.MINIFS($A$2:$A$5001,$B$2:$B$5001,B507),1,0))</f>
        <v/>
      </c>
      <c r="K507" s="16" t="str">
        <f aca="false">IF(B507="","",IF(AND(D507="Formalização",E507="Concluído"),IF(COUNTIFS($B$2:$B$5001,B507,$E$2:$E$5001,"Em ajustes",$A$2:$A$5001,"&lt;"&amp;I507)&gt;0,1,0),0))</f>
        <v/>
      </c>
      <c r="L507" s="16" t="str">
        <f aca="false">IF(B507="","",IF(A507=_xlfn.MAXIFS($A$2:$A$5001,$B$2:$B$5001,B507,$I$2:$I$5001,I507),1,0))</f>
        <v/>
      </c>
    </row>
    <row r="508" customFormat="false" ht="15" hidden="false" customHeight="false" outlineLevel="0" collapsed="false">
      <c r="I508" s="15" t="str">
        <f aca="false">IF(A508="","",INT(A508))</f>
        <v/>
      </c>
      <c r="J508" s="16" t="str">
        <f aca="false">IF(B508="","",IF(A508=_xlfn.MINIFS($A$2:$A$5001,$B$2:$B$5001,B508),1,0))</f>
        <v/>
      </c>
      <c r="K508" s="16" t="str">
        <f aca="false">IF(B508="","",IF(AND(D508="Formalização",E508="Concluído"),IF(COUNTIFS($B$2:$B$5001,B508,$E$2:$E$5001,"Em ajustes",$A$2:$A$5001,"&lt;"&amp;I508)&gt;0,1,0),0))</f>
        <v/>
      </c>
      <c r="L508" s="16" t="str">
        <f aca="false">IF(B508="","",IF(A508=_xlfn.MAXIFS($A$2:$A$5001,$B$2:$B$5001,B508,$I$2:$I$5001,I508),1,0))</f>
        <v/>
      </c>
    </row>
    <row r="509" customFormat="false" ht="15" hidden="false" customHeight="false" outlineLevel="0" collapsed="false">
      <c r="I509" s="15" t="str">
        <f aca="false">IF(A509="","",INT(A509))</f>
        <v/>
      </c>
      <c r="J509" s="16" t="str">
        <f aca="false">IF(B509="","",IF(A509=_xlfn.MINIFS($A$2:$A$5001,$B$2:$B$5001,B509),1,0))</f>
        <v/>
      </c>
      <c r="K509" s="16" t="str">
        <f aca="false">IF(B509="","",IF(AND(D509="Formalização",E509="Concluído"),IF(COUNTIFS($B$2:$B$5001,B509,$E$2:$E$5001,"Em ajustes",$A$2:$A$5001,"&lt;"&amp;I509)&gt;0,1,0),0))</f>
        <v/>
      </c>
      <c r="L509" s="16" t="str">
        <f aca="false">IF(B509="","",IF(A509=_xlfn.MAXIFS($A$2:$A$5001,$B$2:$B$5001,B509,$I$2:$I$5001,I509),1,0))</f>
        <v/>
      </c>
    </row>
    <row r="510" customFormat="false" ht="15" hidden="false" customHeight="false" outlineLevel="0" collapsed="false">
      <c r="I510" s="15" t="str">
        <f aca="false">IF(A510="","",INT(A510))</f>
        <v/>
      </c>
      <c r="J510" s="16" t="str">
        <f aca="false">IF(B510="","",IF(A510=_xlfn.MINIFS($A$2:$A$5001,$B$2:$B$5001,B510),1,0))</f>
        <v/>
      </c>
      <c r="K510" s="16" t="str">
        <f aca="false">IF(B510="","",IF(AND(D510="Formalização",E510="Concluído"),IF(COUNTIFS($B$2:$B$5001,B510,$E$2:$E$5001,"Em ajustes",$A$2:$A$5001,"&lt;"&amp;I510)&gt;0,1,0),0))</f>
        <v/>
      </c>
      <c r="L510" s="16" t="str">
        <f aca="false">IF(B510="","",IF(A510=_xlfn.MAXIFS($A$2:$A$5001,$B$2:$B$5001,B510,$I$2:$I$5001,I510),1,0))</f>
        <v/>
      </c>
    </row>
    <row r="511" customFormat="false" ht="15" hidden="false" customHeight="false" outlineLevel="0" collapsed="false">
      <c r="I511" s="15" t="str">
        <f aca="false">IF(A511="","",INT(A511))</f>
        <v/>
      </c>
      <c r="J511" s="16" t="str">
        <f aca="false">IF(B511="","",IF(A511=_xlfn.MINIFS($A$2:$A$5001,$B$2:$B$5001,B511),1,0))</f>
        <v/>
      </c>
      <c r="K511" s="16" t="str">
        <f aca="false">IF(B511="","",IF(AND(D511="Formalização",E511="Concluído"),IF(COUNTIFS($B$2:$B$5001,B511,$E$2:$E$5001,"Em ajustes",$A$2:$A$5001,"&lt;"&amp;I511)&gt;0,1,0),0))</f>
        <v/>
      </c>
      <c r="L511" s="16" t="str">
        <f aca="false">IF(B511="","",IF(A511=_xlfn.MAXIFS($A$2:$A$5001,$B$2:$B$5001,B511,$I$2:$I$5001,I511),1,0))</f>
        <v/>
      </c>
    </row>
    <row r="512" customFormat="false" ht="15" hidden="false" customHeight="false" outlineLevel="0" collapsed="false">
      <c r="I512" s="15" t="str">
        <f aca="false">IF(A512="","",INT(A512))</f>
        <v/>
      </c>
      <c r="J512" s="16" t="str">
        <f aca="false">IF(B512="","",IF(A512=_xlfn.MINIFS($A$2:$A$5001,$B$2:$B$5001,B512),1,0))</f>
        <v/>
      </c>
      <c r="K512" s="16" t="str">
        <f aca="false">IF(B512="","",IF(AND(D512="Formalização",E512="Concluído"),IF(COUNTIFS($B$2:$B$5001,B512,$E$2:$E$5001,"Em ajustes",$A$2:$A$5001,"&lt;"&amp;I512)&gt;0,1,0),0))</f>
        <v/>
      </c>
      <c r="L512" s="16" t="str">
        <f aca="false">IF(B512="","",IF(A512=_xlfn.MAXIFS($A$2:$A$5001,$B$2:$B$5001,B512,$I$2:$I$5001,I512),1,0))</f>
        <v/>
      </c>
    </row>
    <row r="513" customFormat="false" ht="15" hidden="false" customHeight="false" outlineLevel="0" collapsed="false">
      <c r="I513" s="15" t="str">
        <f aca="false">IF(A513="","",INT(A513))</f>
        <v/>
      </c>
      <c r="J513" s="16" t="str">
        <f aca="false">IF(B513="","",IF(A513=_xlfn.MINIFS($A$2:$A$5001,$B$2:$B$5001,B513),1,0))</f>
        <v/>
      </c>
      <c r="K513" s="16" t="str">
        <f aca="false">IF(B513="","",IF(AND(D513="Formalização",E513="Concluído"),IF(COUNTIFS($B$2:$B$5001,B513,$E$2:$E$5001,"Em ajustes",$A$2:$A$5001,"&lt;"&amp;I513)&gt;0,1,0),0))</f>
        <v/>
      </c>
      <c r="L513" s="16" t="str">
        <f aca="false">IF(B513="","",IF(A513=_xlfn.MAXIFS($A$2:$A$5001,$B$2:$B$5001,B513,$I$2:$I$5001,I513),1,0))</f>
        <v/>
      </c>
    </row>
    <row r="514" customFormat="false" ht="15" hidden="false" customHeight="false" outlineLevel="0" collapsed="false">
      <c r="I514" s="15" t="str">
        <f aca="false">IF(A514="","",INT(A514))</f>
        <v/>
      </c>
      <c r="J514" s="16" t="str">
        <f aca="false">IF(B514="","",IF(A514=_xlfn.MINIFS($A$2:$A$5001,$B$2:$B$5001,B514),1,0))</f>
        <v/>
      </c>
      <c r="K514" s="16" t="str">
        <f aca="false">IF(B514="","",IF(AND(D514="Formalização",E514="Concluído"),IF(COUNTIFS($B$2:$B$5001,B514,$E$2:$E$5001,"Em ajustes",$A$2:$A$5001,"&lt;"&amp;I514)&gt;0,1,0),0))</f>
        <v/>
      </c>
      <c r="L514" s="16" t="str">
        <f aca="false">IF(B514="","",IF(A514=_xlfn.MAXIFS($A$2:$A$5001,$B$2:$B$5001,B514,$I$2:$I$5001,I514),1,0))</f>
        <v/>
      </c>
    </row>
    <row r="515" customFormat="false" ht="15" hidden="false" customHeight="false" outlineLevel="0" collapsed="false">
      <c r="I515" s="15" t="str">
        <f aca="false">IF(A515="","",INT(A515))</f>
        <v/>
      </c>
      <c r="J515" s="16" t="str">
        <f aca="false">IF(B515="","",IF(A515=_xlfn.MINIFS($A$2:$A$5001,$B$2:$B$5001,B515),1,0))</f>
        <v/>
      </c>
      <c r="K515" s="16" t="str">
        <f aca="false">IF(B515="","",IF(AND(D515="Formalização",E515="Concluído"),IF(COUNTIFS($B$2:$B$5001,B515,$E$2:$E$5001,"Em ajustes",$A$2:$A$5001,"&lt;"&amp;I515)&gt;0,1,0),0))</f>
        <v/>
      </c>
      <c r="L515" s="16" t="str">
        <f aca="false">IF(B515="","",IF(A515=_xlfn.MAXIFS($A$2:$A$5001,$B$2:$B$5001,B515,$I$2:$I$5001,I515),1,0))</f>
        <v/>
      </c>
    </row>
    <row r="516" customFormat="false" ht="15" hidden="false" customHeight="false" outlineLevel="0" collapsed="false">
      <c r="I516" s="15" t="str">
        <f aca="false">IF(A516="","",INT(A516))</f>
        <v/>
      </c>
      <c r="J516" s="16" t="str">
        <f aca="false">IF(B516="","",IF(A516=_xlfn.MINIFS($A$2:$A$5001,$B$2:$B$5001,B516),1,0))</f>
        <v/>
      </c>
      <c r="K516" s="16" t="str">
        <f aca="false">IF(B516="","",IF(AND(D516="Formalização",E516="Concluído"),IF(COUNTIFS($B$2:$B$5001,B516,$E$2:$E$5001,"Em ajustes",$A$2:$A$5001,"&lt;"&amp;I516)&gt;0,1,0),0))</f>
        <v/>
      </c>
      <c r="L516" s="16" t="str">
        <f aca="false">IF(B516="","",IF(A516=_xlfn.MAXIFS($A$2:$A$5001,$B$2:$B$5001,B516,$I$2:$I$5001,I516),1,0))</f>
        <v/>
      </c>
    </row>
    <row r="517" customFormat="false" ht="15" hidden="false" customHeight="false" outlineLevel="0" collapsed="false">
      <c r="I517" s="15" t="str">
        <f aca="false">IF(A517="","",INT(A517))</f>
        <v/>
      </c>
      <c r="J517" s="16" t="str">
        <f aca="false">IF(B517="","",IF(A517=_xlfn.MINIFS($A$2:$A$5001,$B$2:$B$5001,B517),1,0))</f>
        <v/>
      </c>
      <c r="K517" s="16" t="str">
        <f aca="false">IF(B517="","",IF(AND(D517="Formalização",E517="Concluído"),IF(COUNTIFS($B$2:$B$5001,B517,$E$2:$E$5001,"Em ajustes",$A$2:$A$5001,"&lt;"&amp;I517)&gt;0,1,0),0))</f>
        <v/>
      </c>
      <c r="L517" s="16" t="str">
        <f aca="false">IF(B517="","",IF(A517=_xlfn.MAXIFS($A$2:$A$5001,$B$2:$B$5001,B517,$I$2:$I$5001,I517),1,0))</f>
        <v/>
      </c>
    </row>
    <row r="518" customFormat="false" ht="15" hidden="false" customHeight="false" outlineLevel="0" collapsed="false">
      <c r="I518" s="15" t="str">
        <f aca="false">IF(A518="","",INT(A518))</f>
        <v/>
      </c>
      <c r="J518" s="16" t="str">
        <f aca="false">IF(B518="","",IF(A518=_xlfn.MINIFS($A$2:$A$5001,$B$2:$B$5001,B518),1,0))</f>
        <v/>
      </c>
      <c r="K518" s="16" t="str">
        <f aca="false">IF(B518="","",IF(AND(D518="Formalização",E518="Concluído"),IF(COUNTIFS($B$2:$B$5001,B518,$E$2:$E$5001,"Em ajustes",$A$2:$A$5001,"&lt;"&amp;I518)&gt;0,1,0),0))</f>
        <v/>
      </c>
      <c r="L518" s="16" t="str">
        <f aca="false">IF(B518="","",IF(A518=_xlfn.MAXIFS($A$2:$A$5001,$B$2:$B$5001,B518,$I$2:$I$5001,I518),1,0))</f>
        <v/>
      </c>
    </row>
    <row r="519" customFormat="false" ht="15" hidden="false" customHeight="false" outlineLevel="0" collapsed="false">
      <c r="I519" s="15" t="str">
        <f aca="false">IF(A519="","",INT(A519))</f>
        <v/>
      </c>
      <c r="J519" s="16" t="str">
        <f aca="false">IF(B519="","",IF(A519=_xlfn.MINIFS($A$2:$A$5001,$B$2:$B$5001,B519),1,0))</f>
        <v/>
      </c>
      <c r="K519" s="16" t="str">
        <f aca="false">IF(B519="","",IF(AND(D519="Formalização",E519="Concluído"),IF(COUNTIFS($B$2:$B$5001,B519,$E$2:$E$5001,"Em ajustes",$A$2:$A$5001,"&lt;"&amp;I519)&gt;0,1,0),0))</f>
        <v/>
      </c>
      <c r="L519" s="16" t="str">
        <f aca="false">IF(B519="","",IF(A519=_xlfn.MAXIFS($A$2:$A$5001,$B$2:$B$5001,B519,$I$2:$I$5001,I519),1,0))</f>
        <v/>
      </c>
    </row>
    <row r="520" customFormat="false" ht="15" hidden="false" customHeight="false" outlineLevel="0" collapsed="false">
      <c r="I520" s="15" t="str">
        <f aca="false">IF(A520="","",INT(A520))</f>
        <v/>
      </c>
      <c r="J520" s="16" t="str">
        <f aca="false">IF(B520="","",IF(A520=_xlfn.MINIFS($A$2:$A$5001,$B$2:$B$5001,B520),1,0))</f>
        <v/>
      </c>
      <c r="K520" s="16" t="str">
        <f aca="false">IF(B520="","",IF(AND(D520="Formalização",E520="Concluído"),IF(COUNTIFS($B$2:$B$5001,B520,$E$2:$E$5001,"Em ajustes",$A$2:$A$5001,"&lt;"&amp;I520)&gt;0,1,0),0))</f>
        <v/>
      </c>
      <c r="L520" s="16" t="str">
        <f aca="false">IF(B520="","",IF(A520=_xlfn.MAXIFS($A$2:$A$5001,$B$2:$B$5001,B520,$I$2:$I$5001,I520),1,0))</f>
        <v/>
      </c>
    </row>
    <row r="521" customFormat="false" ht="15" hidden="false" customHeight="false" outlineLevel="0" collapsed="false">
      <c r="I521" s="15" t="str">
        <f aca="false">IF(A521="","",INT(A521))</f>
        <v/>
      </c>
      <c r="J521" s="16" t="str">
        <f aca="false">IF(B521="","",IF(A521=_xlfn.MINIFS($A$2:$A$5001,$B$2:$B$5001,B521),1,0))</f>
        <v/>
      </c>
      <c r="K521" s="16" t="str">
        <f aca="false">IF(B521="","",IF(AND(D521="Formalização",E521="Concluído"),IF(COUNTIFS($B$2:$B$5001,B521,$E$2:$E$5001,"Em ajustes",$A$2:$A$5001,"&lt;"&amp;I521)&gt;0,1,0),0))</f>
        <v/>
      </c>
      <c r="L521" s="16" t="str">
        <f aca="false">IF(B521="","",IF(A521=_xlfn.MAXIFS($A$2:$A$5001,$B$2:$B$5001,B521,$I$2:$I$5001,I521),1,0))</f>
        <v/>
      </c>
    </row>
    <row r="522" customFormat="false" ht="15" hidden="false" customHeight="false" outlineLevel="0" collapsed="false">
      <c r="I522" s="15" t="str">
        <f aca="false">IF(A522="","",INT(A522))</f>
        <v/>
      </c>
      <c r="J522" s="16" t="str">
        <f aca="false">IF(B522="","",IF(A522=_xlfn.MINIFS($A$2:$A$5001,$B$2:$B$5001,B522),1,0))</f>
        <v/>
      </c>
      <c r="K522" s="16" t="str">
        <f aca="false">IF(B522="","",IF(AND(D522="Formalização",E522="Concluído"),IF(COUNTIFS($B$2:$B$5001,B522,$E$2:$E$5001,"Em ajustes",$A$2:$A$5001,"&lt;"&amp;I522)&gt;0,1,0),0))</f>
        <v/>
      </c>
      <c r="L522" s="16" t="str">
        <f aca="false">IF(B522="","",IF(A522=_xlfn.MAXIFS($A$2:$A$5001,$B$2:$B$5001,B522,$I$2:$I$5001,I522),1,0))</f>
        <v/>
      </c>
    </row>
    <row r="523" customFormat="false" ht="15" hidden="false" customHeight="false" outlineLevel="0" collapsed="false">
      <c r="I523" s="15" t="str">
        <f aca="false">IF(A523="","",INT(A523))</f>
        <v/>
      </c>
      <c r="J523" s="16" t="str">
        <f aca="false">IF(B523="","",IF(A523=_xlfn.MINIFS($A$2:$A$5001,$B$2:$B$5001,B523),1,0))</f>
        <v/>
      </c>
      <c r="K523" s="16" t="str">
        <f aca="false">IF(B523="","",IF(AND(D523="Formalização",E523="Concluído"),IF(COUNTIFS($B$2:$B$5001,B523,$E$2:$E$5001,"Em ajustes",$A$2:$A$5001,"&lt;"&amp;I523)&gt;0,1,0),0))</f>
        <v/>
      </c>
      <c r="L523" s="16" t="str">
        <f aca="false">IF(B523="","",IF(A523=_xlfn.MAXIFS($A$2:$A$5001,$B$2:$B$5001,B523,$I$2:$I$5001,I523),1,0))</f>
        <v/>
      </c>
    </row>
    <row r="524" customFormat="false" ht="15" hidden="false" customHeight="false" outlineLevel="0" collapsed="false">
      <c r="I524" s="15" t="str">
        <f aca="false">IF(A524="","",INT(A524))</f>
        <v/>
      </c>
      <c r="J524" s="16" t="str">
        <f aca="false">IF(B524="","",IF(A524=_xlfn.MINIFS($A$2:$A$5001,$B$2:$B$5001,B524),1,0))</f>
        <v/>
      </c>
      <c r="K524" s="16" t="str">
        <f aca="false">IF(B524="","",IF(AND(D524="Formalização",E524="Concluído"),IF(COUNTIFS($B$2:$B$5001,B524,$E$2:$E$5001,"Em ajustes",$A$2:$A$5001,"&lt;"&amp;I524)&gt;0,1,0),0))</f>
        <v/>
      </c>
      <c r="L524" s="16" t="str">
        <f aca="false">IF(B524="","",IF(A524=_xlfn.MAXIFS($A$2:$A$5001,$B$2:$B$5001,B524,$I$2:$I$5001,I524),1,0))</f>
        <v/>
      </c>
    </row>
    <row r="525" customFormat="false" ht="15" hidden="false" customHeight="false" outlineLevel="0" collapsed="false">
      <c r="I525" s="15" t="str">
        <f aca="false">IF(A525="","",INT(A525))</f>
        <v/>
      </c>
      <c r="J525" s="16" t="str">
        <f aca="false">IF(B525="","",IF(A525=_xlfn.MINIFS($A$2:$A$5001,$B$2:$B$5001,B525),1,0))</f>
        <v/>
      </c>
      <c r="K525" s="16" t="str">
        <f aca="false">IF(B525="","",IF(AND(D525="Formalização",E525="Concluído"),IF(COUNTIFS($B$2:$B$5001,B525,$E$2:$E$5001,"Em ajustes",$A$2:$A$5001,"&lt;"&amp;I525)&gt;0,1,0),0))</f>
        <v/>
      </c>
      <c r="L525" s="16" t="str">
        <f aca="false">IF(B525="","",IF(A525=_xlfn.MAXIFS($A$2:$A$5001,$B$2:$B$5001,B525,$I$2:$I$5001,I525),1,0))</f>
        <v/>
      </c>
    </row>
    <row r="526" customFormat="false" ht="15" hidden="false" customHeight="false" outlineLevel="0" collapsed="false">
      <c r="I526" s="15" t="str">
        <f aca="false">IF(A526="","",INT(A526))</f>
        <v/>
      </c>
      <c r="J526" s="16" t="str">
        <f aca="false">IF(B526="","",IF(A526=_xlfn.MINIFS($A$2:$A$5001,$B$2:$B$5001,B526),1,0))</f>
        <v/>
      </c>
      <c r="K526" s="16" t="str">
        <f aca="false">IF(B526="","",IF(AND(D526="Formalização",E526="Concluído"),IF(COUNTIFS($B$2:$B$5001,B526,$E$2:$E$5001,"Em ajustes",$A$2:$A$5001,"&lt;"&amp;I526)&gt;0,1,0),0))</f>
        <v/>
      </c>
      <c r="L526" s="16" t="str">
        <f aca="false">IF(B526="","",IF(A526=_xlfn.MAXIFS($A$2:$A$5001,$B$2:$B$5001,B526,$I$2:$I$5001,I526),1,0))</f>
        <v/>
      </c>
    </row>
    <row r="527" customFormat="false" ht="15" hidden="false" customHeight="false" outlineLevel="0" collapsed="false">
      <c r="I527" s="15" t="str">
        <f aca="false">IF(A527="","",INT(A527))</f>
        <v/>
      </c>
      <c r="J527" s="16" t="str">
        <f aca="false">IF(B527="","",IF(A527=_xlfn.MINIFS($A$2:$A$5001,$B$2:$B$5001,B527),1,0))</f>
        <v/>
      </c>
      <c r="K527" s="16" t="str">
        <f aca="false">IF(B527="","",IF(AND(D527="Formalização",E527="Concluído"),IF(COUNTIFS($B$2:$B$5001,B527,$E$2:$E$5001,"Em ajustes",$A$2:$A$5001,"&lt;"&amp;I527)&gt;0,1,0),0))</f>
        <v/>
      </c>
      <c r="L527" s="16" t="str">
        <f aca="false">IF(B527="","",IF(A527=_xlfn.MAXIFS($A$2:$A$5001,$B$2:$B$5001,B527,$I$2:$I$5001,I527),1,0))</f>
        <v/>
      </c>
    </row>
    <row r="528" customFormat="false" ht="15" hidden="false" customHeight="false" outlineLevel="0" collapsed="false">
      <c r="I528" s="15" t="str">
        <f aca="false">IF(A528="","",INT(A528))</f>
        <v/>
      </c>
      <c r="J528" s="16" t="str">
        <f aca="false">IF(B528="","",IF(A528=_xlfn.MINIFS($A$2:$A$5001,$B$2:$B$5001,B528),1,0))</f>
        <v/>
      </c>
      <c r="K528" s="16" t="str">
        <f aca="false">IF(B528="","",IF(AND(D528="Formalização",E528="Concluído"),IF(COUNTIFS($B$2:$B$5001,B528,$E$2:$E$5001,"Em ajustes",$A$2:$A$5001,"&lt;"&amp;I528)&gt;0,1,0),0))</f>
        <v/>
      </c>
      <c r="L528" s="16" t="str">
        <f aca="false">IF(B528="","",IF(A528=_xlfn.MAXIFS($A$2:$A$5001,$B$2:$B$5001,B528,$I$2:$I$5001,I528),1,0))</f>
        <v/>
      </c>
    </row>
    <row r="529" customFormat="false" ht="15" hidden="false" customHeight="false" outlineLevel="0" collapsed="false">
      <c r="I529" s="15" t="str">
        <f aca="false">IF(A529="","",INT(A529))</f>
        <v/>
      </c>
      <c r="J529" s="16" t="str">
        <f aca="false">IF(B529="","",IF(A529=_xlfn.MINIFS($A$2:$A$5001,$B$2:$B$5001,B529),1,0))</f>
        <v/>
      </c>
      <c r="K529" s="16" t="str">
        <f aca="false">IF(B529="","",IF(AND(D529="Formalização",E529="Concluído"),IF(COUNTIFS($B$2:$B$5001,B529,$E$2:$E$5001,"Em ajustes",$A$2:$A$5001,"&lt;"&amp;I529)&gt;0,1,0),0))</f>
        <v/>
      </c>
      <c r="L529" s="16" t="str">
        <f aca="false">IF(B529="","",IF(A529=_xlfn.MAXIFS($A$2:$A$5001,$B$2:$B$5001,B529,$I$2:$I$5001,I529),1,0))</f>
        <v/>
      </c>
    </row>
    <row r="530" customFormat="false" ht="15" hidden="false" customHeight="false" outlineLevel="0" collapsed="false">
      <c r="I530" s="15" t="str">
        <f aca="false">IF(A530="","",INT(A530))</f>
        <v/>
      </c>
      <c r="J530" s="16" t="str">
        <f aca="false">IF(B530="","",IF(A530=_xlfn.MINIFS($A$2:$A$5001,$B$2:$B$5001,B530),1,0))</f>
        <v/>
      </c>
      <c r="K530" s="16" t="str">
        <f aca="false">IF(B530="","",IF(AND(D530="Formalização",E530="Concluído"),IF(COUNTIFS($B$2:$B$5001,B530,$E$2:$E$5001,"Em ajustes",$A$2:$A$5001,"&lt;"&amp;I530)&gt;0,1,0),0))</f>
        <v/>
      </c>
      <c r="L530" s="16" t="str">
        <f aca="false">IF(B530="","",IF(A530=_xlfn.MAXIFS($A$2:$A$5001,$B$2:$B$5001,B530,$I$2:$I$5001,I530),1,0))</f>
        <v/>
      </c>
    </row>
    <row r="531" customFormat="false" ht="15" hidden="false" customHeight="false" outlineLevel="0" collapsed="false">
      <c r="I531" s="15" t="str">
        <f aca="false">IF(A531="","",INT(A531))</f>
        <v/>
      </c>
      <c r="J531" s="16" t="str">
        <f aca="false">IF(B531="","",IF(A531=_xlfn.MINIFS($A$2:$A$5001,$B$2:$B$5001,B531),1,0))</f>
        <v/>
      </c>
      <c r="K531" s="16" t="str">
        <f aca="false">IF(B531="","",IF(AND(D531="Formalização",E531="Concluído"),IF(COUNTIFS($B$2:$B$5001,B531,$E$2:$E$5001,"Em ajustes",$A$2:$A$5001,"&lt;"&amp;I531)&gt;0,1,0),0))</f>
        <v/>
      </c>
      <c r="L531" s="16" t="str">
        <f aca="false">IF(B531="","",IF(A531=_xlfn.MAXIFS($A$2:$A$5001,$B$2:$B$5001,B531,$I$2:$I$5001,I531),1,0))</f>
        <v/>
      </c>
    </row>
    <row r="532" customFormat="false" ht="15" hidden="false" customHeight="false" outlineLevel="0" collapsed="false">
      <c r="I532" s="15" t="str">
        <f aca="false">IF(A532="","",INT(A532))</f>
        <v/>
      </c>
      <c r="J532" s="16" t="str">
        <f aca="false">IF(B532="","",IF(A532=_xlfn.MINIFS($A$2:$A$5001,$B$2:$B$5001,B532),1,0))</f>
        <v/>
      </c>
      <c r="K532" s="16" t="str">
        <f aca="false">IF(B532="","",IF(AND(D532="Formalização",E532="Concluído"),IF(COUNTIFS($B$2:$B$5001,B532,$E$2:$E$5001,"Em ajustes",$A$2:$A$5001,"&lt;"&amp;I532)&gt;0,1,0),0))</f>
        <v/>
      </c>
      <c r="L532" s="16" t="str">
        <f aca="false">IF(B532="","",IF(A532=_xlfn.MAXIFS($A$2:$A$5001,$B$2:$B$5001,B532,$I$2:$I$5001,I532),1,0))</f>
        <v/>
      </c>
    </row>
    <row r="533" customFormat="false" ht="15" hidden="false" customHeight="false" outlineLevel="0" collapsed="false">
      <c r="I533" s="15" t="str">
        <f aca="false">IF(A533="","",INT(A533))</f>
        <v/>
      </c>
      <c r="J533" s="16" t="str">
        <f aca="false">IF(B533="","",IF(A533=_xlfn.MINIFS($A$2:$A$5001,$B$2:$B$5001,B533),1,0))</f>
        <v/>
      </c>
      <c r="K533" s="16" t="str">
        <f aca="false">IF(B533="","",IF(AND(D533="Formalização",E533="Concluído"),IF(COUNTIFS($B$2:$B$5001,B533,$E$2:$E$5001,"Em ajustes",$A$2:$A$5001,"&lt;"&amp;I533)&gt;0,1,0),0))</f>
        <v/>
      </c>
      <c r="L533" s="16" t="str">
        <f aca="false">IF(B533="","",IF(A533=_xlfn.MAXIFS($A$2:$A$5001,$B$2:$B$5001,B533,$I$2:$I$5001,I533),1,0))</f>
        <v/>
      </c>
    </row>
    <row r="534" customFormat="false" ht="15" hidden="false" customHeight="false" outlineLevel="0" collapsed="false">
      <c r="I534" s="15" t="str">
        <f aca="false">IF(A534="","",INT(A534))</f>
        <v/>
      </c>
      <c r="J534" s="16" t="str">
        <f aca="false">IF(B534="","",IF(A534=_xlfn.MINIFS($A$2:$A$5001,$B$2:$B$5001,B534),1,0))</f>
        <v/>
      </c>
      <c r="K534" s="16" t="str">
        <f aca="false">IF(B534="","",IF(AND(D534="Formalização",E534="Concluído"),IF(COUNTIFS($B$2:$B$5001,B534,$E$2:$E$5001,"Em ajustes",$A$2:$A$5001,"&lt;"&amp;I534)&gt;0,1,0),0))</f>
        <v/>
      </c>
      <c r="L534" s="16" t="str">
        <f aca="false">IF(B534="","",IF(A534=_xlfn.MAXIFS($A$2:$A$5001,$B$2:$B$5001,B534,$I$2:$I$5001,I534),1,0))</f>
        <v/>
      </c>
    </row>
    <row r="535" customFormat="false" ht="15" hidden="false" customHeight="false" outlineLevel="0" collapsed="false">
      <c r="I535" s="15" t="str">
        <f aca="false">IF(A535="","",INT(A535))</f>
        <v/>
      </c>
      <c r="J535" s="16" t="str">
        <f aca="false">IF(B535="","",IF(A535=_xlfn.MINIFS($A$2:$A$5001,$B$2:$B$5001,B535),1,0))</f>
        <v/>
      </c>
      <c r="K535" s="16" t="str">
        <f aca="false">IF(B535="","",IF(AND(D535="Formalização",E535="Concluído"),IF(COUNTIFS($B$2:$B$5001,B535,$E$2:$E$5001,"Em ajustes",$A$2:$A$5001,"&lt;"&amp;I535)&gt;0,1,0),0))</f>
        <v/>
      </c>
      <c r="L535" s="16" t="str">
        <f aca="false">IF(B535="","",IF(A535=_xlfn.MAXIFS($A$2:$A$5001,$B$2:$B$5001,B535,$I$2:$I$5001,I535),1,0))</f>
        <v/>
      </c>
    </row>
    <row r="536" customFormat="false" ht="15" hidden="false" customHeight="false" outlineLevel="0" collapsed="false">
      <c r="I536" s="15" t="str">
        <f aca="false">IF(A536="","",INT(A536))</f>
        <v/>
      </c>
      <c r="J536" s="16" t="str">
        <f aca="false">IF(B536="","",IF(A536=_xlfn.MINIFS($A$2:$A$5001,$B$2:$B$5001,B536),1,0))</f>
        <v/>
      </c>
      <c r="K536" s="16" t="str">
        <f aca="false">IF(B536="","",IF(AND(D536="Formalização",E536="Concluído"),IF(COUNTIFS($B$2:$B$5001,B536,$E$2:$E$5001,"Em ajustes",$A$2:$A$5001,"&lt;"&amp;I536)&gt;0,1,0),0))</f>
        <v/>
      </c>
      <c r="L536" s="16" t="str">
        <f aca="false">IF(B536="","",IF(A536=_xlfn.MAXIFS($A$2:$A$5001,$B$2:$B$5001,B536,$I$2:$I$5001,I536),1,0))</f>
        <v/>
      </c>
    </row>
    <row r="537" customFormat="false" ht="15" hidden="false" customHeight="false" outlineLevel="0" collapsed="false">
      <c r="I537" s="15" t="str">
        <f aca="false">IF(A537="","",INT(A537))</f>
        <v/>
      </c>
      <c r="J537" s="16" t="str">
        <f aca="false">IF(B537="","",IF(A537=_xlfn.MINIFS($A$2:$A$5001,$B$2:$B$5001,B537),1,0))</f>
        <v/>
      </c>
      <c r="K537" s="16" t="str">
        <f aca="false">IF(B537="","",IF(AND(D537="Formalização",E537="Concluído"),IF(COUNTIFS($B$2:$B$5001,B537,$E$2:$E$5001,"Em ajustes",$A$2:$A$5001,"&lt;"&amp;I537)&gt;0,1,0),0))</f>
        <v/>
      </c>
      <c r="L537" s="16" t="str">
        <f aca="false">IF(B537="","",IF(A537=_xlfn.MAXIFS($A$2:$A$5001,$B$2:$B$5001,B537,$I$2:$I$5001,I537),1,0))</f>
        <v/>
      </c>
    </row>
    <row r="538" customFormat="false" ht="15" hidden="false" customHeight="false" outlineLevel="0" collapsed="false">
      <c r="I538" s="15" t="str">
        <f aca="false">IF(A538="","",INT(A538))</f>
        <v/>
      </c>
      <c r="J538" s="16" t="str">
        <f aca="false">IF(B538="","",IF(A538=_xlfn.MINIFS($A$2:$A$5001,$B$2:$B$5001,B538),1,0))</f>
        <v/>
      </c>
      <c r="K538" s="16" t="str">
        <f aca="false">IF(B538="","",IF(AND(D538="Formalização",E538="Concluído"),IF(COUNTIFS($B$2:$B$5001,B538,$E$2:$E$5001,"Em ajustes",$A$2:$A$5001,"&lt;"&amp;I538)&gt;0,1,0),0))</f>
        <v/>
      </c>
      <c r="L538" s="16" t="str">
        <f aca="false">IF(B538="","",IF(A538=_xlfn.MAXIFS($A$2:$A$5001,$B$2:$B$5001,B538,$I$2:$I$5001,I538),1,0))</f>
        <v/>
      </c>
    </row>
    <row r="539" customFormat="false" ht="15" hidden="false" customHeight="false" outlineLevel="0" collapsed="false">
      <c r="I539" s="15" t="str">
        <f aca="false">IF(A539="","",INT(A539))</f>
        <v/>
      </c>
      <c r="J539" s="16" t="str">
        <f aca="false">IF(B539="","",IF(A539=_xlfn.MINIFS($A$2:$A$5001,$B$2:$B$5001,B539),1,0))</f>
        <v/>
      </c>
      <c r="K539" s="16" t="str">
        <f aca="false">IF(B539="","",IF(AND(D539="Formalização",E539="Concluído"),IF(COUNTIFS($B$2:$B$5001,B539,$E$2:$E$5001,"Em ajustes",$A$2:$A$5001,"&lt;"&amp;I539)&gt;0,1,0),0))</f>
        <v/>
      </c>
      <c r="L539" s="16" t="str">
        <f aca="false">IF(B539="","",IF(A539=_xlfn.MAXIFS($A$2:$A$5001,$B$2:$B$5001,B539,$I$2:$I$5001,I539),1,0))</f>
        <v/>
      </c>
    </row>
    <row r="540" customFormat="false" ht="15" hidden="false" customHeight="false" outlineLevel="0" collapsed="false">
      <c r="I540" s="15" t="str">
        <f aca="false">IF(A540="","",INT(A540))</f>
        <v/>
      </c>
      <c r="J540" s="16" t="str">
        <f aca="false">IF(B540="","",IF(A540=_xlfn.MINIFS($A$2:$A$5001,$B$2:$B$5001,B540),1,0))</f>
        <v/>
      </c>
      <c r="K540" s="16" t="str">
        <f aca="false">IF(B540="","",IF(AND(D540="Formalização",E540="Concluído"),IF(COUNTIFS($B$2:$B$5001,B540,$E$2:$E$5001,"Em ajustes",$A$2:$A$5001,"&lt;"&amp;I540)&gt;0,1,0),0))</f>
        <v/>
      </c>
      <c r="L540" s="16" t="str">
        <f aca="false">IF(B540="","",IF(A540=_xlfn.MAXIFS($A$2:$A$5001,$B$2:$B$5001,B540,$I$2:$I$5001,I540),1,0))</f>
        <v/>
      </c>
    </row>
    <row r="541" customFormat="false" ht="15" hidden="false" customHeight="false" outlineLevel="0" collapsed="false">
      <c r="I541" s="15" t="str">
        <f aca="false">IF(A541="","",INT(A541))</f>
        <v/>
      </c>
      <c r="J541" s="16" t="str">
        <f aca="false">IF(B541="","",IF(A541=_xlfn.MINIFS($A$2:$A$5001,$B$2:$B$5001,B541),1,0))</f>
        <v/>
      </c>
      <c r="K541" s="16" t="str">
        <f aca="false">IF(B541="","",IF(AND(D541="Formalização",E541="Concluído"),IF(COUNTIFS($B$2:$B$5001,B541,$E$2:$E$5001,"Em ajustes",$A$2:$A$5001,"&lt;"&amp;I541)&gt;0,1,0),0))</f>
        <v/>
      </c>
      <c r="L541" s="16" t="str">
        <f aca="false">IF(B541="","",IF(A541=_xlfn.MAXIFS($A$2:$A$5001,$B$2:$B$5001,B541,$I$2:$I$5001,I541),1,0))</f>
        <v/>
      </c>
    </row>
    <row r="542" customFormat="false" ht="15" hidden="false" customHeight="false" outlineLevel="0" collapsed="false">
      <c r="I542" s="15" t="str">
        <f aca="false">IF(A542="","",INT(A542))</f>
        <v/>
      </c>
      <c r="J542" s="16" t="str">
        <f aca="false">IF(B542="","",IF(A542=_xlfn.MINIFS($A$2:$A$5001,$B$2:$B$5001,B542),1,0))</f>
        <v/>
      </c>
      <c r="K542" s="16" t="str">
        <f aca="false">IF(B542="","",IF(AND(D542="Formalização",E542="Concluído"),IF(COUNTIFS($B$2:$B$5001,B542,$E$2:$E$5001,"Em ajustes",$A$2:$A$5001,"&lt;"&amp;I542)&gt;0,1,0),0))</f>
        <v/>
      </c>
      <c r="L542" s="16" t="str">
        <f aca="false">IF(B542="","",IF(A542=_xlfn.MAXIFS($A$2:$A$5001,$B$2:$B$5001,B542,$I$2:$I$5001,I542),1,0))</f>
        <v/>
      </c>
    </row>
    <row r="543" customFormat="false" ht="15" hidden="false" customHeight="false" outlineLevel="0" collapsed="false">
      <c r="I543" s="15" t="str">
        <f aca="false">IF(A543="","",INT(A543))</f>
        <v/>
      </c>
      <c r="J543" s="16" t="str">
        <f aca="false">IF(B543="","",IF(A543=_xlfn.MINIFS($A$2:$A$5001,$B$2:$B$5001,B543),1,0))</f>
        <v/>
      </c>
      <c r="K543" s="16" t="str">
        <f aca="false">IF(B543="","",IF(AND(D543="Formalização",E543="Concluído"),IF(COUNTIFS($B$2:$B$5001,B543,$E$2:$E$5001,"Em ajustes",$A$2:$A$5001,"&lt;"&amp;I543)&gt;0,1,0),0))</f>
        <v/>
      </c>
      <c r="L543" s="16" t="str">
        <f aca="false">IF(B543="","",IF(A543=_xlfn.MAXIFS($A$2:$A$5001,$B$2:$B$5001,B543,$I$2:$I$5001,I543),1,0))</f>
        <v/>
      </c>
    </row>
    <row r="544" customFormat="false" ht="15" hidden="false" customHeight="false" outlineLevel="0" collapsed="false">
      <c r="I544" s="15" t="str">
        <f aca="false">IF(A544="","",INT(A544))</f>
        <v/>
      </c>
      <c r="J544" s="16" t="str">
        <f aca="false">IF(B544="","",IF(A544=_xlfn.MINIFS($A$2:$A$5001,$B$2:$B$5001,B544),1,0))</f>
        <v/>
      </c>
      <c r="K544" s="16" t="str">
        <f aca="false">IF(B544="","",IF(AND(D544="Formalização",E544="Concluído"),IF(COUNTIFS($B$2:$B$5001,B544,$E$2:$E$5001,"Em ajustes",$A$2:$A$5001,"&lt;"&amp;I544)&gt;0,1,0),0))</f>
        <v/>
      </c>
      <c r="L544" s="16" t="str">
        <f aca="false">IF(B544="","",IF(A544=_xlfn.MAXIFS($A$2:$A$5001,$B$2:$B$5001,B544,$I$2:$I$5001,I544),1,0))</f>
        <v/>
      </c>
    </row>
    <row r="545" customFormat="false" ht="15" hidden="false" customHeight="false" outlineLevel="0" collapsed="false">
      <c r="I545" s="15" t="str">
        <f aca="false">IF(A545="","",INT(A545))</f>
        <v/>
      </c>
      <c r="J545" s="16" t="str">
        <f aca="false">IF(B545="","",IF(A545=_xlfn.MINIFS($A$2:$A$5001,$B$2:$B$5001,B545),1,0))</f>
        <v/>
      </c>
      <c r="K545" s="16" t="str">
        <f aca="false">IF(B545="","",IF(AND(D545="Formalização",E545="Concluído"),IF(COUNTIFS($B$2:$B$5001,B545,$E$2:$E$5001,"Em ajustes",$A$2:$A$5001,"&lt;"&amp;I545)&gt;0,1,0),0))</f>
        <v/>
      </c>
      <c r="L545" s="16" t="str">
        <f aca="false">IF(B545="","",IF(A545=_xlfn.MAXIFS($A$2:$A$5001,$B$2:$B$5001,B545,$I$2:$I$5001,I545),1,0))</f>
        <v/>
      </c>
    </row>
    <row r="546" customFormat="false" ht="15" hidden="false" customHeight="false" outlineLevel="0" collapsed="false">
      <c r="I546" s="15" t="str">
        <f aca="false">IF(A546="","",INT(A546))</f>
        <v/>
      </c>
      <c r="J546" s="16" t="str">
        <f aca="false">IF(B546="","",IF(A546=_xlfn.MINIFS($A$2:$A$5001,$B$2:$B$5001,B546),1,0))</f>
        <v/>
      </c>
      <c r="K546" s="16" t="str">
        <f aca="false">IF(B546="","",IF(AND(D546="Formalização",E546="Concluído"),IF(COUNTIFS($B$2:$B$5001,B546,$E$2:$E$5001,"Em ajustes",$A$2:$A$5001,"&lt;"&amp;I546)&gt;0,1,0),0))</f>
        <v/>
      </c>
      <c r="L546" s="16" t="str">
        <f aca="false">IF(B546="","",IF(A546=_xlfn.MAXIFS($A$2:$A$5001,$B$2:$B$5001,B546,$I$2:$I$5001,I546),1,0))</f>
        <v/>
      </c>
    </row>
    <row r="547" customFormat="false" ht="15" hidden="false" customHeight="false" outlineLevel="0" collapsed="false">
      <c r="I547" s="15" t="str">
        <f aca="false">IF(A547="","",INT(A547))</f>
        <v/>
      </c>
      <c r="J547" s="16" t="str">
        <f aca="false">IF(B547="","",IF(A547=_xlfn.MINIFS($A$2:$A$5001,$B$2:$B$5001,B547),1,0))</f>
        <v/>
      </c>
      <c r="K547" s="16" t="str">
        <f aca="false">IF(B547="","",IF(AND(D547="Formalização",E547="Concluído"),IF(COUNTIFS($B$2:$B$5001,B547,$E$2:$E$5001,"Em ajustes",$A$2:$A$5001,"&lt;"&amp;I547)&gt;0,1,0),0))</f>
        <v/>
      </c>
      <c r="L547" s="16" t="str">
        <f aca="false">IF(B547="","",IF(A547=_xlfn.MAXIFS($A$2:$A$5001,$B$2:$B$5001,B547,$I$2:$I$5001,I547),1,0))</f>
        <v/>
      </c>
    </row>
    <row r="548" customFormat="false" ht="15" hidden="false" customHeight="false" outlineLevel="0" collapsed="false">
      <c r="I548" s="15" t="str">
        <f aca="false">IF(A548="","",INT(A548))</f>
        <v/>
      </c>
      <c r="J548" s="16" t="str">
        <f aca="false">IF(B548="","",IF(A548=_xlfn.MINIFS($A$2:$A$5001,$B$2:$B$5001,B548),1,0))</f>
        <v/>
      </c>
      <c r="K548" s="16" t="str">
        <f aca="false">IF(B548="","",IF(AND(D548="Formalização",E548="Concluído"),IF(COUNTIFS($B$2:$B$5001,B548,$E$2:$E$5001,"Em ajustes",$A$2:$A$5001,"&lt;"&amp;I548)&gt;0,1,0),0))</f>
        <v/>
      </c>
      <c r="L548" s="16" t="str">
        <f aca="false">IF(B548="","",IF(A548=_xlfn.MAXIFS($A$2:$A$5001,$B$2:$B$5001,B548,$I$2:$I$5001,I548),1,0))</f>
        <v/>
      </c>
    </row>
    <row r="549" customFormat="false" ht="15" hidden="false" customHeight="false" outlineLevel="0" collapsed="false">
      <c r="I549" s="15" t="str">
        <f aca="false">IF(A549="","",INT(A549))</f>
        <v/>
      </c>
      <c r="J549" s="16" t="str">
        <f aca="false">IF(B549="","",IF(A549=_xlfn.MINIFS($A$2:$A$5001,$B$2:$B$5001,B549),1,0))</f>
        <v/>
      </c>
      <c r="K549" s="16" t="str">
        <f aca="false">IF(B549="","",IF(AND(D549="Formalização",E549="Concluído"),IF(COUNTIFS($B$2:$B$5001,B549,$E$2:$E$5001,"Em ajustes",$A$2:$A$5001,"&lt;"&amp;I549)&gt;0,1,0),0))</f>
        <v/>
      </c>
      <c r="L549" s="16" t="str">
        <f aca="false">IF(B549="","",IF(A549=_xlfn.MAXIFS($A$2:$A$5001,$B$2:$B$5001,B549,$I$2:$I$5001,I549),1,0))</f>
        <v/>
      </c>
    </row>
    <row r="550" customFormat="false" ht="15" hidden="false" customHeight="false" outlineLevel="0" collapsed="false">
      <c r="I550" s="15" t="str">
        <f aca="false">IF(A550="","",INT(A550))</f>
        <v/>
      </c>
      <c r="J550" s="16" t="str">
        <f aca="false">IF(B550="","",IF(A550=_xlfn.MINIFS($A$2:$A$5001,$B$2:$B$5001,B550),1,0))</f>
        <v/>
      </c>
      <c r="K550" s="16" t="str">
        <f aca="false">IF(B550="","",IF(AND(D550="Formalização",E550="Concluído"),IF(COUNTIFS($B$2:$B$5001,B550,$E$2:$E$5001,"Em ajustes",$A$2:$A$5001,"&lt;"&amp;I550)&gt;0,1,0),0))</f>
        <v/>
      </c>
      <c r="L550" s="16" t="str">
        <f aca="false">IF(B550="","",IF(A550=_xlfn.MAXIFS($A$2:$A$5001,$B$2:$B$5001,B550,$I$2:$I$5001,I550),1,0))</f>
        <v/>
      </c>
    </row>
    <row r="551" customFormat="false" ht="15" hidden="false" customHeight="false" outlineLevel="0" collapsed="false">
      <c r="I551" s="15" t="str">
        <f aca="false">IF(A551="","",INT(A551))</f>
        <v/>
      </c>
      <c r="J551" s="16" t="str">
        <f aca="false">IF(B551="","",IF(A551=_xlfn.MINIFS($A$2:$A$5001,$B$2:$B$5001,B551),1,0))</f>
        <v/>
      </c>
      <c r="K551" s="16" t="str">
        <f aca="false">IF(B551="","",IF(AND(D551="Formalização",E551="Concluído"),IF(COUNTIFS($B$2:$B$5001,B551,$E$2:$E$5001,"Em ajustes",$A$2:$A$5001,"&lt;"&amp;I551)&gt;0,1,0),0))</f>
        <v/>
      </c>
      <c r="L551" s="16" t="str">
        <f aca="false">IF(B551="","",IF(A551=_xlfn.MAXIFS($A$2:$A$5001,$B$2:$B$5001,B551,$I$2:$I$5001,I551),1,0))</f>
        <v/>
      </c>
    </row>
    <row r="552" customFormat="false" ht="15" hidden="false" customHeight="false" outlineLevel="0" collapsed="false">
      <c r="I552" s="15" t="str">
        <f aca="false">IF(A552="","",INT(A552))</f>
        <v/>
      </c>
      <c r="J552" s="16" t="str">
        <f aca="false">IF(B552="","",IF(A552=_xlfn.MINIFS($A$2:$A$5001,$B$2:$B$5001,B552),1,0))</f>
        <v/>
      </c>
      <c r="K552" s="16" t="str">
        <f aca="false">IF(B552="","",IF(AND(D552="Formalização",E552="Concluído"),IF(COUNTIFS($B$2:$B$5001,B552,$E$2:$E$5001,"Em ajustes",$A$2:$A$5001,"&lt;"&amp;I552)&gt;0,1,0),0))</f>
        <v/>
      </c>
      <c r="L552" s="16" t="str">
        <f aca="false">IF(B552="","",IF(A552=_xlfn.MAXIFS($A$2:$A$5001,$B$2:$B$5001,B552,$I$2:$I$5001,I552),1,0))</f>
        <v/>
      </c>
    </row>
    <row r="553" customFormat="false" ht="15" hidden="false" customHeight="false" outlineLevel="0" collapsed="false">
      <c r="I553" s="15" t="str">
        <f aca="false">IF(A553="","",INT(A553))</f>
        <v/>
      </c>
      <c r="J553" s="16" t="str">
        <f aca="false">IF(B553="","",IF(A553=_xlfn.MINIFS($A$2:$A$5001,$B$2:$B$5001,B553),1,0))</f>
        <v/>
      </c>
      <c r="K553" s="16" t="str">
        <f aca="false">IF(B553="","",IF(AND(D553="Formalização",E553="Concluído"),IF(COUNTIFS($B$2:$B$5001,B553,$E$2:$E$5001,"Em ajustes",$A$2:$A$5001,"&lt;"&amp;I553)&gt;0,1,0),0))</f>
        <v/>
      </c>
      <c r="L553" s="16" t="str">
        <f aca="false">IF(B553="","",IF(A553=_xlfn.MAXIFS($A$2:$A$5001,$B$2:$B$5001,B553,$I$2:$I$5001,I553),1,0))</f>
        <v/>
      </c>
    </row>
    <row r="554" customFormat="false" ht="15" hidden="false" customHeight="false" outlineLevel="0" collapsed="false">
      <c r="I554" s="15" t="str">
        <f aca="false">IF(A554="","",INT(A554))</f>
        <v/>
      </c>
      <c r="J554" s="16" t="str">
        <f aca="false">IF(B554="","",IF(A554=_xlfn.MINIFS($A$2:$A$5001,$B$2:$B$5001,B554),1,0))</f>
        <v/>
      </c>
      <c r="K554" s="16" t="str">
        <f aca="false">IF(B554="","",IF(AND(D554="Formalização",E554="Concluído"),IF(COUNTIFS($B$2:$B$5001,B554,$E$2:$E$5001,"Em ajustes",$A$2:$A$5001,"&lt;"&amp;I554)&gt;0,1,0),0))</f>
        <v/>
      </c>
      <c r="L554" s="16" t="str">
        <f aca="false">IF(B554="","",IF(A554=_xlfn.MAXIFS($A$2:$A$5001,$B$2:$B$5001,B554,$I$2:$I$5001,I554),1,0))</f>
        <v/>
      </c>
    </row>
    <row r="555" customFormat="false" ht="15" hidden="false" customHeight="false" outlineLevel="0" collapsed="false">
      <c r="I555" s="15" t="str">
        <f aca="false">IF(A555="","",INT(A555))</f>
        <v/>
      </c>
      <c r="J555" s="16" t="str">
        <f aca="false">IF(B555="","",IF(A555=_xlfn.MINIFS($A$2:$A$5001,$B$2:$B$5001,B555),1,0))</f>
        <v/>
      </c>
      <c r="K555" s="16" t="str">
        <f aca="false">IF(B555="","",IF(AND(D555="Formalização",E555="Concluído"),IF(COUNTIFS($B$2:$B$5001,B555,$E$2:$E$5001,"Em ajustes",$A$2:$A$5001,"&lt;"&amp;I555)&gt;0,1,0),0))</f>
        <v/>
      </c>
      <c r="L555" s="16" t="str">
        <f aca="false">IF(B555="","",IF(A555=_xlfn.MAXIFS($A$2:$A$5001,$B$2:$B$5001,B555,$I$2:$I$5001,I555),1,0))</f>
        <v/>
      </c>
    </row>
    <row r="556" customFormat="false" ht="15" hidden="false" customHeight="false" outlineLevel="0" collapsed="false">
      <c r="I556" s="15" t="str">
        <f aca="false">IF(A556="","",INT(A556))</f>
        <v/>
      </c>
      <c r="J556" s="16" t="str">
        <f aca="false">IF(B556="","",IF(A556=_xlfn.MINIFS($A$2:$A$5001,$B$2:$B$5001,B556),1,0))</f>
        <v/>
      </c>
      <c r="K556" s="16" t="str">
        <f aca="false">IF(B556="","",IF(AND(D556="Formalização",E556="Concluído"),IF(COUNTIFS($B$2:$B$5001,B556,$E$2:$E$5001,"Em ajustes",$A$2:$A$5001,"&lt;"&amp;I556)&gt;0,1,0),0))</f>
        <v/>
      </c>
      <c r="L556" s="16" t="str">
        <f aca="false">IF(B556="","",IF(A556=_xlfn.MAXIFS($A$2:$A$5001,$B$2:$B$5001,B556,$I$2:$I$5001,I556),1,0))</f>
        <v/>
      </c>
    </row>
    <row r="557" customFormat="false" ht="15" hidden="false" customHeight="false" outlineLevel="0" collapsed="false">
      <c r="I557" s="15" t="str">
        <f aca="false">IF(A557="","",INT(A557))</f>
        <v/>
      </c>
      <c r="J557" s="16" t="str">
        <f aca="false">IF(B557="","",IF(A557=_xlfn.MINIFS($A$2:$A$5001,$B$2:$B$5001,B557),1,0))</f>
        <v/>
      </c>
      <c r="K557" s="16" t="str">
        <f aca="false">IF(B557="","",IF(AND(D557="Formalização",E557="Concluído"),IF(COUNTIFS($B$2:$B$5001,B557,$E$2:$E$5001,"Em ajustes",$A$2:$A$5001,"&lt;"&amp;I557)&gt;0,1,0),0))</f>
        <v/>
      </c>
      <c r="L557" s="16" t="str">
        <f aca="false">IF(B557="","",IF(A557=_xlfn.MAXIFS($A$2:$A$5001,$B$2:$B$5001,B557,$I$2:$I$5001,I557),1,0))</f>
        <v/>
      </c>
    </row>
    <row r="558" customFormat="false" ht="15" hidden="false" customHeight="false" outlineLevel="0" collapsed="false">
      <c r="I558" s="15" t="str">
        <f aca="false">IF(A558="","",INT(A558))</f>
        <v/>
      </c>
      <c r="J558" s="16" t="str">
        <f aca="false">IF(B558="","",IF(A558=_xlfn.MINIFS($A$2:$A$5001,$B$2:$B$5001,B558),1,0))</f>
        <v/>
      </c>
      <c r="K558" s="16" t="str">
        <f aca="false">IF(B558="","",IF(AND(D558="Formalização",E558="Concluído"),IF(COUNTIFS($B$2:$B$5001,B558,$E$2:$E$5001,"Em ajustes",$A$2:$A$5001,"&lt;"&amp;I558)&gt;0,1,0),0))</f>
        <v/>
      </c>
      <c r="L558" s="16" t="str">
        <f aca="false">IF(B558="","",IF(A558=_xlfn.MAXIFS($A$2:$A$5001,$B$2:$B$5001,B558,$I$2:$I$5001,I558),1,0))</f>
        <v/>
      </c>
    </row>
    <row r="559" customFormat="false" ht="15" hidden="false" customHeight="false" outlineLevel="0" collapsed="false">
      <c r="I559" s="15" t="str">
        <f aca="false">IF(A559="","",INT(A559))</f>
        <v/>
      </c>
      <c r="J559" s="16" t="str">
        <f aca="false">IF(B559="","",IF(A559=_xlfn.MINIFS($A$2:$A$5001,$B$2:$B$5001,B559),1,0))</f>
        <v/>
      </c>
      <c r="K559" s="16" t="str">
        <f aca="false">IF(B559="","",IF(AND(D559="Formalização",E559="Concluído"),IF(COUNTIFS($B$2:$B$5001,B559,$E$2:$E$5001,"Em ajustes",$A$2:$A$5001,"&lt;"&amp;I559)&gt;0,1,0),0))</f>
        <v/>
      </c>
      <c r="L559" s="16" t="str">
        <f aca="false">IF(B559="","",IF(A559=_xlfn.MAXIFS($A$2:$A$5001,$B$2:$B$5001,B559,$I$2:$I$5001,I559),1,0))</f>
        <v/>
      </c>
    </row>
    <row r="560" customFormat="false" ht="15" hidden="false" customHeight="false" outlineLevel="0" collapsed="false">
      <c r="I560" s="15" t="str">
        <f aca="false">IF(A560="","",INT(A560))</f>
        <v/>
      </c>
      <c r="J560" s="16" t="str">
        <f aca="false">IF(B560="","",IF(A560=_xlfn.MINIFS($A$2:$A$5001,$B$2:$B$5001,B560),1,0))</f>
        <v/>
      </c>
      <c r="K560" s="16" t="str">
        <f aca="false">IF(B560="","",IF(AND(D560="Formalização",E560="Concluído"),IF(COUNTIFS($B$2:$B$5001,B560,$E$2:$E$5001,"Em ajustes",$A$2:$A$5001,"&lt;"&amp;I560)&gt;0,1,0),0))</f>
        <v/>
      </c>
      <c r="L560" s="16" t="str">
        <f aca="false">IF(B560="","",IF(A560=_xlfn.MAXIFS($A$2:$A$5001,$B$2:$B$5001,B560,$I$2:$I$5001,I560),1,0))</f>
        <v/>
      </c>
    </row>
    <row r="561" customFormat="false" ht="15" hidden="false" customHeight="false" outlineLevel="0" collapsed="false">
      <c r="I561" s="15" t="str">
        <f aca="false">IF(A561="","",INT(A561))</f>
        <v/>
      </c>
      <c r="J561" s="16" t="str">
        <f aca="false">IF(B561="","",IF(A561=_xlfn.MINIFS($A$2:$A$5001,$B$2:$B$5001,B561),1,0))</f>
        <v/>
      </c>
      <c r="K561" s="16" t="str">
        <f aca="false">IF(B561="","",IF(AND(D561="Formalização",E561="Concluído"),IF(COUNTIFS($B$2:$B$5001,B561,$E$2:$E$5001,"Em ajustes",$A$2:$A$5001,"&lt;"&amp;I561)&gt;0,1,0),0))</f>
        <v/>
      </c>
      <c r="L561" s="16" t="str">
        <f aca="false">IF(B561="","",IF(A561=_xlfn.MAXIFS($A$2:$A$5001,$B$2:$B$5001,B561,$I$2:$I$5001,I561),1,0))</f>
        <v/>
      </c>
    </row>
    <row r="562" customFormat="false" ht="15" hidden="false" customHeight="false" outlineLevel="0" collapsed="false">
      <c r="I562" s="15" t="str">
        <f aca="false">IF(A562="","",INT(A562))</f>
        <v/>
      </c>
      <c r="J562" s="16" t="str">
        <f aca="false">IF(B562="","",IF(A562=_xlfn.MINIFS($A$2:$A$5001,$B$2:$B$5001,B562),1,0))</f>
        <v/>
      </c>
      <c r="K562" s="16" t="str">
        <f aca="false">IF(B562="","",IF(AND(D562="Formalização",E562="Concluído"),IF(COUNTIFS($B$2:$B$5001,B562,$E$2:$E$5001,"Em ajustes",$A$2:$A$5001,"&lt;"&amp;I562)&gt;0,1,0),0))</f>
        <v/>
      </c>
      <c r="L562" s="16" t="str">
        <f aca="false">IF(B562="","",IF(A562=_xlfn.MAXIFS($A$2:$A$5001,$B$2:$B$5001,B562,$I$2:$I$5001,I562),1,0))</f>
        <v/>
      </c>
    </row>
    <row r="563" customFormat="false" ht="15" hidden="false" customHeight="false" outlineLevel="0" collapsed="false">
      <c r="I563" s="15" t="str">
        <f aca="false">IF(A563="","",INT(A563))</f>
        <v/>
      </c>
      <c r="J563" s="16" t="str">
        <f aca="false">IF(B563="","",IF(A563=_xlfn.MINIFS($A$2:$A$5001,$B$2:$B$5001,B563),1,0))</f>
        <v/>
      </c>
      <c r="K563" s="16" t="str">
        <f aca="false">IF(B563="","",IF(AND(D563="Formalização",E563="Concluído"),IF(COUNTIFS($B$2:$B$5001,B563,$E$2:$E$5001,"Em ajustes",$A$2:$A$5001,"&lt;"&amp;I563)&gt;0,1,0),0))</f>
        <v/>
      </c>
      <c r="L563" s="16" t="str">
        <f aca="false">IF(B563="","",IF(A563=_xlfn.MAXIFS($A$2:$A$5001,$B$2:$B$5001,B563,$I$2:$I$5001,I563),1,0))</f>
        <v/>
      </c>
    </row>
    <row r="564" customFormat="false" ht="15" hidden="false" customHeight="false" outlineLevel="0" collapsed="false">
      <c r="I564" s="15" t="str">
        <f aca="false">IF(A564="","",INT(A564))</f>
        <v/>
      </c>
      <c r="J564" s="16" t="str">
        <f aca="false">IF(B564="","",IF(A564=_xlfn.MINIFS($A$2:$A$5001,$B$2:$B$5001,B564),1,0))</f>
        <v/>
      </c>
      <c r="K564" s="16" t="str">
        <f aca="false">IF(B564="","",IF(AND(D564="Formalização",E564="Concluído"),IF(COUNTIFS($B$2:$B$5001,B564,$E$2:$E$5001,"Em ajustes",$A$2:$A$5001,"&lt;"&amp;I564)&gt;0,1,0),0))</f>
        <v/>
      </c>
      <c r="L564" s="16" t="str">
        <f aca="false">IF(B564="","",IF(A564=_xlfn.MAXIFS($A$2:$A$5001,$B$2:$B$5001,B564,$I$2:$I$5001,I564),1,0))</f>
        <v/>
      </c>
    </row>
    <row r="565" customFormat="false" ht="15" hidden="false" customHeight="false" outlineLevel="0" collapsed="false">
      <c r="I565" s="15" t="str">
        <f aca="false">IF(A565="","",INT(A565))</f>
        <v/>
      </c>
      <c r="J565" s="16" t="str">
        <f aca="false">IF(B565="","",IF(A565=_xlfn.MINIFS($A$2:$A$5001,$B$2:$B$5001,B565),1,0))</f>
        <v/>
      </c>
      <c r="K565" s="16" t="str">
        <f aca="false">IF(B565="","",IF(AND(D565="Formalização",E565="Concluído"),IF(COUNTIFS($B$2:$B$5001,B565,$E$2:$E$5001,"Em ajustes",$A$2:$A$5001,"&lt;"&amp;I565)&gt;0,1,0),0))</f>
        <v/>
      </c>
      <c r="L565" s="16" t="str">
        <f aca="false">IF(B565="","",IF(A565=_xlfn.MAXIFS($A$2:$A$5001,$B$2:$B$5001,B565,$I$2:$I$5001,I565),1,0))</f>
        <v/>
      </c>
    </row>
    <row r="566" customFormat="false" ht="15" hidden="false" customHeight="false" outlineLevel="0" collapsed="false">
      <c r="I566" s="15" t="str">
        <f aca="false">IF(A566="","",INT(A566))</f>
        <v/>
      </c>
      <c r="J566" s="16" t="str">
        <f aca="false">IF(B566="","",IF(A566=_xlfn.MINIFS($A$2:$A$5001,$B$2:$B$5001,B566),1,0))</f>
        <v/>
      </c>
      <c r="K566" s="16" t="str">
        <f aca="false">IF(B566="","",IF(AND(D566="Formalização",E566="Concluído"),IF(COUNTIFS($B$2:$B$5001,B566,$E$2:$E$5001,"Em ajustes",$A$2:$A$5001,"&lt;"&amp;I566)&gt;0,1,0),0))</f>
        <v/>
      </c>
      <c r="L566" s="16" t="str">
        <f aca="false">IF(B566="","",IF(A566=_xlfn.MAXIFS($A$2:$A$5001,$B$2:$B$5001,B566,$I$2:$I$5001,I566),1,0))</f>
        <v/>
      </c>
    </row>
    <row r="567" customFormat="false" ht="15" hidden="false" customHeight="false" outlineLevel="0" collapsed="false">
      <c r="I567" s="15" t="str">
        <f aca="false">IF(A567="","",INT(A567))</f>
        <v/>
      </c>
      <c r="J567" s="16" t="str">
        <f aca="false">IF(B567="","",IF(A567=_xlfn.MINIFS($A$2:$A$5001,$B$2:$B$5001,B567),1,0))</f>
        <v/>
      </c>
      <c r="K567" s="16" t="str">
        <f aca="false">IF(B567="","",IF(AND(D567="Formalização",E567="Concluído"),IF(COUNTIFS($B$2:$B$5001,B567,$E$2:$E$5001,"Em ajustes",$A$2:$A$5001,"&lt;"&amp;I567)&gt;0,1,0),0))</f>
        <v/>
      </c>
      <c r="L567" s="16" t="str">
        <f aca="false">IF(B567="","",IF(A567=_xlfn.MAXIFS($A$2:$A$5001,$B$2:$B$5001,B567,$I$2:$I$5001,I567),1,0))</f>
        <v/>
      </c>
    </row>
    <row r="568" customFormat="false" ht="15" hidden="false" customHeight="false" outlineLevel="0" collapsed="false">
      <c r="I568" s="15" t="str">
        <f aca="false">IF(A568="","",INT(A568))</f>
        <v/>
      </c>
      <c r="J568" s="16" t="str">
        <f aca="false">IF(B568="","",IF(A568=_xlfn.MINIFS($A$2:$A$5001,$B$2:$B$5001,B568),1,0))</f>
        <v/>
      </c>
      <c r="K568" s="16" t="str">
        <f aca="false">IF(B568="","",IF(AND(D568="Formalização",E568="Concluído"),IF(COUNTIFS($B$2:$B$5001,B568,$E$2:$E$5001,"Em ajustes",$A$2:$A$5001,"&lt;"&amp;I568)&gt;0,1,0),0))</f>
        <v/>
      </c>
      <c r="L568" s="16" t="str">
        <f aca="false">IF(B568="","",IF(A568=_xlfn.MAXIFS($A$2:$A$5001,$B$2:$B$5001,B568,$I$2:$I$5001,I568),1,0))</f>
        <v/>
      </c>
    </row>
    <row r="569" customFormat="false" ht="15" hidden="false" customHeight="false" outlineLevel="0" collapsed="false">
      <c r="I569" s="15" t="str">
        <f aca="false">IF(A569="","",INT(A569))</f>
        <v/>
      </c>
      <c r="J569" s="16" t="str">
        <f aca="false">IF(B569="","",IF(A569=_xlfn.MINIFS($A$2:$A$5001,$B$2:$B$5001,B569),1,0))</f>
        <v/>
      </c>
      <c r="K569" s="16" t="str">
        <f aca="false">IF(B569="","",IF(AND(D569="Formalização",E569="Concluído"),IF(COUNTIFS($B$2:$B$5001,B569,$E$2:$E$5001,"Em ajustes",$A$2:$A$5001,"&lt;"&amp;I569)&gt;0,1,0),0))</f>
        <v/>
      </c>
      <c r="L569" s="16" t="str">
        <f aca="false">IF(B569="","",IF(A569=_xlfn.MAXIFS($A$2:$A$5001,$B$2:$B$5001,B569,$I$2:$I$5001,I569),1,0))</f>
        <v/>
      </c>
    </row>
    <row r="570" customFormat="false" ht="15" hidden="false" customHeight="false" outlineLevel="0" collapsed="false">
      <c r="I570" s="15" t="str">
        <f aca="false">IF(A570="","",INT(A570))</f>
        <v/>
      </c>
      <c r="J570" s="16" t="str">
        <f aca="false">IF(B570="","",IF(A570=_xlfn.MINIFS($A$2:$A$5001,$B$2:$B$5001,B570),1,0))</f>
        <v/>
      </c>
      <c r="K570" s="16" t="str">
        <f aca="false">IF(B570="","",IF(AND(D570="Formalização",E570="Concluído"),IF(COUNTIFS($B$2:$B$5001,B570,$E$2:$E$5001,"Em ajustes",$A$2:$A$5001,"&lt;"&amp;I570)&gt;0,1,0),0))</f>
        <v/>
      </c>
      <c r="L570" s="16" t="str">
        <f aca="false">IF(B570="","",IF(A570=_xlfn.MAXIFS($A$2:$A$5001,$B$2:$B$5001,B570,$I$2:$I$5001,I570),1,0))</f>
        <v/>
      </c>
    </row>
    <row r="571" customFormat="false" ht="15" hidden="false" customHeight="false" outlineLevel="0" collapsed="false">
      <c r="I571" s="15" t="str">
        <f aca="false">IF(A571="","",INT(A571))</f>
        <v/>
      </c>
      <c r="J571" s="16" t="str">
        <f aca="false">IF(B571="","",IF(A571=_xlfn.MINIFS($A$2:$A$5001,$B$2:$B$5001,B571),1,0))</f>
        <v/>
      </c>
      <c r="K571" s="16" t="str">
        <f aca="false">IF(B571="","",IF(AND(D571="Formalização",E571="Concluído"),IF(COUNTIFS($B$2:$B$5001,B571,$E$2:$E$5001,"Em ajustes",$A$2:$A$5001,"&lt;"&amp;I571)&gt;0,1,0),0))</f>
        <v/>
      </c>
      <c r="L571" s="16" t="str">
        <f aca="false">IF(B571="","",IF(A571=_xlfn.MAXIFS($A$2:$A$5001,$B$2:$B$5001,B571,$I$2:$I$5001,I571),1,0))</f>
        <v/>
      </c>
    </row>
    <row r="572" customFormat="false" ht="15" hidden="false" customHeight="false" outlineLevel="0" collapsed="false">
      <c r="I572" s="15" t="str">
        <f aca="false">IF(A572="","",INT(A572))</f>
        <v/>
      </c>
      <c r="J572" s="16" t="str">
        <f aca="false">IF(B572="","",IF(A572=_xlfn.MINIFS($A$2:$A$5001,$B$2:$B$5001,B572),1,0))</f>
        <v/>
      </c>
      <c r="K572" s="16" t="str">
        <f aca="false">IF(B572="","",IF(AND(D572="Formalização",E572="Concluído"),IF(COUNTIFS($B$2:$B$5001,B572,$E$2:$E$5001,"Em ajustes",$A$2:$A$5001,"&lt;"&amp;I572)&gt;0,1,0),0))</f>
        <v/>
      </c>
      <c r="L572" s="16" t="str">
        <f aca="false">IF(B572="","",IF(A572=_xlfn.MAXIFS($A$2:$A$5001,$B$2:$B$5001,B572,$I$2:$I$5001,I572),1,0))</f>
        <v/>
      </c>
    </row>
    <row r="573" customFormat="false" ht="15" hidden="false" customHeight="false" outlineLevel="0" collapsed="false">
      <c r="I573" s="15" t="str">
        <f aca="false">IF(A573="","",INT(A573))</f>
        <v/>
      </c>
      <c r="J573" s="16" t="str">
        <f aca="false">IF(B573="","",IF(A573=_xlfn.MINIFS($A$2:$A$5001,$B$2:$B$5001,B573),1,0))</f>
        <v/>
      </c>
      <c r="K573" s="16" t="str">
        <f aca="false">IF(B573="","",IF(AND(D573="Formalização",E573="Concluído"),IF(COUNTIFS($B$2:$B$5001,B573,$E$2:$E$5001,"Em ajustes",$A$2:$A$5001,"&lt;"&amp;I573)&gt;0,1,0),0))</f>
        <v/>
      </c>
      <c r="L573" s="16" t="str">
        <f aca="false">IF(B573="","",IF(A573=_xlfn.MAXIFS($A$2:$A$5001,$B$2:$B$5001,B573,$I$2:$I$5001,I573),1,0))</f>
        <v/>
      </c>
    </row>
    <row r="574" customFormat="false" ht="15" hidden="false" customHeight="false" outlineLevel="0" collapsed="false">
      <c r="I574" s="15" t="str">
        <f aca="false">IF(A574="","",INT(A574))</f>
        <v/>
      </c>
      <c r="J574" s="16" t="str">
        <f aca="false">IF(B574="","",IF(A574=_xlfn.MINIFS($A$2:$A$5001,$B$2:$B$5001,B574),1,0))</f>
        <v/>
      </c>
      <c r="K574" s="16" t="str">
        <f aca="false">IF(B574="","",IF(AND(D574="Formalização",E574="Concluído"),IF(COUNTIFS($B$2:$B$5001,B574,$E$2:$E$5001,"Em ajustes",$A$2:$A$5001,"&lt;"&amp;I574)&gt;0,1,0),0))</f>
        <v/>
      </c>
      <c r="L574" s="16" t="str">
        <f aca="false">IF(B574="","",IF(A574=_xlfn.MAXIFS($A$2:$A$5001,$B$2:$B$5001,B574,$I$2:$I$5001,I574),1,0))</f>
        <v/>
      </c>
    </row>
    <row r="575" customFormat="false" ht="15" hidden="false" customHeight="false" outlineLevel="0" collapsed="false">
      <c r="I575" s="15" t="str">
        <f aca="false">IF(A575="","",INT(A575))</f>
        <v/>
      </c>
      <c r="J575" s="16" t="str">
        <f aca="false">IF(B575="","",IF(A575=_xlfn.MINIFS($A$2:$A$5001,$B$2:$B$5001,B575),1,0))</f>
        <v/>
      </c>
      <c r="K575" s="16" t="str">
        <f aca="false">IF(B575="","",IF(AND(D575="Formalização",E575="Concluído"),IF(COUNTIFS($B$2:$B$5001,B575,$E$2:$E$5001,"Em ajustes",$A$2:$A$5001,"&lt;"&amp;I575)&gt;0,1,0),0))</f>
        <v/>
      </c>
      <c r="L575" s="16" t="str">
        <f aca="false">IF(B575="","",IF(A575=_xlfn.MAXIFS($A$2:$A$5001,$B$2:$B$5001,B575,$I$2:$I$5001,I575),1,0))</f>
        <v/>
      </c>
    </row>
    <row r="576" customFormat="false" ht="15" hidden="false" customHeight="false" outlineLevel="0" collapsed="false">
      <c r="I576" s="15" t="str">
        <f aca="false">IF(A576="","",INT(A576))</f>
        <v/>
      </c>
      <c r="J576" s="16" t="str">
        <f aca="false">IF(B576="","",IF(A576=_xlfn.MINIFS($A$2:$A$5001,$B$2:$B$5001,B576),1,0))</f>
        <v/>
      </c>
      <c r="K576" s="16" t="str">
        <f aca="false">IF(B576="","",IF(AND(D576="Formalização",E576="Concluído"),IF(COUNTIFS($B$2:$B$5001,B576,$E$2:$E$5001,"Em ajustes",$A$2:$A$5001,"&lt;"&amp;I576)&gt;0,1,0),0))</f>
        <v/>
      </c>
      <c r="L576" s="16" t="str">
        <f aca="false">IF(B576="","",IF(A576=_xlfn.MAXIFS($A$2:$A$5001,$B$2:$B$5001,B576,$I$2:$I$5001,I576),1,0))</f>
        <v/>
      </c>
    </row>
    <row r="577" customFormat="false" ht="15" hidden="false" customHeight="false" outlineLevel="0" collapsed="false">
      <c r="I577" s="15" t="str">
        <f aca="false">IF(A577="","",INT(A577))</f>
        <v/>
      </c>
      <c r="J577" s="16" t="str">
        <f aca="false">IF(B577="","",IF(A577=_xlfn.MINIFS($A$2:$A$5001,$B$2:$B$5001,B577),1,0))</f>
        <v/>
      </c>
      <c r="K577" s="16" t="str">
        <f aca="false">IF(B577="","",IF(AND(D577="Formalização",E577="Concluído"),IF(COUNTIFS($B$2:$B$5001,B577,$E$2:$E$5001,"Em ajustes",$A$2:$A$5001,"&lt;"&amp;I577)&gt;0,1,0),0))</f>
        <v/>
      </c>
      <c r="L577" s="16" t="str">
        <f aca="false">IF(B577="","",IF(A577=_xlfn.MAXIFS($A$2:$A$5001,$B$2:$B$5001,B577,$I$2:$I$5001,I577),1,0))</f>
        <v/>
      </c>
    </row>
    <row r="578" customFormat="false" ht="15" hidden="false" customHeight="false" outlineLevel="0" collapsed="false">
      <c r="I578" s="15" t="str">
        <f aca="false">IF(A578="","",INT(A578))</f>
        <v/>
      </c>
      <c r="J578" s="16" t="str">
        <f aca="false">IF(B578="","",IF(A578=_xlfn.MINIFS($A$2:$A$5001,$B$2:$B$5001,B578),1,0))</f>
        <v/>
      </c>
      <c r="K578" s="16" t="str">
        <f aca="false">IF(B578="","",IF(AND(D578="Formalização",E578="Concluído"),IF(COUNTIFS($B$2:$B$5001,B578,$E$2:$E$5001,"Em ajustes",$A$2:$A$5001,"&lt;"&amp;I578)&gt;0,1,0),0))</f>
        <v/>
      </c>
      <c r="L578" s="16" t="str">
        <f aca="false">IF(B578="","",IF(A578=_xlfn.MAXIFS($A$2:$A$5001,$B$2:$B$5001,B578,$I$2:$I$5001,I578),1,0))</f>
        <v/>
      </c>
    </row>
    <row r="579" customFormat="false" ht="15" hidden="false" customHeight="false" outlineLevel="0" collapsed="false">
      <c r="I579" s="15" t="str">
        <f aca="false">IF(A579="","",INT(A579))</f>
        <v/>
      </c>
      <c r="J579" s="16" t="str">
        <f aca="false">IF(B579="","",IF(A579=_xlfn.MINIFS($A$2:$A$5001,$B$2:$B$5001,B579),1,0))</f>
        <v/>
      </c>
      <c r="K579" s="16" t="str">
        <f aca="false">IF(B579="","",IF(AND(D579="Formalização",E579="Concluído"),IF(COUNTIFS($B$2:$B$5001,B579,$E$2:$E$5001,"Em ajustes",$A$2:$A$5001,"&lt;"&amp;I579)&gt;0,1,0),0))</f>
        <v/>
      </c>
      <c r="L579" s="16" t="str">
        <f aca="false">IF(B579="","",IF(A579=_xlfn.MAXIFS($A$2:$A$5001,$B$2:$B$5001,B579,$I$2:$I$5001,I579),1,0))</f>
        <v/>
      </c>
    </row>
    <row r="580" customFormat="false" ht="15" hidden="false" customHeight="false" outlineLevel="0" collapsed="false">
      <c r="I580" s="15" t="str">
        <f aca="false">IF(A580="","",INT(A580))</f>
        <v/>
      </c>
      <c r="J580" s="16" t="str">
        <f aca="false">IF(B580="","",IF(A580=_xlfn.MINIFS($A$2:$A$5001,$B$2:$B$5001,B580),1,0))</f>
        <v/>
      </c>
      <c r="K580" s="16" t="str">
        <f aca="false">IF(B580="","",IF(AND(D580="Formalização",E580="Concluído"),IF(COUNTIFS($B$2:$B$5001,B580,$E$2:$E$5001,"Em ajustes",$A$2:$A$5001,"&lt;"&amp;I580)&gt;0,1,0),0))</f>
        <v/>
      </c>
      <c r="L580" s="16" t="str">
        <f aca="false">IF(B580="","",IF(A580=_xlfn.MAXIFS($A$2:$A$5001,$B$2:$B$5001,B580,$I$2:$I$5001,I580),1,0))</f>
        <v/>
      </c>
    </row>
    <row r="581" customFormat="false" ht="15" hidden="false" customHeight="false" outlineLevel="0" collapsed="false">
      <c r="I581" s="15" t="str">
        <f aca="false">IF(A581="","",INT(A581))</f>
        <v/>
      </c>
      <c r="J581" s="16" t="str">
        <f aca="false">IF(B581="","",IF(A581=_xlfn.MINIFS($A$2:$A$5001,$B$2:$B$5001,B581),1,0))</f>
        <v/>
      </c>
      <c r="K581" s="16" t="str">
        <f aca="false">IF(B581="","",IF(AND(D581="Formalização",E581="Concluído"),IF(COUNTIFS($B$2:$B$5001,B581,$E$2:$E$5001,"Em ajustes",$A$2:$A$5001,"&lt;"&amp;I581)&gt;0,1,0),0))</f>
        <v/>
      </c>
      <c r="L581" s="16" t="str">
        <f aca="false">IF(B581="","",IF(A581=_xlfn.MAXIFS($A$2:$A$5001,$B$2:$B$5001,B581,$I$2:$I$5001,I581),1,0))</f>
        <v/>
      </c>
    </row>
    <row r="582" customFormat="false" ht="15" hidden="false" customHeight="false" outlineLevel="0" collapsed="false">
      <c r="I582" s="15" t="str">
        <f aca="false">IF(A582="","",INT(A582))</f>
        <v/>
      </c>
      <c r="J582" s="16" t="str">
        <f aca="false">IF(B582="","",IF(A582=_xlfn.MINIFS($A$2:$A$5001,$B$2:$B$5001,B582),1,0))</f>
        <v/>
      </c>
      <c r="K582" s="16" t="str">
        <f aca="false">IF(B582="","",IF(AND(D582="Formalização",E582="Concluído"),IF(COUNTIFS($B$2:$B$5001,B582,$E$2:$E$5001,"Em ajustes",$A$2:$A$5001,"&lt;"&amp;I582)&gt;0,1,0),0))</f>
        <v/>
      </c>
      <c r="L582" s="16" t="str">
        <f aca="false">IF(B582="","",IF(A582=_xlfn.MAXIFS($A$2:$A$5001,$B$2:$B$5001,B582,$I$2:$I$5001,I582),1,0))</f>
        <v/>
      </c>
    </row>
    <row r="583" customFormat="false" ht="15" hidden="false" customHeight="false" outlineLevel="0" collapsed="false">
      <c r="I583" s="15" t="str">
        <f aca="false">IF(A583="","",INT(A583))</f>
        <v/>
      </c>
      <c r="J583" s="16" t="str">
        <f aca="false">IF(B583="","",IF(A583=_xlfn.MINIFS($A$2:$A$5001,$B$2:$B$5001,B583),1,0))</f>
        <v/>
      </c>
      <c r="K583" s="16" t="str">
        <f aca="false">IF(B583="","",IF(AND(D583="Formalização",E583="Concluído"),IF(COUNTIFS($B$2:$B$5001,B583,$E$2:$E$5001,"Em ajustes",$A$2:$A$5001,"&lt;"&amp;I583)&gt;0,1,0),0))</f>
        <v/>
      </c>
      <c r="L583" s="16" t="str">
        <f aca="false">IF(B583="","",IF(A583=_xlfn.MAXIFS($A$2:$A$5001,$B$2:$B$5001,B583,$I$2:$I$5001,I583),1,0))</f>
        <v/>
      </c>
    </row>
    <row r="584" customFormat="false" ht="15" hidden="false" customHeight="false" outlineLevel="0" collapsed="false">
      <c r="I584" s="15" t="str">
        <f aca="false">IF(A584="","",INT(A584))</f>
        <v/>
      </c>
      <c r="J584" s="16" t="str">
        <f aca="false">IF(B584="","",IF(A584=_xlfn.MINIFS($A$2:$A$5001,$B$2:$B$5001,B584),1,0))</f>
        <v/>
      </c>
      <c r="K584" s="16" t="str">
        <f aca="false">IF(B584="","",IF(AND(D584="Formalização",E584="Concluído"),IF(COUNTIFS($B$2:$B$5001,B584,$E$2:$E$5001,"Em ajustes",$A$2:$A$5001,"&lt;"&amp;I584)&gt;0,1,0),0))</f>
        <v/>
      </c>
      <c r="L584" s="16" t="str">
        <f aca="false">IF(B584="","",IF(A584=_xlfn.MAXIFS($A$2:$A$5001,$B$2:$B$5001,B584,$I$2:$I$5001,I584),1,0))</f>
        <v/>
      </c>
    </row>
    <row r="585" customFormat="false" ht="15" hidden="false" customHeight="false" outlineLevel="0" collapsed="false">
      <c r="I585" s="15" t="str">
        <f aca="false">IF(A585="","",INT(A585))</f>
        <v/>
      </c>
      <c r="J585" s="16" t="str">
        <f aca="false">IF(B585="","",IF(A585=_xlfn.MINIFS($A$2:$A$5001,$B$2:$B$5001,B585),1,0))</f>
        <v/>
      </c>
      <c r="K585" s="16" t="str">
        <f aca="false">IF(B585="","",IF(AND(D585="Formalização",E585="Concluído"),IF(COUNTIFS($B$2:$B$5001,B585,$E$2:$E$5001,"Em ajustes",$A$2:$A$5001,"&lt;"&amp;I585)&gt;0,1,0),0))</f>
        <v/>
      </c>
      <c r="L585" s="16" t="str">
        <f aca="false">IF(B585="","",IF(A585=_xlfn.MAXIFS($A$2:$A$5001,$B$2:$B$5001,B585,$I$2:$I$5001,I585),1,0))</f>
        <v/>
      </c>
    </row>
    <row r="586" customFormat="false" ht="15" hidden="false" customHeight="false" outlineLevel="0" collapsed="false">
      <c r="I586" s="15" t="str">
        <f aca="false">IF(A586="","",INT(A586))</f>
        <v/>
      </c>
      <c r="J586" s="16" t="str">
        <f aca="false">IF(B586="","",IF(A586=_xlfn.MINIFS($A$2:$A$5001,$B$2:$B$5001,B586),1,0))</f>
        <v/>
      </c>
      <c r="K586" s="16" t="str">
        <f aca="false">IF(B586="","",IF(AND(D586="Formalização",E586="Concluído"),IF(COUNTIFS($B$2:$B$5001,B586,$E$2:$E$5001,"Em ajustes",$A$2:$A$5001,"&lt;"&amp;I586)&gt;0,1,0),0))</f>
        <v/>
      </c>
      <c r="L586" s="16" t="str">
        <f aca="false">IF(B586="","",IF(A586=_xlfn.MAXIFS($A$2:$A$5001,$B$2:$B$5001,B586,$I$2:$I$5001,I586),1,0))</f>
        <v/>
      </c>
    </row>
    <row r="587" customFormat="false" ht="15" hidden="false" customHeight="false" outlineLevel="0" collapsed="false">
      <c r="I587" s="15" t="str">
        <f aca="false">IF(A587="","",INT(A587))</f>
        <v/>
      </c>
      <c r="J587" s="16" t="str">
        <f aca="false">IF(B587="","",IF(A587=_xlfn.MINIFS($A$2:$A$5001,$B$2:$B$5001,B587),1,0))</f>
        <v/>
      </c>
      <c r="K587" s="16" t="str">
        <f aca="false">IF(B587="","",IF(AND(D587="Formalização",E587="Concluído"),IF(COUNTIFS($B$2:$B$5001,B587,$E$2:$E$5001,"Em ajustes",$A$2:$A$5001,"&lt;"&amp;I587)&gt;0,1,0),0))</f>
        <v/>
      </c>
      <c r="L587" s="16" t="str">
        <f aca="false">IF(B587="","",IF(A587=_xlfn.MAXIFS($A$2:$A$5001,$B$2:$B$5001,B587,$I$2:$I$5001,I587),1,0))</f>
        <v/>
      </c>
    </row>
    <row r="588" customFormat="false" ht="15" hidden="false" customHeight="false" outlineLevel="0" collapsed="false">
      <c r="I588" s="15" t="str">
        <f aca="false">IF(A588="","",INT(A588))</f>
        <v/>
      </c>
      <c r="J588" s="16" t="str">
        <f aca="false">IF(B588="","",IF(A588=_xlfn.MINIFS($A$2:$A$5001,$B$2:$B$5001,B588),1,0))</f>
        <v/>
      </c>
      <c r="K588" s="16" t="str">
        <f aca="false">IF(B588="","",IF(AND(D588="Formalização",E588="Concluído"),IF(COUNTIFS($B$2:$B$5001,B588,$E$2:$E$5001,"Em ajustes",$A$2:$A$5001,"&lt;"&amp;I588)&gt;0,1,0),0))</f>
        <v/>
      </c>
      <c r="L588" s="16" t="str">
        <f aca="false">IF(B588="","",IF(A588=_xlfn.MAXIFS($A$2:$A$5001,$B$2:$B$5001,B588,$I$2:$I$5001,I588),1,0))</f>
        <v/>
      </c>
    </row>
    <row r="589" customFormat="false" ht="15" hidden="false" customHeight="false" outlineLevel="0" collapsed="false">
      <c r="I589" s="15" t="str">
        <f aca="false">IF(A589="","",INT(A589))</f>
        <v/>
      </c>
      <c r="J589" s="16" t="str">
        <f aca="false">IF(B589="","",IF(A589=_xlfn.MINIFS($A$2:$A$5001,$B$2:$B$5001,B589),1,0))</f>
        <v/>
      </c>
      <c r="K589" s="16" t="str">
        <f aca="false">IF(B589="","",IF(AND(D589="Formalização",E589="Concluído"),IF(COUNTIFS($B$2:$B$5001,B589,$E$2:$E$5001,"Em ajustes",$A$2:$A$5001,"&lt;"&amp;I589)&gt;0,1,0),0))</f>
        <v/>
      </c>
      <c r="L589" s="16" t="str">
        <f aca="false">IF(B589="","",IF(A589=_xlfn.MAXIFS($A$2:$A$5001,$B$2:$B$5001,B589,$I$2:$I$5001,I589),1,0))</f>
        <v/>
      </c>
    </row>
    <row r="590" customFormat="false" ht="15" hidden="false" customHeight="false" outlineLevel="0" collapsed="false">
      <c r="I590" s="15" t="str">
        <f aca="false">IF(A590="","",INT(A590))</f>
        <v/>
      </c>
      <c r="J590" s="16" t="str">
        <f aca="false">IF(B590="","",IF(A590=_xlfn.MINIFS($A$2:$A$5001,$B$2:$B$5001,B590),1,0))</f>
        <v/>
      </c>
      <c r="K590" s="16" t="str">
        <f aca="false">IF(B590="","",IF(AND(D590="Formalização",E590="Concluído"),IF(COUNTIFS($B$2:$B$5001,B590,$E$2:$E$5001,"Em ajustes",$A$2:$A$5001,"&lt;"&amp;I590)&gt;0,1,0),0))</f>
        <v/>
      </c>
      <c r="L590" s="16" t="str">
        <f aca="false">IF(B590="","",IF(A590=_xlfn.MAXIFS($A$2:$A$5001,$B$2:$B$5001,B590,$I$2:$I$5001,I590),1,0))</f>
        <v/>
      </c>
    </row>
    <row r="591" customFormat="false" ht="15" hidden="false" customHeight="false" outlineLevel="0" collapsed="false">
      <c r="I591" s="15" t="str">
        <f aca="false">IF(A591="","",INT(A591))</f>
        <v/>
      </c>
      <c r="J591" s="16" t="str">
        <f aca="false">IF(B591="","",IF(A591=_xlfn.MINIFS($A$2:$A$5001,$B$2:$B$5001,B591),1,0))</f>
        <v/>
      </c>
      <c r="K591" s="16" t="str">
        <f aca="false">IF(B591="","",IF(AND(D591="Formalização",E591="Concluído"),IF(COUNTIFS($B$2:$B$5001,B591,$E$2:$E$5001,"Em ajustes",$A$2:$A$5001,"&lt;"&amp;I591)&gt;0,1,0),0))</f>
        <v/>
      </c>
      <c r="L591" s="16" t="str">
        <f aca="false">IF(B591="","",IF(A591=_xlfn.MAXIFS($A$2:$A$5001,$B$2:$B$5001,B591,$I$2:$I$5001,I591),1,0))</f>
        <v/>
      </c>
    </row>
    <row r="592" customFormat="false" ht="15" hidden="false" customHeight="false" outlineLevel="0" collapsed="false">
      <c r="I592" s="15" t="str">
        <f aca="false">IF(A592="","",INT(A592))</f>
        <v/>
      </c>
      <c r="J592" s="16" t="str">
        <f aca="false">IF(B592="","",IF(A592=_xlfn.MINIFS($A$2:$A$5001,$B$2:$B$5001,B592),1,0))</f>
        <v/>
      </c>
      <c r="K592" s="16" t="str">
        <f aca="false">IF(B592="","",IF(AND(D592="Formalização",E592="Concluído"),IF(COUNTIFS($B$2:$B$5001,B592,$E$2:$E$5001,"Em ajustes",$A$2:$A$5001,"&lt;"&amp;I592)&gt;0,1,0),0))</f>
        <v/>
      </c>
      <c r="L592" s="16" t="str">
        <f aca="false">IF(B592="","",IF(A592=_xlfn.MAXIFS($A$2:$A$5001,$B$2:$B$5001,B592,$I$2:$I$5001,I592),1,0))</f>
        <v/>
      </c>
    </row>
    <row r="593" customFormat="false" ht="15" hidden="false" customHeight="false" outlineLevel="0" collapsed="false">
      <c r="I593" s="15" t="str">
        <f aca="false">IF(A593="","",INT(A593))</f>
        <v/>
      </c>
      <c r="J593" s="16" t="str">
        <f aca="false">IF(B593="","",IF(A593=_xlfn.MINIFS($A$2:$A$5001,$B$2:$B$5001,B593),1,0))</f>
        <v/>
      </c>
      <c r="K593" s="16" t="str">
        <f aca="false">IF(B593="","",IF(AND(D593="Formalização",E593="Concluído"),IF(COUNTIFS($B$2:$B$5001,B593,$E$2:$E$5001,"Em ajustes",$A$2:$A$5001,"&lt;"&amp;I593)&gt;0,1,0),0))</f>
        <v/>
      </c>
      <c r="L593" s="16" t="str">
        <f aca="false">IF(B593="","",IF(A593=_xlfn.MAXIFS($A$2:$A$5001,$B$2:$B$5001,B593,$I$2:$I$5001,I593),1,0))</f>
        <v/>
      </c>
    </row>
    <row r="594" customFormat="false" ht="15" hidden="false" customHeight="false" outlineLevel="0" collapsed="false">
      <c r="I594" s="15" t="str">
        <f aca="false">IF(A594="","",INT(A594))</f>
        <v/>
      </c>
      <c r="J594" s="16" t="str">
        <f aca="false">IF(B594="","",IF(A594=_xlfn.MINIFS($A$2:$A$5001,$B$2:$B$5001,B594),1,0))</f>
        <v/>
      </c>
      <c r="K594" s="16" t="str">
        <f aca="false">IF(B594="","",IF(AND(D594="Formalização",E594="Concluído"),IF(COUNTIFS($B$2:$B$5001,B594,$E$2:$E$5001,"Em ajustes",$A$2:$A$5001,"&lt;"&amp;I594)&gt;0,1,0),0))</f>
        <v/>
      </c>
      <c r="L594" s="16" t="str">
        <f aca="false">IF(B594="","",IF(A594=_xlfn.MAXIFS($A$2:$A$5001,$B$2:$B$5001,B594,$I$2:$I$5001,I594),1,0))</f>
        <v/>
      </c>
    </row>
    <row r="595" customFormat="false" ht="15" hidden="false" customHeight="false" outlineLevel="0" collapsed="false">
      <c r="I595" s="15" t="str">
        <f aca="false">IF(A595="","",INT(A595))</f>
        <v/>
      </c>
      <c r="J595" s="16" t="str">
        <f aca="false">IF(B595="","",IF(A595=_xlfn.MINIFS($A$2:$A$5001,$B$2:$B$5001,B595),1,0))</f>
        <v/>
      </c>
      <c r="K595" s="16" t="str">
        <f aca="false">IF(B595="","",IF(AND(D595="Formalização",E595="Concluído"),IF(COUNTIFS($B$2:$B$5001,B595,$E$2:$E$5001,"Em ajustes",$A$2:$A$5001,"&lt;"&amp;I595)&gt;0,1,0),0))</f>
        <v/>
      </c>
      <c r="L595" s="16" t="str">
        <f aca="false">IF(B595="","",IF(A595=_xlfn.MAXIFS($A$2:$A$5001,$B$2:$B$5001,B595,$I$2:$I$5001,I595),1,0))</f>
        <v/>
      </c>
    </row>
    <row r="596" customFormat="false" ht="15" hidden="false" customHeight="false" outlineLevel="0" collapsed="false">
      <c r="I596" s="15" t="str">
        <f aca="false">IF(A596="","",INT(A596))</f>
        <v/>
      </c>
      <c r="J596" s="16" t="str">
        <f aca="false">IF(B596="","",IF(A596=_xlfn.MINIFS($A$2:$A$5001,$B$2:$B$5001,B596),1,0))</f>
        <v/>
      </c>
      <c r="K596" s="16" t="str">
        <f aca="false">IF(B596="","",IF(AND(D596="Formalização",E596="Concluído"),IF(COUNTIFS($B$2:$B$5001,B596,$E$2:$E$5001,"Em ajustes",$A$2:$A$5001,"&lt;"&amp;I596)&gt;0,1,0),0))</f>
        <v/>
      </c>
      <c r="L596" s="16" t="str">
        <f aca="false">IF(B596="","",IF(A596=_xlfn.MAXIFS($A$2:$A$5001,$B$2:$B$5001,B596,$I$2:$I$5001,I596),1,0))</f>
        <v/>
      </c>
    </row>
    <row r="597" customFormat="false" ht="15" hidden="false" customHeight="false" outlineLevel="0" collapsed="false">
      <c r="I597" s="15" t="str">
        <f aca="false">IF(A597="","",INT(A597))</f>
        <v/>
      </c>
      <c r="J597" s="16" t="str">
        <f aca="false">IF(B597="","",IF(A597=_xlfn.MINIFS($A$2:$A$5001,$B$2:$B$5001,B597),1,0))</f>
        <v/>
      </c>
      <c r="K597" s="16" t="str">
        <f aca="false">IF(B597="","",IF(AND(D597="Formalização",E597="Concluído"),IF(COUNTIFS($B$2:$B$5001,B597,$E$2:$E$5001,"Em ajustes",$A$2:$A$5001,"&lt;"&amp;I597)&gt;0,1,0),0))</f>
        <v/>
      </c>
      <c r="L597" s="16" t="str">
        <f aca="false">IF(B597="","",IF(A597=_xlfn.MAXIFS($A$2:$A$5001,$B$2:$B$5001,B597,$I$2:$I$5001,I597),1,0))</f>
        <v/>
      </c>
    </row>
    <row r="598" customFormat="false" ht="15" hidden="false" customHeight="false" outlineLevel="0" collapsed="false">
      <c r="I598" s="15" t="str">
        <f aca="false">IF(A598="","",INT(A598))</f>
        <v/>
      </c>
      <c r="J598" s="16" t="str">
        <f aca="false">IF(B598="","",IF(A598=_xlfn.MINIFS($A$2:$A$5001,$B$2:$B$5001,B598),1,0))</f>
        <v/>
      </c>
      <c r="K598" s="16" t="str">
        <f aca="false">IF(B598="","",IF(AND(D598="Formalização",E598="Concluído"),IF(COUNTIFS($B$2:$B$5001,B598,$E$2:$E$5001,"Em ajustes",$A$2:$A$5001,"&lt;"&amp;I598)&gt;0,1,0),0))</f>
        <v/>
      </c>
      <c r="L598" s="16" t="str">
        <f aca="false">IF(B598="","",IF(A598=_xlfn.MAXIFS($A$2:$A$5001,$B$2:$B$5001,B598,$I$2:$I$5001,I598),1,0))</f>
        <v/>
      </c>
    </row>
    <row r="599" customFormat="false" ht="15" hidden="false" customHeight="false" outlineLevel="0" collapsed="false">
      <c r="I599" s="15" t="str">
        <f aca="false">IF(A599="","",INT(A599))</f>
        <v/>
      </c>
      <c r="J599" s="16" t="str">
        <f aca="false">IF(B599="","",IF(A599=_xlfn.MINIFS($A$2:$A$5001,$B$2:$B$5001,B599),1,0))</f>
        <v/>
      </c>
      <c r="K599" s="16" t="str">
        <f aca="false">IF(B599="","",IF(AND(D599="Formalização",E599="Concluído"),IF(COUNTIFS($B$2:$B$5001,B599,$E$2:$E$5001,"Em ajustes",$A$2:$A$5001,"&lt;"&amp;I599)&gt;0,1,0),0))</f>
        <v/>
      </c>
      <c r="L599" s="16" t="str">
        <f aca="false">IF(B599="","",IF(A599=_xlfn.MAXIFS($A$2:$A$5001,$B$2:$B$5001,B599,$I$2:$I$5001,I599),1,0))</f>
        <v/>
      </c>
    </row>
    <row r="600" customFormat="false" ht="15" hidden="false" customHeight="false" outlineLevel="0" collapsed="false">
      <c r="I600" s="15" t="str">
        <f aca="false">IF(A600="","",INT(A600))</f>
        <v/>
      </c>
      <c r="J600" s="16" t="str">
        <f aca="false">IF(B600="","",IF(A600=_xlfn.MINIFS($A$2:$A$5001,$B$2:$B$5001,B600),1,0))</f>
        <v/>
      </c>
      <c r="K600" s="16" t="str">
        <f aca="false">IF(B600="","",IF(AND(D600="Formalização",E600="Concluído"),IF(COUNTIFS($B$2:$B$5001,B600,$E$2:$E$5001,"Em ajustes",$A$2:$A$5001,"&lt;"&amp;I600)&gt;0,1,0),0))</f>
        <v/>
      </c>
      <c r="L600" s="16" t="str">
        <f aca="false">IF(B600="","",IF(A600=_xlfn.MAXIFS($A$2:$A$5001,$B$2:$B$5001,B600,$I$2:$I$5001,I600),1,0))</f>
        <v/>
      </c>
    </row>
    <row r="601" customFormat="false" ht="15" hidden="false" customHeight="false" outlineLevel="0" collapsed="false">
      <c r="I601" s="15" t="str">
        <f aca="false">IF(A601="","",INT(A601))</f>
        <v/>
      </c>
      <c r="J601" s="16" t="str">
        <f aca="false">IF(B601="","",IF(A601=_xlfn.MINIFS($A$2:$A$5001,$B$2:$B$5001,B601),1,0))</f>
        <v/>
      </c>
      <c r="K601" s="16" t="str">
        <f aca="false">IF(B601="","",IF(AND(D601="Formalização",E601="Concluído"),IF(COUNTIFS($B$2:$B$5001,B601,$E$2:$E$5001,"Em ajustes",$A$2:$A$5001,"&lt;"&amp;I601)&gt;0,1,0),0))</f>
        <v/>
      </c>
      <c r="L601" s="16" t="str">
        <f aca="false">IF(B601="","",IF(A601=_xlfn.MAXIFS($A$2:$A$5001,$B$2:$B$5001,B601,$I$2:$I$5001,I601),1,0))</f>
        <v/>
      </c>
    </row>
    <row r="602" customFormat="false" ht="15" hidden="false" customHeight="false" outlineLevel="0" collapsed="false">
      <c r="I602" s="15" t="str">
        <f aca="false">IF(A602="","",INT(A602))</f>
        <v/>
      </c>
      <c r="J602" s="16" t="str">
        <f aca="false">IF(B602="","",IF(A602=_xlfn.MINIFS($A$2:$A$5001,$B$2:$B$5001,B602),1,0))</f>
        <v/>
      </c>
      <c r="K602" s="16" t="str">
        <f aca="false">IF(B602="","",IF(AND(D602="Formalização",E602="Concluído"),IF(COUNTIFS($B$2:$B$5001,B602,$E$2:$E$5001,"Em ajustes",$A$2:$A$5001,"&lt;"&amp;I602)&gt;0,1,0),0))</f>
        <v/>
      </c>
      <c r="L602" s="16" t="str">
        <f aca="false">IF(B602="","",IF(A602=_xlfn.MAXIFS($A$2:$A$5001,$B$2:$B$5001,B602,$I$2:$I$5001,I602),1,0))</f>
        <v/>
      </c>
    </row>
    <row r="603" customFormat="false" ht="15" hidden="false" customHeight="false" outlineLevel="0" collapsed="false">
      <c r="I603" s="15" t="str">
        <f aca="false">IF(A603="","",INT(A603))</f>
        <v/>
      </c>
      <c r="J603" s="16" t="str">
        <f aca="false">IF(B603="","",IF(A603=_xlfn.MINIFS($A$2:$A$5001,$B$2:$B$5001,B603),1,0))</f>
        <v/>
      </c>
      <c r="K603" s="16" t="str">
        <f aca="false">IF(B603="","",IF(AND(D603="Formalização",E603="Concluído"),IF(COUNTIFS($B$2:$B$5001,B603,$E$2:$E$5001,"Em ajustes",$A$2:$A$5001,"&lt;"&amp;I603)&gt;0,1,0),0))</f>
        <v/>
      </c>
      <c r="L603" s="16" t="str">
        <f aca="false">IF(B603="","",IF(A603=_xlfn.MAXIFS($A$2:$A$5001,$B$2:$B$5001,B603,$I$2:$I$5001,I603),1,0))</f>
        <v/>
      </c>
    </row>
    <row r="604" customFormat="false" ht="15" hidden="false" customHeight="false" outlineLevel="0" collapsed="false">
      <c r="I604" s="15" t="str">
        <f aca="false">IF(A604="","",INT(A604))</f>
        <v/>
      </c>
      <c r="J604" s="16" t="str">
        <f aca="false">IF(B604="","",IF(A604=_xlfn.MINIFS($A$2:$A$5001,$B$2:$B$5001,B604),1,0))</f>
        <v/>
      </c>
      <c r="K604" s="16" t="str">
        <f aca="false">IF(B604="","",IF(AND(D604="Formalização",E604="Concluído"),IF(COUNTIFS($B$2:$B$5001,B604,$E$2:$E$5001,"Em ajustes",$A$2:$A$5001,"&lt;"&amp;I604)&gt;0,1,0),0))</f>
        <v/>
      </c>
      <c r="L604" s="16" t="str">
        <f aca="false">IF(B604="","",IF(A604=_xlfn.MAXIFS($A$2:$A$5001,$B$2:$B$5001,B604,$I$2:$I$5001,I604),1,0))</f>
        <v/>
      </c>
    </row>
    <row r="605" customFormat="false" ht="15" hidden="false" customHeight="false" outlineLevel="0" collapsed="false">
      <c r="I605" s="15" t="str">
        <f aca="false">IF(A605="","",INT(A605))</f>
        <v/>
      </c>
      <c r="J605" s="16" t="str">
        <f aca="false">IF(B605="","",IF(A605=_xlfn.MINIFS($A$2:$A$5001,$B$2:$B$5001,B605),1,0))</f>
        <v/>
      </c>
      <c r="K605" s="16" t="str">
        <f aca="false">IF(B605="","",IF(AND(D605="Formalização",E605="Concluído"),IF(COUNTIFS($B$2:$B$5001,B605,$E$2:$E$5001,"Em ajustes",$A$2:$A$5001,"&lt;"&amp;I605)&gt;0,1,0),0))</f>
        <v/>
      </c>
      <c r="L605" s="16" t="str">
        <f aca="false">IF(B605="","",IF(A605=_xlfn.MAXIFS($A$2:$A$5001,$B$2:$B$5001,B605,$I$2:$I$5001,I605),1,0))</f>
        <v/>
      </c>
    </row>
    <row r="606" customFormat="false" ht="15" hidden="false" customHeight="false" outlineLevel="0" collapsed="false">
      <c r="I606" s="15" t="str">
        <f aca="false">IF(A606="","",INT(A606))</f>
        <v/>
      </c>
      <c r="J606" s="16" t="str">
        <f aca="false">IF(B606="","",IF(A606=_xlfn.MINIFS($A$2:$A$5001,$B$2:$B$5001,B606),1,0))</f>
        <v/>
      </c>
      <c r="K606" s="16" t="str">
        <f aca="false">IF(B606="","",IF(AND(D606="Formalização",E606="Concluído"),IF(COUNTIFS($B$2:$B$5001,B606,$E$2:$E$5001,"Em ajustes",$A$2:$A$5001,"&lt;"&amp;I606)&gt;0,1,0),0))</f>
        <v/>
      </c>
      <c r="L606" s="16" t="str">
        <f aca="false">IF(B606="","",IF(A606=_xlfn.MAXIFS($A$2:$A$5001,$B$2:$B$5001,B606,$I$2:$I$5001,I606),1,0))</f>
        <v/>
      </c>
    </row>
    <row r="607" customFormat="false" ht="15" hidden="false" customHeight="false" outlineLevel="0" collapsed="false">
      <c r="I607" s="15" t="str">
        <f aca="false">IF(A607="","",INT(A607))</f>
        <v/>
      </c>
      <c r="J607" s="16" t="str">
        <f aca="false">IF(B607="","",IF(A607=_xlfn.MINIFS($A$2:$A$5001,$B$2:$B$5001,B607),1,0))</f>
        <v/>
      </c>
      <c r="K607" s="16" t="str">
        <f aca="false">IF(B607="","",IF(AND(D607="Formalização",E607="Concluído"),IF(COUNTIFS($B$2:$B$5001,B607,$E$2:$E$5001,"Em ajustes",$A$2:$A$5001,"&lt;"&amp;I607)&gt;0,1,0),0))</f>
        <v/>
      </c>
      <c r="L607" s="16" t="str">
        <f aca="false">IF(B607="","",IF(A607=_xlfn.MAXIFS($A$2:$A$5001,$B$2:$B$5001,B607,$I$2:$I$5001,I607),1,0))</f>
        <v/>
      </c>
    </row>
    <row r="608" customFormat="false" ht="15" hidden="false" customHeight="false" outlineLevel="0" collapsed="false">
      <c r="I608" s="15" t="str">
        <f aca="false">IF(A608="","",INT(A608))</f>
        <v/>
      </c>
      <c r="J608" s="16" t="str">
        <f aca="false">IF(B608="","",IF(A608=_xlfn.MINIFS($A$2:$A$5001,$B$2:$B$5001,B608),1,0))</f>
        <v/>
      </c>
      <c r="K608" s="16" t="str">
        <f aca="false">IF(B608="","",IF(AND(D608="Formalização",E608="Concluído"),IF(COUNTIFS($B$2:$B$5001,B608,$E$2:$E$5001,"Em ajustes",$A$2:$A$5001,"&lt;"&amp;I608)&gt;0,1,0),0))</f>
        <v/>
      </c>
      <c r="L608" s="16" t="str">
        <f aca="false">IF(B608="","",IF(A608=_xlfn.MAXIFS($A$2:$A$5001,$B$2:$B$5001,B608,$I$2:$I$5001,I608),1,0))</f>
        <v/>
      </c>
    </row>
    <row r="609" customFormat="false" ht="15" hidden="false" customHeight="false" outlineLevel="0" collapsed="false">
      <c r="I609" s="15" t="str">
        <f aca="false">IF(A609="","",INT(A609))</f>
        <v/>
      </c>
      <c r="J609" s="16" t="str">
        <f aca="false">IF(B609="","",IF(A609=_xlfn.MINIFS($A$2:$A$5001,$B$2:$B$5001,B609),1,0))</f>
        <v/>
      </c>
      <c r="K609" s="16" t="str">
        <f aca="false">IF(B609="","",IF(AND(D609="Formalização",E609="Concluído"),IF(COUNTIFS($B$2:$B$5001,B609,$E$2:$E$5001,"Em ajustes",$A$2:$A$5001,"&lt;"&amp;I609)&gt;0,1,0),0))</f>
        <v/>
      </c>
      <c r="L609" s="16" t="str">
        <f aca="false">IF(B609="","",IF(A609=_xlfn.MAXIFS($A$2:$A$5001,$B$2:$B$5001,B609,$I$2:$I$5001,I609),1,0))</f>
        <v/>
      </c>
    </row>
    <row r="610" customFormat="false" ht="15" hidden="false" customHeight="false" outlineLevel="0" collapsed="false">
      <c r="I610" s="15" t="str">
        <f aca="false">IF(A610="","",INT(A610))</f>
        <v/>
      </c>
      <c r="J610" s="16" t="str">
        <f aca="false">IF(B610="","",IF(A610=_xlfn.MINIFS($A$2:$A$5001,$B$2:$B$5001,B610),1,0))</f>
        <v/>
      </c>
      <c r="K610" s="16" t="str">
        <f aca="false">IF(B610="","",IF(AND(D610="Formalização",E610="Concluído"),IF(COUNTIFS($B$2:$B$5001,B610,$E$2:$E$5001,"Em ajustes",$A$2:$A$5001,"&lt;"&amp;I610)&gt;0,1,0),0))</f>
        <v/>
      </c>
      <c r="L610" s="16" t="str">
        <f aca="false">IF(B610="","",IF(A610=_xlfn.MAXIFS($A$2:$A$5001,$B$2:$B$5001,B610,$I$2:$I$5001,I610),1,0))</f>
        <v/>
      </c>
    </row>
    <row r="611" customFormat="false" ht="15" hidden="false" customHeight="false" outlineLevel="0" collapsed="false">
      <c r="I611" s="15" t="str">
        <f aca="false">IF(A611="","",INT(A611))</f>
        <v/>
      </c>
      <c r="J611" s="16" t="str">
        <f aca="false">IF(B611="","",IF(A611=_xlfn.MINIFS($A$2:$A$5001,$B$2:$B$5001,B611),1,0))</f>
        <v/>
      </c>
      <c r="K611" s="16" t="str">
        <f aca="false">IF(B611="","",IF(AND(D611="Formalização",E611="Concluído"),IF(COUNTIFS($B$2:$B$5001,B611,$E$2:$E$5001,"Em ajustes",$A$2:$A$5001,"&lt;"&amp;I611)&gt;0,1,0),0))</f>
        <v/>
      </c>
      <c r="L611" s="16" t="str">
        <f aca="false">IF(B611="","",IF(A611=_xlfn.MAXIFS($A$2:$A$5001,$B$2:$B$5001,B611,$I$2:$I$5001,I611),1,0))</f>
        <v/>
      </c>
    </row>
    <row r="612" customFormat="false" ht="15" hidden="false" customHeight="false" outlineLevel="0" collapsed="false">
      <c r="I612" s="15" t="str">
        <f aca="false">IF(A612="","",INT(A612))</f>
        <v/>
      </c>
      <c r="J612" s="16" t="str">
        <f aca="false">IF(B612="","",IF(A612=_xlfn.MINIFS($A$2:$A$5001,$B$2:$B$5001,B612),1,0))</f>
        <v/>
      </c>
      <c r="K612" s="16" t="str">
        <f aca="false">IF(B612="","",IF(AND(D612="Formalização",E612="Concluído"),IF(COUNTIFS($B$2:$B$5001,B612,$E$2:$E$5001,"Em ajustes",$A$2:$A$5001,"&lt;"&amp;I612)&gt;0,1,0),0))</f>
        <v/>
      </c>
      <c r="L612" s="16" t="str">
        <f aca="false">IF(B612="","",IF(A612=_xlfn.MAXIFS($A$2:$A$5001,$B$2:$B$5001,B612,$I$2:$I$5001,I612),1,0))</f>
        <v/>
      </c>
    </row>
    <row r="613" customFormat="false" ht="15" hidden="false" customHeight="false" outlineLevel="0" collapsed="false">
      <c r="I613" s="15" t="str">
        <f aca="false">IF(A613="","",INT(A613))</f>
        <v/>
      </c>
      <c r="J613" s="16" t="str">
        <f aca="false">IF(B613="","",IF(A613=_xlfn.MINIFS($A$2:$A$5001,$B$2:$B$5001,B613),1,0))</f>
        <v/>
      </c>
      <c r="K613" s="16" t="str">
        <f aca="false">IF(B613="","",IF(AND(D613="Formalização",E613="Concluído"),IF(COUNTIFS($B$2:$B$5001,B613,$E$2:$E$5001,"Em ajustes",$A$2:$A$5001,"&lt;"&amp;I613)&gt;0,1,0),0))</f>
        <v/>
      </c>
      <c r="L613" s="16" t="str">
        <f aca="false">IF(B613="","",IF(A613=_xlfn.MAXIFS($A$2:$A$5001,$B$2:$B$5001,B613,$I$2:$I$5001,I613),1,0))</f>
        <v/>
      </c>
    </row>
    <row r="614" customFormat="false" ht="15" hidden="false" customHeight="false" outlineLevel="0" collapsed="false">
      <c r="I614" s="15" t="str">
        <f aca="false">IF(A614="","",INT(A614))</f>
        <v/>
      </c>
      <c r="J614" s="16" t="str">
        <f aca="false">IF(B614="","",IF(A614=_xlfn.MINIFS($A$2:$A$5001,$B$2:$B$5001,B614),1,0))</f>
        <v/>
      </c>
      <c r="K614" s="16" t="str">
        <f aca="false">IF(B614="","",IF(AND(D614="Formalização",E614="Concluído"),IF(COUNTIFS($B$2:$B$5001,B614,$E$2:$E$5001,"Em ajustes",$A$2:$A$5001,"&lt;"&amp;I614)&gt;0,1,0),0))</f>
        <v/>
      </c>
      <c r="L614" s="16" t="str">
        <f aca="false">IF(B614="","",IF(A614=_xlfn.MAXIFS($A$2:$A$5001,$B$2:$B$5001,B614,$I$2:$I$5001,I614),1,0))</f>
        <v/>
      </c>
    </row>
    <row r="615" customFormat="false" ht="15" hidden="false" customHeight="false" outlineLevel="0" collapsed="false">
      <c r="I615" s="15" t="str">
        <f aca="false">IF(A615="","",INT(A615))</f>
        <v/>
      </c>
      <c r="J615" s="16" t="str">
        <f aca="false">IF(B615="","",IF(A615=_xlfn.MINIFS($A$2:$A$5001,$B$2:$B$5001,B615),1,0))</f>
        <v/>
      </c>
      <c r="K615" s="16" t="str">
        <f aca="false">IF(B615="","",IF(AND(D615="Formalização",E615="Concluído"),IF(COUNTIFS($B$2:$B$5001,B615,$E$2:$E$5001,"Em ajustes",$A$2:$A$5001,"&lt;"&amp;I615)&gt;0,1,0),0))</f>
        <v/>
      </c>
      <c r="L615" s="16" t="str">
        <f aca="false">IF(B615="","",IF(A615=_xlfn.MAXIFS($A$2:$A$5001,$B$2:$B$5001,B615,$I$2:$I$5001,I615),1,0))</f>
        <v/>
      </c>
    </row>
    <row r="616" customFormat="false" ht="15" hidden="false" customHeight="false" outlineLevel="0" collapsed="false">
      <c r="I616" s="15" t="str">
        <f aca="false">IF(A616="","",INT(A616))</f>
        <v/>
      </c>
      <c r="J616" s="16" t="str">
        <f aca="false">IF(B616="","",IF(A616=_xlfn.MINIFS($A$2:$A$5001,$B$2:$B$5001,B616),1,0))</f>
        <v/>
      </c>
      <c r="K616" s="16" t="str">
        <f aca="false">IF(B616="","",IF(AND(D616="Formalização",E616="Concluído"),IF(COUNTIFS($B$2:$B$5001,B616,$E$2:$E$5001,"Em ajustes",$A$2:$A$5001,"&lt;"&amp;I616)&gt;0,1,0),0))</f>
        <v/>
      </c>
      <c r="L616" s="16" t="str">
        <f aca="false">IF(B616="","",IF(A616=_xlfn.MAXIFS($A$2:$A$5001,$B$2:$B$5001,B616,$I$2:$I$5001,I616),1,0))</f>
        <v/>
      </c>
    </row>
    <row r="617" customFormat="false" ht="15" hidden="false" customHeight="false" outlineLevel="0" collapsed="false">
      <c r="I617" s="15" t="str">
        <f aca="false">IF(A617="","",INT(A617))</f>
        <v/>
      </c>
      <c r="J617" s="16" t="str">
        <f aca="false">IF(B617="","",IF(A617=_xlfn.MINIFS($A$2:$A$5001,$B$2:$B$5001,B617),1,0))</f>
        <v/>
      </c>
      <c r="K617" s="16" t="str">
        <f aca="false">IF(B617="","",IF(AND(D617="Formalização",E617="Concluído"),IF(COUNTIFS($B$2:$B$5001,B617,$E$2:$E$5001,"Em ajustes",$A$2:$A$5001,"&lt;"&amp;I617)&gt;0,1,0),0))</f>
        <v/>
      </c>
      <c r="L617" s="16" t="str">
        <f aca="false">IF(B617="","",IF(A617=_xlfn.MAXIFS($A$2:$A$5001,$B$2:$B$5001,B617,$I$2:$I$5001,I617),1,0))</f>
        <v/>
      </c>
    </row>
    <row r="618" customFormat="false" ht="15" hidden="false" customHeight="false" outlineLevel="0" collapsed="false">
      <c r="I618" s="15" t="str">
        <f aca="false">IF(A618="","",INT(A618))</f>
        <v/>
      </c>
      <c r="J618" s="16" t="str">
        <f aca="false">IF(B618="","",IF(A618=_xlfn.MINIFS($A$2:$A$5001,$B$2:$B$5001,B618),1,0))</f>
        <v/>
      </c>
      <c r="K618" s="16" t="str">
        <f aca="false">IF(B618="","",IF(AND(D618="Formalização",E618="Concluído"),IF(COUNTIFS($B$2:$B$5001,B618,$E$2:$E$5001,"Em ajustes",$A$2:$A$5001,"&lt;"&amp;I618)&gt;0,1,0),0))</f>
        <v/>
      </c>
      <c r="L618" s="16" t="str">
        <f aca="false">IF(B618="","",IF(A618=_xlfn.MAXIFS($A$2:$A$5001,$B$2:$B$5001,B618,$I$2:$I$5001,I618),1,0))</f>
        <v/>
      </c>
    </row>
    <row r="619" customFormat="false" ht="15" hidden="false" customHeight="false" outlineLevel="0" collapsed="false">
      <c r="I619" s="15" t="str">
        <f aca="false">IF(A619="","",INT(A619))</f>
        <v/>
      </c>
      <c r="J619" s="16" t="str">
        <f aca="false">IF(B619="","",IF(A619=_xlfn.MINIFS($A$2:$A$5001,$B$2:$B$5001,B619),1,0))</f>
        <v/>
      </c>
      <c r="K619" s="16" t="str">
        <f aca="false">IF(B619="","",IF(AND(D619="Formalização",E619="Concluído"),IF(COUNTIFS($B$2:$B$5001,B619,$E$2:$E$5001,"Em ajustes",$A$2:$A$5001,"&lt;"&amp;I619)&gt;0,1,0),0))</f>
        <v/>
      </c>
      <c r="L619" s="16" t="str">
        <f aca="false">IF(B619="","",IF(A619=_xlfn.MAXIFS($A$2:$A$5001,$B$2:$B$5001,B619,$I$2:$I$5001,I619),1,0))</f>
        <v/>
      </c>
    </row>
    <row r="620" customFormat="false" ht="15" hidden="false" customHeight="false" outlineLevel="0" collapsed="false">
      <c r="I620" s="15" t="str">
        <f aca="false">IF(A620="","",INT(A620))</f>
        <v/>
      </c>
      <c r="J620" s="16" t="str">
        <f aca="false">IF(B620="","",IF(A620=_xlfn.MINIFS($A$2:$A$5001,$B$2:$B$5001,B620),1,0))</f>
        <v/>
      </c>
      <c r="K620" s="16" t="str">
        <f aca="false">IF(B620="","",IF(AND(D620="Formalização",E620="Concluído"),IF(COUNTIFS($B$2:$B$5001,B620,$E$2:$E$5001,"Em ajustes",$A$2:$A$5001,"&lt;"&amp;I620)&gt;0,1,0),0))</f>
        <v/>
      </c>
      <c r="L620" s="16" t="str">
        <f aca="false">IF(B620="","",IF(A620=_xlfn.MAXIFS($A$2:$A$5001,$B$2:$B$5001,B620,$I$2:$I$5001,I620),1,0))</f>
        <v/>
      </c>
    </row>
    <row r="621" customFormat="false" ht="15" hidden="false" customHeight="false" outlineLevel="0" collapsed="false">
      <c r="I621" s="15" t="str">
        <f aca="false">IF(A621="","",INT(A621))</f>
        <v/>
      </c>
      <c r="J621" s="16" t="str">
        <f aca="false">IF(B621="","",IF(A621=_xlfn.MINIFS($A$2:$A$5001,$B$2:$B$5001,B621),1,0))</f>
        <v/>
      </c>
      <c r="K621" s="16" t="str">
        <f aca="false">IF(B621="","",IF(AND(D621="Formalização",E621="Concluído"),IF(COUNTIFS($B$2:$B$5001,B621,$E$2:$E$5001,"Em ajustes",$A$2:$A$5001,"&lt;"&amp;I621)&gt;0,1,0),0))</f>
        <v/>
      </c>
      <c r="L621" s="16" t="str">
        <f aca="false">IF(B621="","",IF(A621=_xlfn.MAXIFS($A$2:$A$5001,$B$2:$B$5001,B621,$I$2:$I$5001,I621),1,0))</f>
        <v/>
      </c>
    </row>
    <row r="622" customFormat="false" ht="15" hidden="false" customHeight="false" outlineLevel="0" collapsed="false">
      <c r="I622" s="15" t="str">
        <f aca="false">IF(A622="","",INT(A622))</f>
        <v/>
      </c>
      <c r="J622" s="16" t="str">
        <f aca="false">IF(B622="","",IF(A622=_xlfn.MINIFS($A$2:$A$5001,$B$2:$B$5001,B622),1,0))</f>
        <v/>
      </c>
      <c r="K622" s="16" t="str">
        <f aca="false">IF(B622="","",IF(AND(D622="Formalização",E622="Concluído"),IF(COUNTIFS($B$2:$B$5001,B622,$E$2:$E$5001,"Em ajustes",$A$2:$A$5001,"&lt;"&amp;I622)&gt;0,1,0),0))</f>
        <v/>
      </c>
      <c r="L622" s="16" t="str">
        <f aca="false">IF(B622="","",IF(A622=_xlfn.MAXIFS($A$2:$A$5001,$B$2:$B$5001,B622,$I$2:$I$5001,I622),1,0))</f>
        <v/>
      </c>
    </row>
    <row r="623" customFormat="false" ht="15" hidden="false" customHeight="false" outlineLevel="0" collapsed="false">
      <c r="I623" s="15" t="str">
        <f aca="false">IF(A623="","",INT(A623))</f>
        <v/>
      </c>
      <c r="J623" s="16" t="str">
        <f aca="false">IF(B623="","",IF(A623=_xlfn.MINIFS($A$2:$A$5001,$B$2:$B$5001,B623),1,0))</f>
        <v/>
      </c>
      <c r="K623" s="16" t="str">
        <f aca="false">IF(B623="","",IF(AND(D623="Formalização",E623="Concluído"),IF(COUNTIFS($B$2:$B$5001,B623,$E$2:$E$5001,"Em ajustes",$A$2:$A$5001,"&lt;"&amp;I623)&gt;0,1,0),0))</f>
        <v/>
      </c>
      <c r="L623" s="16" t="str">
        <f aca="false">IF(B623="","",IF(A623=_xlfn.MAXIFS($A$2:$A$5001,$B$2:$B$5001,B623,$I$2:$I$5001,I623),1,0))</f>
        <v/>
      </c>
    </row>
    <row r="624" customFormat="false" ht="15" hidden="false" customHeight="false" outlineLevel="0" collapsed="false">
      <c r="I624" s="15" t="str">
        <f aca="false">IF(A624="","",INT(A624))</f>
        <v/>
      </c>
      <c r="J624" s="16" t="str">
        <f aca="false">IF(B624="","",IF(A624=_xlfn.MINIFS($A$2:$A$5001,$B$2:$B$5001,B624),1,0))</f>
        <v/>
      </c>
      <c r="K624" s="16" t="str">
        <f aca="false">IF(B624="","",IF(AND(D624="Formalização",E624="Concluído"),IF(COUNTIFS($B$2:$B$5001,B624,$E$2:$E$5001,"Em ajustes",$A$2:$A$5001,"&lt;"&amp;I624)&gt;0,1,0),0))</f>
        <v/>
      </c>
      <c r="L624" s="16" t="str">
        <f aca="false">IF(B624="","",IF(A624=_xlfn.MAXIFS($A$2:$A$5001,$B$2:$B$5001,B624,$I$2:$I$5001,I624),1,0))</f>
        <v/>
      </c>
    </row>
    <row r="625" customFormat="false" ht="15" hidden="false" customHeight="false" outlineLevel="0" collapsed="false">
      <c r="I625" s="15" t="str">
        <f aca="false">IF(A625="","",INT(A625))</f>
        <v/>
      </c>
      <c r="J625" s="16" t="str">
        <f aca="false">IF(B625="","",IF(A625=_xlfn.MINIFS($A$2:$A$5001,$B$2:$B$5001,B625),1,0))</f>
        <v/>
      </c>
      <c r="K625" s="16" t="str">
        <f aca="false">IF(B625="","",IF(AND(D625="Formalização",E625="Concluído"),IF(COUNTIFS($B$2:$B$5001,B625,$E$2:$E$5001,"Em ajustes",$A$2:$A$5001,"&lt;"&amp;I625)&gt;0,1,0),0))</f>
        <v/>
      </c>
      <c r="L625" s="16" t="str">
        <f aca="false">IF(B625="","",IF(A625=_xlfn.MAXIFS($A$2:$A$5001,$B$2:$B$5001,B625,$I$2:$I$5001,I625),1,0))</f>
        <v/>
      </c>
    </row>
    <row r="626" customFormat="false" ht="15" hidden="false" customHeight="false" outlineLevel="0" collapsed="false">
      <c r="I626" s="15" t="str">
        <f aca="false">IF(A626="","",INT(A626))</f>
        <v/>
      </c>
      <c r="J626" s="16" t="str">
        <f aca="false">IF(B626="","",IF(A626=_xlfn.MINIFS($A$2:$A$5001,$B$2:$B$5001,B626),1,0))</f>
        <v/>
      </c>
      <c r="K626" s="16" t="str">
        <f aca="false">IF(B626="","",IF(AND(D626="Formalização",E626="Concluído"),IF(COUNTIFS($B$2:$B$5001,B626,$E$2:$E$5001,"Em ajustes",$A$2:$A$5001,"&lt;"&amp;I626)&gt;0,1,0),0))</f>
        <v/>
      </c>
      <c r="L626" s="16" t="str">
        <f aca="false">IF(B626="","",IF(A626=_xlfn.MAXIFS($A$2:$A$5001,$B$2:$B$5001,B626,$I$2:$I$5001,I626),1,0))</f>
        <v/>
      </c>
    </row>
    <row r="627" customFormat="false" ht="15" hidden="false" customHeight="false" outlineLevel="0" collapsed="false">
      <c r="I627" s="15" t="str">
        <f aca="false">IF(A627="","",INT(A627))</f>
        <v/>
      </c>
      <c r="J627" s="16" t="str">
        <f aca="false">IF(B627="","",IF(A627=_xlfn.MINIFS($A$2:$A$5001,$B$2:$B$5001,B627),1,0))</f>
        <v/>
      </c>
      <c r="K627" s="16" t="str">
        <f aca="false">IF(B627="","",IF(AND(D627="Formalização",E627="Concluído"),IF(COUNTIFS($B$2:$B$5001,B627,$E$2:$E$5001,"Em ajustes",$A$2:$A$5001,"&lt;"&amp;I627)&gt;0,1,0),0))</f>
        <v/>
      </c>
      <c r="L627" s="16" t="str">
        <f aca="false">IF(B627="","",IF(A627=_xlfn.MAXIFS($A$2:$A$5001,$B$2:$B$5001,B627,$I$2:$I$5001,I627),1,0))</f>
        <v/>
      </c>
    </row>
    <row r="628" customFormat="false" ht="15" hidden="false" customHeight="false" outlineLevel="0" collapsed="false">
      <c r="I628" s="15" t="str">
        <f aca="false">IF(A628="","",INT(A628))</f>
        <v/>
      </c>
      <c r="J628" s="16" t="str">
        <f aca="false">IF(B628="","",IF(A628=_xlfn.MINIFS($A$2:$A$5001,$B$2:$B$5001,B628),1,0))</f>
        <v/>
      </c>
      <c r="K628" s="16" t="str">
        <f aca="false">IF(B628="","",IF(AND(D628="Formalização",E628="Concluído"),IF(COUNTIFS($B$2:$B$5001,B628,$E$2:$E$5001,"Em ajustes",$A$2:$A$5001,"&lt;"&amp;I628)&gt;0,1,0),0))</f>
        <v/>
      </c>
      <c r="L628" s="16" t="str">
        <f aca="false">IF(B628="","",IF(A628=_xlfn.MAXIFS($A$2:$A$5001,$B$2:$B$5001,B628,$I$2:$I$5001,I628),1,0))</f>
        <v/>
      </c>
    </row>
    <row r="629" customFormat="false" ht="15" hidden="false" customHeight="false" outlineLevel="0" collapsed="false">
      <c r="I629" s="15" t="str">
        <f aca="false">IF(A629="","",INT(A629))</f>
        <v/>
      </c>
      <c r="J629" s="16" t="str">
        <f aca="false">IF(B629="","",IF(A629=_xlfn.MINIFS($A$2:$A$5001,$B$2:$B$5001,B629),1,0))</f>
        <v/>
      </c>
      <c r="K629" s="16" t="str">
        <f aca="false">IF(B629="","",IF(AND(D629="Formalização",E629="Concluído"),IF(COUNTIFS($B$2:$B$5001,B629,$E$2:$E$5001,"Em ajustes",$A$2:$A$5001,"&lt;"&amp;I629)&gt;0,1,0),0))</f>
        <v/>
      </c>
      <c r="L629" s="16" t="str">
        <f aca="false">IF(B629="","",IF(A629=_xlfn.MAXIFS($A$2:$A$5001,$B$2:$B$5001,B629,$I$2:$I$5001,I629),1,0))</f>
        <v/>
      </c>
    </row>
    <row r="630" customFormat="false" ht="15" hidden="false" customHeight="false" outlineLevel="0" collapsed="false">
      <c r="I630" s="15" t="str">
        <f aca="false">IF(A630="","",INT(A630))</f>
        <v/>
      </c>
      <c r="J630" s="16" t="str">
        <f aca="false">IF(B630="","",IF(A630=_xlfn.MINIFS($A$2:$A$5001,$B$2:$B$5001,B630),1,0))</f>
        <v/>
      </c>
      <c r="K630" s="16" t="str">
        <f aca="false">IF(B630="","",IF(AND(D630="Formalização",E630="Concluído"),IF(COUNTIFS($B$2:$B$5001,B630,$E$2:$E$5001,"Em ajustes",$A$2:$A$5001,"&lt;"&amp;I630)&gt;0,1,0),0))</f>
        <v/>
      </c>
      <c r="L630" s="16" t="str">
        <f aca="false">IF(B630="","",IF(A630=_xlfn.MAXIFS($A$2:$A$5001,$B$2:$B$5001,B630,$I$2:$I$5001,I630),1,0))</f>
        <v/>
      </c>
    </row>
    <row r="631" customFormat="false" ht="15" hidden="false" customHeight="false" outlineLevel="0" collapsed="false">
      <c r="I631" s="15" t="str">
        <f aca="false">IF(A631="","",INT(A631))</f>
        <v/>
      </c>
      <c r="J631" s="16" t="str">
        <f aca="false">IF(B631="","",IF(A631=_xlfn.MINIFS($A$2:$A$5001,$B$2:$B$5001,B631),1,0))</f>
        <v/>
      </c>
      <c r="K631" s="16" t="str">
        <f aca="false">IF(B631="","",IF(AND(D631="Formalização",E631="Concluído"),IF(COUNTIFS($B$2:$B$5001,B631,$E$2:$E$5001,"Em ajustes",$A$2:$A$5001,"&lt;"&amp;I631)&gt;0,1,0),0))</f>
        <v/>
      </c>
      <c r="L631" s="16" t="str">
        <f aca="false">IF(B631="","",IF(A631=_xlfn.MAXIFS($A$2:$A$5001,$B$2:$B$5001,B631,$I$2:$I$5001,I631),1,0))</f>
        <v/>
      </c>
    </row>
    <row r="632" customFormat="false" ht="15" hidden="false" customHeight="false" outlineLevel="0" collapsed="false">
      <c r="I632" s="15" t="str">
        <f aca="false">IF(A632="","",INT(A632))</f>
        <v/>
      </c>
      <c r="J632" s="16" t="str">
        <f aca="false">IF(B632="","",IF(A632=_xlfn.MINIFS($A$2:$A$5001,$B$2:$B$5001,B632),1,0))</f>
        <v/>
      </c>
      <c r="K632" s="16" t="str">
        <f aca="false">IF(B632="","",IF(AND(D632="Formalização",E632="Concluído"),IF(COUNTIFS($B$2:$B$5001,B632,$E$2:$E$5001,"Em ajustes",$A$2:$A$5001,"&lt;"&amp;I632)&gt;0,1,0),0))</f>
        <v/>
      </c>
      <c r="L632" s="16" t="str">
        <f aca="false">IF(B632="","",IF(A632=_xlfn.MAXIFS($A$2:$A$5001,$B$2:$B$5001,B632,$I$2:$I$5001,I632),1,0))</f>
        <v/>
      </c>
    </row>
    <row r="633" customFormat="false" ht="15" hidden="false" customHeight="false" outlineLevel="0" collapsed="false">
      <c r="I633" s="15" t="str">
        <f aca="false">IF(A633="","",INT(A633))</f>
        <v/>
      </c>
      <c r="J633" s="16" t="str">
        <f aca="false">IF(B633="","",IF(A633=_xlfn.MINIFS($A$2:$A$5001,$B$2:$B$5001,B633),1,0))</f>
        <v/>
      </c>
      <c r="K633" s="16" t="str">
        <f aca="false">IF(B633="","",IF(AND(D633="Formalização",E633="Concluído"),IF(COUNTIFS($B$2:$B$5001,B633,$E$2:$E$5001,"Em ajustes",$A$2:$A$5001,"&lt;"&amp;I633)&gt;0,1,0),0))</f>
        <v/>
      </c>
      <c r="L633" s="16" t="str">
        <f aca="false">IF(B633="","",IF(A633=_xlfn.MAXIFS($A$2:$A$5001,$B$2:$B$5001,B633,$I$2:$I$5001,I633),1,0))</f>
        <v/>
      </c>
    </row>
    <row r="634" customFormat="false" ht="15" hidden="false" customHeight="false" outlineLevel="0" collapsed="false">
      <c r="I634" s="15" t="str">
        <f aca="false">IF(A634="","",INT(A634))</f>
        <v/>
      </c>
      <c r="J634" s="16" t="str">
        <f aca="false">IF(B634="","",IF(A634=_xlfn.MINIFS($A$2:$A$5001,$B$2:$B$5001,B634),1,0))</f>
        <v/>
      </c>
      <c r="K634" s="16" t="str">
        <f aca="false">IF(B634="","",IF(AND(D634="Formalização",E634="Concluído"),IF(COUNTIFS($B$2:$B$5001,B634,$E$2:$E$5001,"Em ajustes",$A$2:$A$5001,"&lt;"&amp;I634)&gt;0,1,0),0))</f>
        <v/>
      </c>
      <c r="L634" s="16" t="str">
        <f aca="false">IF(B634="","",IF(A634=_xlfn.MAXIFS($A$2:$A$5001,$B$2:$B$5001,B634,$I$2:$I$5001,I634),1,0))</f>
        <v/>
      </c>
    </row>
    <row r="635" customFormat="false" ht="15" hidden="false" customHeight="false" outlineLevel="0" collapsed="false">
      <c r="I635" s="15" t="str">
        <f aca="false">IF(A635="","",INT(A635))</f>
        <v/>
      </c>
      <c r="J635" s="16" t="str">
        <f aca="false">IF(B635="","",IF(A635=_xlfn.MINIFS($A$2:$A$5001,$B$2:$B$5001,B635),1,0))</f>
        <v/>
      </c>
      <c r="K635" s="16" t="str">
        <f aca="false">IF(B635="","",IF(AND(D635="Formalização",E635="Concluído"),IF(COUNTIFS($B$2:$B$5001,B635,$E$2:$E$5001,"Em ajustes",$A$2:$A$5001,"&lt;"&amp;I635)&gt;0,1,0),0))</f>
        <v/>
      </c>
      <c r="L635" s="16" t="str">
        <f aca="false">IF(B635="","",IF(A635=_xlfn.MAXIFS($A$2:$A$5001,$B$2:$B$5001,B635,$I$2:$I$5001,I635),1,0))</f>
        <v/>
      </c>
    </row>
    <row r="636" customFormat="false" ht="15" hidden="false" customHeight="false" outlineLevel="0" collapsed="false">
      <c r="I636" s="15" t="str">
        <f aca="false">IF(A636="","",INT(A636))</f>
        <v/>
      </c>
      <c r="J636" s="16" t="str">
        <f aca="false">IF(B636="","",IF(A636=_xlfn.MINIFS($A$2:$A$5001,$B$2:$B$5001,B636),1,0))</f>
        <v/>
      </c>
      <c r="K636" s="16" t="str">
        <f aca="false">IF(B636="","",IF(AND(D636="Formalização",E636="Concluído"),IF(COUNTIFS($B$2:$B$5001,B636,$E$2:$E$5001,"Em ajustes",$A$2:$A$5001,"&lt;"&amp;I636)&gt;0,1,0),0))</f>
        <v/>
      </c>
      <c r="L636" s="16" t="str">
        <f aca="false">IF(B636="","",IF(A636=_xlfn.MAXIFS($A$2:$A$5001,$B$2:$B$5001,B636,$I$2:$I$5001,I636),1,0))</f>
        <v/>
      </c>
    </row>
    <row r="637" customFormat="false" ht="15" hidden="false" customHeight="false" outlineLevel="0" collapsed="false">
      <c r="I637" s="15" t="str">
        <f aca="false">IF(A637="","",INT(A637))</f>
        <v/>
      </c>
      <c r="J637" s="16" t="str">
        <f aca="false">IF(B637="","",IF(A637=_xlfn.MINIFS($A$2:$A$5001,$B$2:$B$5001,B637),1,0))</f>
        <v/>
      </c>
      <c r="K637" s="16" t="str">
        <f aca="false">IF(B637="","",IF(AND(D637="Formalização",E637="Concluído"),IF(COUNTIFS($B$2:$B$5001,B637,$E$2:$E$5001,"Em ajustes",$A$2:$A$5001,"&lt;"&amp;I637)&gt;0,1,0),0))</f>
        <v/>
      </c>
      <c r="L637" s="16" t="str">
        <f aca="false">IF(B637="","",IF(A637=_xlfn.MAXIFS($A$2:$A$5001,$B$2:$B$5001,B637,$I$2:$I$5001,I637),1,0))</f>
        <v/>
      </c>
    </row>
    <row r="638" customFormat="false" ht="15" hidden="false" customHeight="false" outlineLevel="0" collapsed="false">
      <c r="I638" s="15" t="str">
        <f aca="false">IF(A638="","",INT(A638))</f>
        <v/>
      </c>
      <c r="J638" s="16" t="str">
        <f aca="false">IF(B638="","",IF(A638=_xlfn.MINIFS($A$2:$A$5001,$B$2:$B$5001,B638),1,0))</f>
        <v/>
      </c>
      <c r="K638" s="16" t="str">
        <f aca="false">IF(B638="","",IF(AND(D638="Formalização",E638="Concluído"),IF(COUNTIFS($B$2:$B$5001,B638,$E$2:$E$5001,"Em ajustes",$A$2:$A$5001,"&lt;"&amp;I638)&gt;0,1,0),0))</f>
        <v/>
      </c>
      <c r="L638" s="16" t="str">
        <f aca="false">IF(B638="","",IF(A638=_xlfn.MAXIFS($A$2:$A$5001,$B$2:$B$5001,B638,$I$2:$I$5001,I638),1,0))</f>
        <v/>
      </c>
    </row>
    <row r="639" customFormat="false" ht="15" hidden="false" customHeight="false" outlineLevel="0" collapsed="false">
      <c r="I639" s="15" t="str">
        <f aca="false">IF(A639="","",INT(A639))</f>
        <v/>
      </c>
      <c r="J639" s="16" t="str">
        <f aca="false">IF(B639="","",IF(A639=_xlfn.MINIFS($A$2:$A$5001,$B$2:$B$5001,B639),1,0))</f>
        <v/>
      </c>
      <c r="K639" s="16" t="str">
        <f aca="false">IF(B639="","",IF(AND(D639="Formalização",E639="Concluído"),IF(COUNTIFS($B$2:$B$5001,B639,$E$2:$E$5001,"Em ajustes",$A$2:$A$5001,"&lt;"&amp;I639)&gt;0,1,0),0))</f>
        <v/>
      </c>
      <c r="L639" s="16" t="str">
        <f aca="false">IF(B639="","",IF(A639=_xlfn.MAXIFS($A$2:$A$5001,$B$2:$B$5001,B639,$I$2:$I$5001,I639),1,0))</f>
        <v/>
      </c>
    </row>
    <row r="640" customFormat="false" ht="15" hidden="false" customHeight="false" outlineLevel="0" collapsed="false">
      <c r="I640" s="15" t="str">
        <f aca="false">IF(A640="","",INT(A640))</f>
        <v/>
      </c>
      <c r="J640" s="16" t="str">
        <f aca="false">IF(B640="","",IF(A640=_xlfn.MINIFS($A$2:$A$5001,$B$2:$B$5001,B640),1,0))</f>
        <v/>
      </c>
      <c r="K640" s="16" t="str">
        <f aca="false">IF(B640="","",IF(AND(D640="Formalização",E640="Concluído"),IF(COUNTIFS($B$2:$B$5001,B640,$E$2:$E$5001,"Em ajustes",$A$2:$A$5001,"&lt;"&amp;I640)&gt;0,1,0),0))</f>
        <v/>
      </c>
      <c r="L640" s="16" t="str">
        <f aca="false">IF(B640="","",IF(A640=_xlfn.MAXIFS($A$2:$A$5001,$B$2:$B$5001,B640,$I$2:$I$5001,I640),1,0))</f>
        <v/>
      </c>
    </row>
    <row r="641" customFormat="false" ht="15" hidden="false" customHeight="false" outlineLevel="0" collapsed="false">
      <c r="I641" s="15" t="str">
        <f aca="false">IF(A641="","",INT(A641))</f>
        <v/>
      </c>
      <c r="J641" s="16" t="str">
        <f aca="false">IF(B641="","",IF(A641=_xlfn.MINIFS($A$2:$A$5001,$B$2:$B$5001,B641),1,0))</f>
        <v/>
      </c>
      <c r="K641" s="16" t="str">
        <f aca="false">IF(B641="","",IF(AND(D641="Formalização",E641="Concluído"),IF(COUNTIFS($B$2:$B$5001,B641,$E$2:$E$5001,"Em ajustes",$A$2:$A$5001,"&lt;"&amp;I641)&gt;0,1,0),0))</f>
        <v/>
      </c>
      <c r="L641" s="16" t="str">
        <f aca="false">IF(B641="","",IF(A641=_xlfn.MAXIFS($A$2:$A$5001,$B$2:$B$5001,B641,$I$2:$I$5001,I641),1,0))</f>
        <v/>
      </c>
    </row>
    <row r="642" customFormat="false" ht="15" hidden="false" customHeight="false" outlineLevel="0" collapsed="false">
      <c r="I642" s="15" t="str">
        <f aca="false">IF(A642="","",INT(A642))</f>
        <v/>
      </c>
      <c r="J642" s="16" t="str">
        <f aca="false">IF(B642="","",IF(A642=_xlfn.MINIFS($A$2:$A$5001,$B$2:$B$5001,B642),1,0))</f>
        <v/>
      </c>
      <c r="K642" s="16" t="str">
        <f aca="false">IF(B642="","",IF(AND(D642="Formalização",E642="Concluído"),IF(COUNTIFS($B$2:$B$5001,B642,$E$2:$E$5001,"Em ajustes",$A$2:$A$5001,"&lt;"&amp;I642)&gt;0,1,0),0))</f>
        <v/>
      </c>
      <c r="L642" s="16" t="str">
        <f aca="false">IF(B642="","",IF(A642=_xlfn.MAXIFS($A$2:$A$5001,$B$2:$B$5001,B642,$I$2:$I$5001,I642),1,0))</f>
        <v/>
      </c>
    </row>
    <row r="643" customFormat="false" ht="15" hidden="false" customHeight="false" outlineLevel="0" collapsed="false">
      <c r="I643" s="15" t="str">
        <f aca="false">IF(A643="","",INT(A643))</f>
        <v/>
      </c>
      <c r="J643" s="16" t="str">
        <f aca="false">IF(B643="","",IF(A643=_xlfn.MINIFS($A$2:$A$5001,$B$2:$B$5001,B643),1,0))</f>
        <v/>
      </c>
      <c r="K643" s="16" t="str">
        <f aca="false">IF(B643="","",IF(AND(D643="Formalização",E643="Concluído"),IF(COUNTIFS($B$2:$B$5001,B643,$E$2:$E$5001,"Em ajustes",$A$2:$A$5001,"&lt;"&amp;I643)&gt;0,1,0),0))</f>
        <v/>
      </c>
      <c r="L643" s="16" t="str">
        <f aca="false">IF(B643="","",IF(A643=_xlfn.MAXIFS($A$2:$A$5001,$B$2:$B$5001,B643,$I$2:$I$5001,I643),1,0))</f>
        <v/>
      </c>
    </row>
    <row r="644" customFormat="false" ht="15" hidden="false" customHeight="false" outlineLevel="0" collapsed="false">
      <c r="I644" s="15" t="str">
        <f aca="false">IF(A644="","",INT(A644))</f>
        <v/>
      </c>
      <c r="J644" s="16" t="str">
        <f aca="false">IF(B644="","",IF(A644=_xlfn.MINIFS($A$2:$A$5001,$B$2:$B$5001,B644),1,0))</f>
        <v/>
      </c>
      <c r="K644" s="16" t="str">
        <f aca="false">IF(B644="","",IF(AND(D644="Formalização",E644="Concluído"),IF(COUNTIFS($B$2:$B$5001,B644,$E$2:$E$5001,"Em ajustes",$A$2:$A$5001,"&lt;"&amp;I644)&gt;0,1,0),0))</f>
        <v/>
      </c>
      <c r="L644" s="16" t="str">
        <f aca="false">IF(B644="","",IF(A644=_xlfn.MAXIFS($A$2:$A$5001,$B$2:$B$5001,B644,$I$2:$I$5001,I644),1,0))</f>
        <v/>
      </c>
    </row>
    <row r="645" customFormat="false" ht="15" hidden="false" customHeight="false" outlineLevel="0" collapsed="false">
      <c r="I645" s="15" t="str">
        <f aca="false">IF(A645="","",INT(A645))</f>
        <v/>
      </c>
      <c r="J645" s="16" t="str">
        <f aca="false">IF(B645="","",IF(A645=_xlfn.MINIFS($A$2:$A$5001,$B$2:$B$5001,B645),1,0))</f>
        <v/>
      </c>
      <c r="K645" s="16" t="str">
        <f aca="false">IF(B645="","",IF(AND(D645="Formalização",E645="Concluído"),IF(COUNTIFS($B$2:$B$5001,B645,$E$2:$E$5001,"Em ajustes",$A$2:$A$5001,"&lt;"&amp;I645)&gt;0,1,0),0))</f>
        <v/>
      </c>
      <c r="L645" s="16" t="str">
        <f aca="false">IF(B645="","",IF(A645=_xlfn.MAXIFS($A$2:$A$5001,$B$2:$B$5001,B645,$I$2:$I$5001,I645),1,0))</f>
        <v/>
      </c>
    </row>
    <row r="646" customFormat="false" ht="15" hidden="false" customHeight="false" outlineLevel="0" collapsed="false">
      <c r="I646" s="15" t="str">
        <f aca="false">IF(A646="","",INT(A646))</f>
        <v/>
      </c>
      <c r="J646" s="16" t="str">
        <f aca="false">IF(B646="","",IF(A646=_xlfn.MINIFS($A$2:$A$5001,$B$2:$B$5001,B646),1,0))</f>
        <v/>
      </c>
      <c r="K646" s="16" t="str">
        <f aca="false">IF(B646="","",IF(AND(D646="Formalização",E646="Concluído"),IF(COUNTIFS($B$2:$B$5001,B646,$E$2:$E$5001,"Em ajustes",$A$2:$A$5001,"&lt;"&amp;I646)&gt;0,1,0),0))</f>
        <v/>
      </c>
      <c r="L646" s="16" t="str">
        <f aca="false">IF(B646="","",IF(A646=_xlfn.MAXIFS($A$2:$A$5001,$B$2:$B$5001,B646,$I$2:$I$5001,I646),1,0))</f>
        <v/>
      </c>
    </row>
    <row r="647" customFormat="false" ht="15" hidden="false" customHeight="false" outlineLevel="0" collapsed="false">
      <c r="I647" s="15" t="str">
        <f aca="false">IF(A647="","",INT(A647))</f>
        <v/>
      </c>
      <c r="J647" s="16" t="str">
        <f aca="false">IF(B647="","",IF(A647=_xlfn.MINIFS($A$2:$A$5001,$B$2:$B$5001,B647),1,0))</f>
        <v/>
      </c>
      <c r="K647" s="16" t="str">
        <f aca="false">IF(B647="","",IF(AND(D647="Formalização",E647="Concluído"),IF(COUNTIFS($B$2:$B$5001,B647,$E$2:$E$5001,"Em ajustes",$A$2:$A$5001,"&lt;"&amp;I647)&gt;0,1,0),0))</f>
        <v/>
      </c>
      <c r="L647" s="16" t="str">
        <f aca="false">IF(B647="","",IF(A647=_xlfn.MAXIFS($A$2:$A$5001,$B$2:$B$5001,B647,$I$2:$I$5001,I647),1,0))</f>
        <v/>
      </c>
    </row>
    <row r="648" customFormat="false" ht="15" hidden="false" customHeight="false" outlineLevel="0" collapsed="false">
      <c r="I648" s="15" t="str">
        <f aca="false">IF(A648="","",INT(A648))</f>
        <v/>
      </c>
      <c r="J648" s="16" t="str">
        <f aca="false">IF(B648="","",IF(A648=_xlfn.MINIFS($A$2:$A$5001,$B$2:$B$5001,B648),1,0))</f>
        <v/>
      </c>
      <c r="K648" s="16" t="str">
        <f aca="false">IF(B648="","",IF(AND(D648="Formalização",E648="Concluído"),IF(COUNTIFS($B$2:$B$5001,B648,$E$2:$E$5001,"Em ajustes",$A$2:$A$5001,"&lt;"&amp;I648)&gt;0,1,0),0))</f>
        <v/>
      </c>
      <c r="L648" s="16" t="str">
        <f aca="false">IF(B648="","",IF(A648=_xlfn.MAXIFS($A$2:$A$5001,$B$2:$B$5001,B648,$I$2:$I$5001,I648),1,0))</f>
        <v/>
      </c>
    </row>
    <row r="649" customFormat="false" ht="15" hidden="false" customHeight="false" outlineLevel="0" collapsed="false">
      <c r="I649" s="15" t="str">
        <f aca="false">IF(A649="","",INT(A649))</f>
        <v/>
      </c>
      <c r="J649" s="16" t="str">
        <f aca="false">IF(B649="","",IF(A649=_xlfn.MINIFS($A$2:$A$5001,$B$2:$B$5001,B649),1,0))</f>
        <v/>
      </c>
      <c r="K649" s="16" t="str">
        <f aca="false">IF(B649="","",IF(AND(D649="Formalização",E649="Concluído"),IF(COUNTIFS($B$2:$B$5001,B649,$E$2:$E$5001,"Em ajustes",$A$2:$A$5001,"&lt;"&amp;I649)&gt;0,1,0),0))</f>
        <v/>
      </c>
      <c r="L649" s="16" t="str">
        <f aca="false">IF(B649="","",IF(A649=_xlfn.MAXIFS($A$2:$A$5001,$B$2:$B$5001,B649,$I$2:$I$5001,I649),1,0))</f>
        <v/>
      </c>
    </row>
    <row r="650" customFormat="false" ht="15" hidden="false" customHeight="false" outlineLevel="0" collapsed="false">
      <c r="I650" s="15" t="str">
        <f aca="false">IF(A650="","",INT(A650))</f>
        <v/>
      </c>
      <c r="J650" s="16" t="str">
        <f aca="false">IF(B650="","",IF(A650=_xlfn.MINIFS($A$2:$A$5001,$B$2:$B$5001,B650),1,0))</f>
        <v/>
      </c>
      <c r="K650" s="16" t="str">
        <f aca="false">IF(B650="","",IF(AND(D650="Formalização",E650="Concluído"),IF(COUNTIFS($B$2:$B$5001,B650,$E$2:$E$5001,"Em ajustes",$A$2:$A$5001,"&lt;"&amp;I650)&gt;0,1,0),0))</f>
        <v/>
      </c>
      <c r="L650" s="16" t="str">
        <f aca="false">IF(B650="","",IF(A650=_xlfn.MAXIFS($A$2:$A$5001,$B$2:$B$5001,B650,$I$2:$I$5001,I650),1,0))</f>
        <v/>
      </c>
    </row>
    <row r="651" customFormat="false" ht="15" hidden="false" customHeight="false" outlineLevel="0" collapsed="false">
      <c r="I651" s="15" t="str">
        <f aca="false">IF(A651="","",INT(A651))</f>
        <v/>
      </c>
      <c r="J651" s="16" t="str">
        <f aca="false">IF(B651="","",IF(A651=_xlfn.MINIFS($A$2:$A$5001,$B$2:$B$5001,B651),1,0))</f>
        <v/>
      </c>
      <c r="K651" s="16" t="str">
        <f aca="false">IF(B651="","",IF(AND(D651="Formalização",E651="Concluído"),IF(COUNTIFS($B$2:$B$5001,B651,$E$2:$E$5001,"Em ajustes",$A$2:$A$5001,"&lt;"&amp;I651)&gt;0,1,0),0))</f>
        <v/>
      </c>
      <c r="L651" s="16" t="str">
        <f aca="false">IF(B651="","",IF(A651=_xlfn.MAXIFS($A$2:$A$5001,$B$2:$B$5001,B651,$I$2:$I$5001,I651),1,0))</f>
        <v/>
      </c>
    </row>
    <row r="652" customFormat="false" ht="15" hidden="false" customHeight="false" outlineLevel="0" collapsed="false">
      <c r="I652" s="15" t="str">
        <f aca="false">IF(A652="","",INT(A652))</f>
        <v/>
      </c>
      <c r="J652" s="16" t="str">
        <f aca="false">IF(B652="","",IF(A652=_xlfn.MINIFS($A$2:$A$5001,$B$2:$B$5001,B652),1,0))</f>
        <v/>
      </c>
      <c r="K652" s="16" t="str">
        <f aca="false">IF(B652="","",IF(AND(D652="Formalização",E652="Concluído"),IF(COUNTIFS($B$2:$B$5001,B652,$E$2:$E$5001,"Em ajustes",$A$2:$A$5001,"&lt;"&amp;I652)&gt;0,1,0),0))</f>
        <v/>
      </c>
      <c r="L652" s="16" t="str">
        <f aca="false">IF(B652="","",IF(A652=_xlfn.MAXIFS($A$2:$A$5001,$B$2:$B$5001,B652,$I$2:$I$5001,I652),1,0))</f>
        <v/>
      </c>
    </row>
    <row r="653" customFormat="false" ht="15" hidden="false" customHeight="false" outlineLevel="0" collapsed="false">
      <c r="I653" s="15" t="str">
        <f aca="false">IF(A653="","",INT(A653))</f>
        <v/>
      </c>
      <c r="J653" s="16" t="str">
        <f aca="false">IF(B653="","",IF(A653=_xlfn.MINIFS($A$2:$A$5001,$B$2:$B$5001,B653),1,0))</f>
        <v/>
      </c>
      <c r="K653" s="16" t="str">
        <f aca="false">IF(B653="","",IF(AND(D653="Formalização",E653="Concluído"),IF(COUNTIFS($B$2:$B$5001,B653,$E$2:$E$5001,"Em ajustes",$A$2:$A$5001,"&lt;"&amp;I653)&gt;0,1,0),0))</f>
        <v/>
      </c>
      <c r="L653" s="16" t="str">
        <f aca="false">IF(B653="","",IF(A653=_xlfn.MAXIFS($A$2:$A$5001,$B$2:$B$5001,B653,$I$2:$I$5001,I653),1,0))</f>
        <v/>
      </c>
    </row>
    <row r="654" customFormat="false" ht="15" hidden="false" customHeight="false" outlineLevel="0" collapsed="false">
      <c r="I654" s="15" t="str">
        <f aca="false">IF(A654="","",INT(A654))</f>
        <v/>
      </c>
      <c r="J654" s="16" t="str">
        <f aca="false">IF(B654="","",IF(A654=_xlfn.MINIFS($A$2:$A$5001,$B$2:$B$5001,B654),1,0))</f>
        <v/>
      </c>
      <c r="K654" s="16" t="str">
        <f aca="false">IF(B654="","",IF(AND(D654="Formalização",E654="Concluído"),IF(COUNTIFS($B$2:$B$5001,B654,$E$2:$E$5001,"Em ajustes",$A$2:$A$5001,"&lt;"&amp;I654)&gt;0,1,0),0))</f>
        <v/>
      </c>
      <c r="L654" s="16" t="str">
        <f aca="false">IF(B654="","",IF(A654=_xlfn.MAXIFS($A$2:$A$5001,$B$2:$B$5001,B654,$I$2:$I$5001,I654),1,0))</f>
        <v/>
      </c>
    </row>
    <row r="655" customFormat="false" ht="15" hidden="false" customHeight="false" outlineLevel="0" collapsed="false">
      <c r="I655" s="15" t="str">
        <f aca="false">IF(A655="","",INT(A655))</f>
        <v/>
      </c>
      <c r="J655" s="16" t="str">
        <f aca="false">IF(B655="","",IF(A655=_xlfn.MINIFS($A$2:$A$5001,$B$2:$B$5001,B655),1,0))</f>
        <v/>
      </c>
      <c r="K655" s="16" t="str">
        <f aca="false">IF(B655="","",IF(AND(D655="Formalização",E655="Concluído"),IF(COUNTIFS($B$2:$B$5001,B655,$E$2:$E$5001,"Em ajustes",$A$2:$A$5001,"&lt;"&amp;I655)&gt;0,1,0),0))</f>
        <v/>
      </c>
      <c r="L655" s="16" t="str">
        <f aca="false">IF(B655="","",IF(A655=_xlfn.MAXIFS($A$2:$A$5001,$B$2:$B$5001,B655,$I$2:$I$5001,I655),1,0))</f>
        <v/>
      </c>
    </row>
    <row r="656" customFormat="false" ht="15" hidden="false" customHeight="false" outlineLevel="0" collapsed="false">
      <c r="I656" s="15" t="str">
        <f aca="false">IF(A656="","",INT(A656))</f>
        <v/>
      </c>
      <c r="J656" s="16" t="str">
        <f aca="false">IF(B656="","",IF(A656=_xlfn.MINIFS($A$2:$A$5001,$B$2:$B$5001,B656),1,0))</f>
        <v/>
      </c>
      <c r="K656" s="16" t="str">
        <f aca="false">IF(B656="","",IF(AND(D656="Formalização",E656="Concluído"),IF(COUNTIFS($B$2:$B$5001,B656,$E$2:$E$5001,"Em ajustes",$A$2:$A$5001,"&lt;"&amp;I656)&gt;0,1,0),0))</f>
        <v/>
      </c>
      <c r="L656" s="16" t="str">
        <f aca="false">IF(B656="","",IF(A656=_xlfn.MAXIFS($A$2:$A$5001,$B$2:$B$5001,B656,$I$2:$I$5001,I656),1,0))</f>
        <v/>
      </c>
    </row>
    <row r="657" customFormat="false" ht="15" hidden="false" customHeight="false" outlineLevel="0" collapsed="false">
      <c r="I657" s="15" t="str">
        <f aca="false">IF(A657="","",INT(A657))</f>
        <v/>
      </c>
      <c r="J657" s="16" t="str">
        <f aca="false">IF(B657="","",IF(A657=_xlfn.MINIFS($A$2:$A$5001,$B$2:$B$5001,B657),1,0))</f>
        <v/>
      </c>
      <c r="K657" s="16" t="str">
        <f aca="false">IF(B657="","",IF(AND(D657="Formalização",E657="Concluído"),IF(COUNTIFS($B$2:$B$5001,B657,$E$2:$E$5001,"Em ajustes",$A$2:$A$5001,"&lt;"&amp;I657)&gt;0,1,0),0))</f>
        <v/>
      </c>
      <c r="L657" s="16" t="str">
        <f aca="false">IF(B657="","",IF(A657=_xlfn.MAXIFS($A$2:$A$5001,$B$2:$B$5001,B657,$I$2:$I$5001,I657),1,0))</f>
        <v/>
      </c>
    </row>
    <row r="658" customFormat="false" ht="15" hidden="false" customHeight="false" outlineLevel="0" collapsed="false">
      <c r="I658" s="15" t="str">
        <f aca="false">IF(A658="","",INT(A658))</f>
        <v/>
      </c>
      <c r="J658" s="16" t="str">
        <f aca="false">IF(B658="","",IF(A658=_xlfn.MINIFS($A$2:$A$5001,$B$2:$B$5001,B658),1,0))</f>
        <v/>
      </c>
      <c r="K658" s="16" t="str">
        <f aca="false">IF(B658="","",IF(AND(D658="Formalização",E658="Concluído"),IF(COUNTIFS($B$2:$B$5001,B658,$E$2:$E$5001,"Em ajustes",$A$2:$A$5001,"&lt;"&amp;I658)&gt;0,1,0),0))</f>
        <v/>
      </c>
      <c r="L658" s="16" t="str">
        <f aca="false">IF(B658="","",IF(A658=_xlfn.MAXIFS($A$2:$A$5001,$B$2:$B$5001,B658,$I$2:$I$5001,I658),1,0))</f>
        <v/>
      </c>
    </row>
    <row r="659" customFormat="false" ht="15" hidden="false" customHeight="false" outlineLevel="0" collapsed="false">
      <c r="I659" s="15" t="str">
        <f aca="false">IF(A659="","",INT(A659))</f>
        <v/>
      </c>
      <c r="J659" s="16" t="str">
        <f aca="false">IF(B659="","",IF(A659=_xlfn.MINIFS($A$2:$A$5001,$B$2:$B$5001,B659),1,0))</f>
        <v/>
      </c>
      <c r="K659" s="16" t="str">
        <f aca="false">IF(B659="","",IF(AND(D659="Formalização",E659="Concluído"),IF(COUNTIFS($B$2:$B$5001,B659,$E$2:$E$5001,"Em ajustes",$A$2:$A$5001,"&lt;"&amp;I659)&gt;0,1,0),0))</f>
        <v/>
      </c>
      <c r="L659" s="16" t="str">
        <f aca="false">IF(B659="","",IF(A659=_xlfn.MAXIFS($A$2:$A$5001,$B$2:$B$5001,B659,$I$2:$I$5001,I659),1,0))</f>
        <v/>
      </c>
    </row>
    <row r="660" customFormat="false" ht="15" hidden="false" customHeight="false" outlineLevel="0" collapsed="false">
      <c r="I660" s="15" t="str">
        <f aca="false">IF(A660="","",INT(A660))</f>
        <v/>
      </c>
      <c r="J660" s="16" t="str">
        <f aca="false">IF(B660="","",IF(A660=_xlfn.MINIFS($A$2:$A$5001,$B$2:$B$5001,B660),1,0))</f>
        <v/>
      </c>
      <c r="K660" s="16" t="str">
        <f aca="false">IF(B660="","",IF(AND(D660="Formalização",E660="Concluído"),IF(COUNTIFS($B$2:$B$5001,B660,$E$2:$E$5001,"Em ajustes",$A$2:$A$5001,"&lt;"&amp;I660)&gt;0,1,0),0))</f>
        <v/>
      </c>
      <c r="L660" s="16" t="str">
        <f aca="false">IF(B660="","",IF(A660=_xlfn.MAXIFS($A$2:$A$5001,$B$2:$B$5001,B660,$I$2:$I$5001,I660),1,0))</f>
        <v/>
      </c>
    </row>
    <row r="661" customFormat="false" ht="15" hidden="false" customHeight="false" outlineLevel="0" collapsed="false">
      <c r="I661" s="15" t="str">
        <f aca="false">IF(A661="","",INT(A661))</f>
        <v/>
      </c>
      <c r="J661" s="16" t="str">
        <f aca="false">IF(B661="","",IF(A661=_xlfn.MINIFS($A$2:$A$5001,$B$2:$B$5001,B661),1,0))</f>
        <v/>
      </c>
      <c r="K661" s="16" t="str">
        <f aca="false">IF(B661="","",IF(AND(D661="Formalização",E661="Concluído"),IF(COUNTIFS($B$2:$B$5001,B661,$E$2:$E$5001,"Em ajustes",$A$2:$A$5001,"&lt;"&amp;I661)&gt;0,1,0),0))</f>
        <v/>
      </c>
      <c r="L661" s="16" t="str">
        <f aca="false">IF(B661="","",IF(A661=_xlfn.MAXIFS($A$2:$A$5001,$B$2:$B$5001,B661,$I$2:$I$5001,I661),1,0))</f>
        <v/>
      </c>
    </row>
    <row r="662" customFormat="false" ht="15" hidden="false" customHeight="false" outlineLevel="0" collapsed="false">
      <c r="I662" s="15" t="str">
        <f aca="false">IF(A662="","",INT(A662))</f>
        <v/>
      </c>
      <c r="J662" s="16" t="str">
        <f aca="false">IF(B662="","",IF(A662=_xlfn.MINIFS($A$2:$A$5001,$B$2:$B$5001,B662),1,0))</f>
        <v/>
      </c>
      <c r="K662" s="16" t="str">
        <f aca="false">IF(B662="","",IF(AND(D662="Formalização",E662="Concluído"),IF(COUNTIFS($B$2:$B$5001,B662,$E$2:$E$5001,"Em ajustes",$A$2:$A$5001,"&lt;"&amp;I662)&gt;0,1,0),0))</f>
        <v/>
      </c>
      <c r="L662" s="16" t="str">
        <f aca="false">IF(B662="","",IF(A662=_xlfn.MAXIFS($A$2:$A$5001,$B$2:$B$5001,B662,$I$2:$I$5001,I662),1,0))</f>
        <v/>
      </c>
    </row>
    <row r="663" customFormat="false" ht="15" hidden="false" customHeight="false" outlineLevel="0" collapsed="false">
      <c r="I663" s="15" t="str">
        <f aca="false">IF(A663="","",INT(A663))</f>
        <v/>
      </c>
      <c r="J663" s="16" t="str">
        <f aca="false">IF(B663="","",IF(A663=_xlfn.MINIFS($A$2:$A$5001,$B$2:$B$5001,B663),1,0))</f>
        <v/>
      </c>
      <c r="K663" s="16" t="str">
        <f aca="false">IF(B663="","",IF(AND(D663="Formalização",E663="Concluído"),IF(COUNTIFS($B$2:$B$5001,B663,$E$2:$E$5001,"Em ajustes",$A$2:$A$5001,"&lt;"&amp;I663)&gt;0,1,0),0))</f>
        <v/>
      </c>
      <c r="L663" s="16" t="str">
        <f aca="false">IF(B663="","",IF(A663=_xlfn.MAXIFS($A$2:$A$5001,$B$2:$B$5001,B663,$I$2:$I$5001,I663),1,0))</f>
        <v/>
      </c>
    </row>
    <row r="664" customFormat="false" ht="15" hidden="false" customHeight="false" outlineLevel="0" collapsed="false">
      <c r="I664" s="15" t="str">
        <f aca="false">IF(A664="","",INT(A664))</f>
        <v/>
      </c>
      <c r="J664" s="16" t="str">
        <f aca="false">IF(B664="","",IF(A664=_xlfn.MINIFS($A$2:$A$5001,$B$2:$B$5001,B664),1,0))</f>
        <v/>
      </c>
      <c r="K664" s="16" t="str">
        <f aca="false">IF(B664="","",IF(AND(D664="Formalização",E664="Concluído"),IF(COUNTIFS($B$2:$B$5001,B664,$E$2:$E$5001,"Em ajustes",$A$2:$A$5001,"&lt;"&amp;I664)&gt;0,1,0),0))</f>
        <v/>
      </c>
      <c r="L664" s="16" t="str">
        <f aca="false">IF(B664="","",IF(A664=_xlfn.MAXIFS($A$2:$A$5001,$B$2:$B$5001,B664,$I$2:$I$5001,I664),1,0))</f>
        <v/>
      </c>
    </row>
    <row r="665" customFormat="false" ht="15" hidden="false" customHeight="false" outlineLevel="0" collapsed="false">
      <c r="I665" s="15" t="str">
        <f aca="false">IF(A665="","",INT(A665))</f>
        <v/>
      </c>
      <c r="J665" s="16" t="str">
        <f aca="false">IF(B665="","",IF(A665=_xlfn.MINIFS($A$2:$A$5001,$B$2:$B$5001,B665),1,0))</f>
        <v/>
      </c>
      <c r="K665" s="16" t="str">
        <f aca="false">IF(B665="","",IF(AND(D665="Formalização",E665="Concluído"),IF(COUNTIFS($B$2:$B$5001,B665,$E$2:$E$5001,"Em ajustes",$A$2:$A$5001,"&lt;"&amp;I665)&gt;0,1,0),0))</f>
        <v/>
      </c>
      <c r="L665" s="16" t="str">
        <f aca="false">IF(B665="","",IF(A665=_xlfn.MAXIFS($A$2:$A$5001,$B$2:$B$5001,B665,$I$2:$I$5001,I665),1,0))</f>
        <v/>
      </c>
    </row>
    <row r="666" customFormat="false" ht="15" hidden="false" customHeight="false" outlineLevel="0" collapsed="false">
      <c r="I666" s="15" t="str">
        <f aca="false">IF(A666="","",INT(A666))</f>
        <v/>
      </c>
      <c r="J666" s="16" t="str">
        <f aca="false">IF(B666="","",IF(A666=_xlfn.MINIFS($A$2:$A$5001,$B$2:$B$5001,B666),1,0))</f>
        <v/>
      </c>
      <c r="K666" s="16" t="str">
        <f aca="false">IF(B666="","",IF(AND(D666="Formalização",E666="Concluído"),IF(COUNTIFS($B$2:$B$5001,B666,$E$2:$E$5001,"Em ajustes",$A$2:$A$5001,"&lt;"&amp;I666)&gt;0,1,0),0))</f>
        <v/>
      </c>
      <c r="L666" s="16" t="str">
        <f aca="false">IF(B666="","",IF(A666=_xlfn.MAXIFS($A$2:$A$5001,$B$2:$B$5001,B666,$I$2:$I$5001,I666),1,0))</f>
        <v/>
      </c>
    </row>
    <row r="667" customFormat="false" ht="15" hidden="false" customHeight="false" outlineLevel="0" collapsed="false">
      <c r="I667" s="15" t="str">
        <f aca="false">IF(A667="","",INT(A667))</f>
        <v/>
      </c>
      <c r="J667" s="16" t="str">
        <f aca="false">IF(B667="","",IF(A667=_xlfn.MINIFS($A$2:$A$5001,$B$2:$B$5001,B667),1,0))</f>
        <v/>
      </c>
      <c r="K667" s="16" t="str">
        <f aca="false">IF(B667="","",IF(AND(D667="Formalização",E667="Concluído"),IF(COUNTIFS($B$2:$B$5001,B667,$E$2:$E$5001,"Em ajustes",$A$2:$A$5001,"&lt;"&amp;I667)&gt;0,1,0),0))</f>
        <v/>
      </c>
      <c r="L667" s="16" t="str">
        <f aca="false">IF(B667="","",IF(A667=_xlfn.MAXIFS($A$2:$A$5001,$B$2:$B$5001,B667,$I$2:$I$5001,I667),1,0))</f>
        <v/>
      </c>
    </row>
    <row r="668" customFormat="false" ht="15" hidden="false" customHeight="false" outlineLevel="0" collapsed="false">
      <c r="I668" s="15" t="str">
        <f aca="false">IF(A668="","",INT(A668))</f>
        <v/>
      </c>
      <c r="J668" s="16" t="str">
        <f aca="false">IF(B668="","",IF(A668=_xlfn.MINIFS($A$2:$A$5001,$B$2:$B$5001,B668),1,0))</f>
        <v/>
      </c>
      <c r="K668" s="16" t="str">
        <f aca="false">IF(B668="","",IF(AND(D668="Formalização",E668="Concluído"),IF(COUNTIFS($B$2:$B$5001,B668,$E$2:$E$5001,"Em ajustes",$A$2:$A$5001,"&lt;"&amp;I668)&gt;0,1,0),0))</f>
        <v/>
      </c>
      <c r="L668" s="16" t="str">
        <f aca="false">IF(B668="","",IF(A668=_xlfn.MAXIFS($A$2:$A$5001,$B$2:$B$5001,B668,$I$2:$I$5001,I668),1,0))</f>
        <v/>
      </c>
    </row>
    <row r="669" customFormat="false" ht="15" hidden="false" customHeight="false" outlineLevel="0" collapsed="false">
      <c r="I669" s="15" t="str">
        <f aca="false">IF(A669="","",INT(A669))</f>
        <v/>
      </c>
      <c r="J669" s="16" t="str">
        <f aca="false">IF(B669="","",IF(A669=_xlfn.MINIFS($A$2:$A$5001,$B$2:$B$5001,B669),1,0))</f>
        <v/>
      </c>
      <c r="K669" s="16" t="str">
        <f aca="false">IF(B669="","",IF(AND(D669="Formalização",E669="Concluído"),IF(COUNTIFS($B$2:$B$5001,B669,$E$2:$E$5001,"Em ajustes",$A$2:$A$5001,"&lt;"&amp;I669)&gt;0,1,0),0))</f>
        <v/>
      </c>
      <c r="L669" s="16" t="str">
        <f aca="false">IF(B669="","",IF(A669=_xlfn.MAXIFS($A$2:$A$5001,$B$2:$B$5001,B669,$I$2:$I$5001,I669),1,0))</f>
        <v/>
      </c>
    </row>
    <row r="670" customFormat="false" ht="15" hidden="false" customHeight="false" outlineLevel="0" collapsed="false">
      <c r="I670" s="15" t="str">
        <f aca="false">IF(A670="","",INT(A670))</f>
        <v/>
      </c>
      <c r="J670" s="16" t="str">
        <f aca="false">IF(B670="","",IF(A670=_xlfn.MINIFS($A$2:$A$5001,$B$2:$B$5001,B670),1,0))</f>
        <v/>
      </c>
      <c r="K670" s="16" t="str">
        <f aca="false">IF(B670="","",IF(AND(D670="Formalização",E670="Concluído"),IF(COUNTIFS($B$2:$B$5001,B670,$E$2:$E$5001,"Em ajustes",$A$2:$A$5001,"&lt;"&amp;I670)&gt;0,1,0),0))</f>
        <v/>
      </c>
      <c r="L670" s="16" t="str">
        <f aca="false">IF(B670="","",IF(A670=_xlfn.MAXIFS($A$2:$A$5001,$B$2:$B$5001,B670,$I$2:$I$5001,I670),1,0))</f>
        <v/>
      </c>
    </row>
    <row r="671" customFormat="false" ht="15" hidden="false" customHeight="false" outlineLevel="0" collapsed="false">
      <c r="I671" s="15" t="str">
        <f aca="false">IF(A671="","",INT(A671))</f>
        <v/>
      </c>
      <c r="J671" s="16" t="str">
        <f aca="false">IF(B671="","",IF(A671=_xlfn.MINIFS($A$2:$A$5001,$B$2:$B$5001,B671),1,0))</f>
        <v/>
      </c>
      <c r="K671" s="16" t="str">
        <f aca="false">IF(B671="","",IF(AND(D671="Formalização",E671="Concluído"),IF(COUNTIFS($B$2:$B$5001,B671,$E$2:$E$5001,"Em ajustes",$A$2:$A$5001,"&lt;"&amp;I671)&gt;0,1,0),0))</f>
        <v/>
      </c>
      <c r="L671" s="16" t="str">
        <f aca="false">IF(B671="","",IF(A671=_xlfn.MAXIFS($A$2:$A$5001,$B$2:$B$5001,B671,$I$2:$I$5001,I671),1,0))</f>
        <v/>
      </c>
    </row>
    <row r="672" customFormat="false" ht="15" hidden="false" customHeight="false" outlineLevel="0" collapsed="false">
      <c r="I672" s="15" t="str">
        <f aca="false">IF(A672="","",INT(A672))</f>
        <v/>
      </c>
      <c r="J672" s="16" t="str">
        <f aca="false">IF(B672="","",IF(A672=_xlfn.MINIFS($A$2:$A$5001,$B$2:$B$5001,B672),1,0))</f>
        <v/>
      </c>
      <c r="K672" s="16" t="str">
        <f aca="false">IF(B672="","",IF(AND(D672="Formalização",E672="Concluído"),IF(COUNTIFS($B$2:$B$5001,B672,$E$2:$E$5001,"Em ajustes",$A$2:$A$5001,"&lt;"&amp;I672)&gt;0,1,0),0))</f>
        <v/>
      </c>
      <c r="L672" s="16" t="str">
        <f aca="false">IF(B672="","",IF(A672=_xlfn.MAXIFS($A$2:$A$5001,$B$2:$B$5001,B672,$I$2:$I$5001,I672),1,0))</f>
        <v/>
      </c>
    </row>
    <row r="673" customFormat="false" ht="15" hidden="false" customHeight="false" outlineLevel="0" collapsed="false">
      <c r="I673" s="15" t="str">
        <f aca="false">IF(A673="","",INT(A673))</f>
        <v/>
      </c>
      <c r="J673" s="16" t="str">
        <f aca="false">IF(B673="","",IF(A673=_xlfn.MINIFS($A$2:$A$5001,$B$2:$B$5001,B673),1,0))</f>
        <v/>
      </c>
      <c r="K673" s="16" t="str">
        <f aca="false">IF(B673="","",IF(AND(D673="Formalização",E673="Concluído"),IF(COUNTIFS($B$2:$B$5001,B673,$E$2:$E$5001,"Em ajustes",$A$2:$A$5001,"&lt;"&amp;I673)&gt;0,1,0),0))</f>
        <v/>
      </c>
      <c r="L673" s="16" t="str">
        <f aca="false">IF(B673="","",IF(A673=_xlfn.MAXIFS($A$2:$A$5001,$B$2:$B$5001,B673,$I$2:$I$5001,I673),1,0))</f>
        <v/>
      </c>
    </row>
    <row r="674" customFormat="false" ht="15" hidden="false" customHeight="false" outlineLevel="0" collapsed="false">
      <c r="I674" s="15" t="str">
        <f aca="false">IF(A674="","",INT(A674))</f>
        <v/>
      </c>
      <c r="J674" s="16" t="str">
        <f aca="false">IF(B674="","",IF(A674=_xlfn.MINIFS($A$2:$A$5001,$B$2:$B$5001,B674),1,0))</f>
        <v/>
      </c>
      <c r="K674" s="16" t="str">
        <f aca="false">IF(B674="","",IF(AND(D674="Formalização",E674="Concluído"),IF(COUNTIFS($B$2:$B$5001,B674,$E$2:$E$5001,"Em ajustes",$A$2:$A$5001,"&lt;"&amp;I674)&gt;0,1,0),0))</f>
        <v/>
      </c>
      <c r="L674" s="16" t="str">
        <f aca="false">IF(B674="","",IF(A674=_xlfn.MAXIFS($A$2:$A$5001,$B$2:$B$5001,B674,$I$2:$I$5001,I674),1,0))</f>
        <v/>
      </c>
    </row>
    <row r="675" customFormat="false" ht="15" hidden="false" customHeight="false" outlineLevel="0" collapsed="false">
      <c r="I675" s="15" t="str">
        <f aca="false">IF(A675="","",INT(A675))</f>
        <v/>
      </c>
      <c r="J675" s="16" t="str">
        <f aca="false">IF(B675="","",IF(A675=_xlfn.MINIFS($A$2:$A$5001,$B$2:$B$5001,B675),1,0))</f>
        <v/>
      </c>
      <c r="K675" s="16" t="str">
        <f aca="false">IF(B675="","",IF(AND(D675="Formalização",E675="Concluído"),IF(COUNTIFS($B$2:$B$5001,B675,$E$2:$E$5001,"Em ajustes",$A$2:$A$5001,"&lt;"&amp;I675)&gt;0,1,0),0))</f>
        <v/>
      </c>
      <c r="L675" s="16" t="str">
        <f aca="false">IF(B675="","",IF(A675=_xlfn.MAXIFS($A$2:$A$5001,$B$2:$B$5001,B675,$I$2:$I$5001,I675),1,0))</f>
        <v/>
      </c>
    </row>
    <row r="676" customFormat="false" ht="15" hidden="false" customHeight="false" outlineLevel="0" collapsed="false">
      <c r="I676" s="15" t="str">
        <f aca="false">IF(A676="","",INT(A676))</f>
        <v/>
      </c>
      <c r="J676" s="16" t="str">
        <f aca="false">IF(B676="","",IF(A676=_xlfn.MINIFS($A$2:$A$5001,$B$2:$B$5001,B676),1,0))</f>
        <v/>
      </c>
      <c r="K676" s="16" t="str">
        <f aca="false">IF(B676="","",IF(AND(D676="Formalização",E676="Concluído"),IF(COUNTIFS($B$2:$B$5001,B676,$E$2:$E$5001,"Em ajustes",$A$2:$A$5001,"&lt;"&amp;I676)&gt;0,1,0),0))</f>
        <v/>
      </c>
      <c r="L676" s="16" t="str">
        <f aca="false">IF(B676="","",IF(A676=_xlfn.MAXIFS($A$2:$A$5001,$B$2:$B$5001,B676,$I$2:$I$5001,I676),1,0))</f>
        <v/>
      </c>
    </row>
    <row r="677" customFormat="false" ht="15" hidden="false" customHeight="false" outlineLevel="0" collapsed="false">
      <c r="I677" s="15" t="str">
        <f aca="false">IF(A677="","",INT(A677))</f>
        <v/>
      </c>
      <c r="J677" s="16" t="str">
        <f aca="false">IF(B677="","",IF(A677=_xlfn.MINIFS($A$2:$A$5001,$B$2:$B$5001,B677),1,0))</f>
        <v/>
      </c>
      <c r="K677" s="16" t="str">
        <f aca="false">IF(B677="","",IF(AND(D677="Formalização",E677="Concluído"),IF(COUNTIFS($B$2:$B$5001,B677,$E$2:$E$5001,"Em ajustes",$A$2:$A$5001,"&lt;"&amp;I677)&gt;0,1,0),0))</f>
        <v/>
      </c>
      <c r="L677" s="16" t="str">
        <f aca="false">IF(B677="","",IF(A677=_xlfn.MAXIFS($A$2:$A$5001,$B$2:$B$5001,B677,$I$2:$I$5001,I677),1,0))</f>
        <v/>
      </c>
    </row>
    <row r="678" customFormat="false" ht="15" hidden="false" customHeight="false" outlineLevel="0" collapsed="false">
      <c r="I678" s="15" t="str">
        <f aca="false">IF(A678="","",INT(A678))</f>
        <v/>
      </c>
      <c r="J678" s="16" t="str">
        <f aca="false">IF(B678="","",IF(A678=_xlfn.MINIFS($A$2:$A$5001,$B$2:$B$5001,B678),1,0))</f>
        <v/>
      </c>
      <c r="K678" s="16" t="str">
        <f aca="false">IF(B678="","",IF(AND(D678="Formalização",E678="Concluído"),IF(COUNTIFS($B$2:$B$5001,B678,$E$2:$E$5001,"Em ajustes",$A$2:$A$5001,"&lt;"&amp;I678)&gt;0,1,0),0))</f>
        <v/>
      </c>
      <c r="L678" s="16" t="str">
        <f aca="false">IF(B678="","",IF(A678=_xlfn.MAXIFS($A$2:$A$5001,$B$2:$B$5001,B678,$I$2:$I$5001,I678),1,0))</f>
        <v/>
      </c>
    </row>
    <row r="679" customFormat="false" ht="15" hidden="false" customHeight="false" outlineLevel="0" collapsed="false">
      <c r="I679" s="15" t="str">
        <f aca="false">IF(A679="","",INT(A679))</f>
        <v/>
      </c>
      <c r="J679" s="16" t="str">
        <f aca="false">IF(B679="","",IF(A679=_xlfn.MINIFS($A$2:$A$5001,$B$2:$B$5001,B679),1,0))</f>
        <v/>
      </c>
      <c r="K679" s="16" t="str">
        <f aca="false">IF(B679="","",IF(AND(D679="Formalização",E679="Concluído"),IF(COUNTIFS($B$2:$B$5001,B679,$E$2:$E$5001,"Em ajustes",$A$2:$A$5001,"&lt;"&amp;I679)&gt;0,1,0),0))</f>
        <v/>
      </c>
      <c r="L679" s="16" t="str">
        <f aca="false">IF(B679="","",IF(A679=_xlfn.MAXIFS($A$2:$A$5001,$B$2:$B$5001,B679,$I$2:$I$5001,I679),1,0))</f>
        <v/>
      </c>
    </row>
    <row r="680" customFormat="false" ht="15" hidden="false" customHeight="false" outlineLevel="0" collapsed="false">
      <c r="I680" s="15" t="str">
        <f aca="false">IF(A680="","",INT(A680))</f>
        <v/>
      </c>
      <c r="J680" s="16" t="str">
        <f aca="false">IF(B680="","",IF(A680=_xlfn.MINIFS($A$2:$A$5001,$B$2:$B$5001,B680),1,0))</f>
        <v/>
      </c>
      <c r="K680" s="16" t="str">
        <f aca="false">IF(B680="","",IF(AND(D680="Formalização",E680="Concluído"),IF(COUNTIFS($B$2:$B$5001,B680,$E$2:$E$5001,"Em ajustes",$A$2:$A$5001,"&lt;"&amp;I680)&gt;0,1,0),0))</f>
        <v/>
      </c>
      <c r="L680" s="16" t="str">
        <f aca="false">IF(B680="","",IF(A680=_xlfn.MAXIFS($A$2:$A$5001,$B$2:$B$5001,B680,$I$2:$I$5001,I680),1,0))</f>
        <v/>
      </c>
    </row>
    <row r="681" customFormat="false" ht="15" hidden="false" customHeight="false" outlineLevel="0" collapsed="false">
      <c r="I681" s="15" t="str">
        <f aca="false">IF(A681="","",INT(A681))</f>
        <v/>
      </c>
      <c r="J681" s="16" t="str">
        <f aca="false">IF(B681="","",IF(A681=_xlfn.MINIFS($A$2:$A$5001,$B$2:$B$5001,B681),1,0))</f>
        <v/>
      </c>
      <c r="K681" s="16" t="str">
        <f aca="false">IF(B681="","",IF(AND(D681="Formalização",E681="Concluído"),IF(COUNTIFS($B$2:$B$5001,B681,$E$2:$E$5001,"Em ajustes",$A$2:$A$5001,"&lt;"&amp;I681)&gt;0,1,0),0))</f>
        <v/>
      </c>
      <c r="L681" s="16" t="str">
        <f aca="false">IF(B681="","",IF(A681=_xlfn.MAXIFS($A$2:$A$5001,$B$2:$B$5001,B681,$I$2:$I$5001,I681),1,0))</f>
        <v/>
      </c>
    </row>
    <row r="682" customFormat="false" ht="15" hidden="false" customHeight="false" outlineLevel="0" collapsed="false">
      <c r="I682" s="15" t="str">
        <f aca="false">IF(A682="","",INT(A682))</f>
        <v/>
      </c>
      <c r="J682" s="16" t="str">
        <f aca="false">IF(B682="","",IF(A682=_xlfn.MINIFS($A$2:$A$5001,$B$2:$B$5001,B682),1,0))</f>
        <v/>
      </c>
      <c r="K682" s="16" t="str">
        <f aca="false">IF(B682="","",IF(AND(D682="Formalização",E682="Concluído"),IF(COUNTIFS($B$2:$B$5001,B682,$E$2:$E$5001,"Em ajustes",$A$2:$A$5001,"&lt;"&amp;I682)&gt;0,1,0),0))</f>
        <v/>
      </c>
      <c r="L682" s="16" t="str">
        <f aca="false">IF(B682="","",IF(A682=_xlfn.MAXIFS($A$2:$A$5001,$B$2:$B$5001,B682,$I$2:$I$5001,I682),1,0))</f>
        <v/>
      </c>
    </row>
    <row r="683" customFormat="false" ht="15" hidden="false" customHeight="false" outlineLevel="0" collapsed="false">
      <c r="I683" s="15" t="str">
        <f aca="false">IF(A683="","",INT(A683))</f>
        <v/>
      </c>
      <c r="J683" s="16" t="str">
        <f aca="false">IF(B683="","",IF(A683=_xlfn.MINIFS($A$2:$A$5001,$B$2:$B$5001,B683),1,0))</f>
        <v/>
      </c>
      <c r="K683" s="16" t="str">
        <f aca="false">IF(B683="","",IF(AND(D683="Formalização",E683="Concluído"),IF(COUNTIFS($B$2:$B$5001,B683,$E$2:$E$5001,"Em ajustes",$A$2:$A$5001,"&lt;"&amp;I683)&gt;0,1,0),0))</f>
        <v/>
      </c>
      <c r="L683" s="16" t="str">
        <f aca="false">IF(B683="","",IF(A683=_xlfn.MAXIFS($A$2:$A$5001,$B$2:$B$5001,B683,$I$2:$I$5001,I683),1,0))</f>
        <v/>
      </c>
    </row>
    <row r="684" customFormat="false" ht="15" hidden="false" customHeight="false" outlineLevel="0" collapsed="false">
      <c r="I684" s="15" t="str">
        <f aca="false">IF(A684="","",INT(A684))</f>
        <v/>
      </c>
      <c r="J684" s="16" t="str">
        <f aca="false">IF(B684="","",IF(A684=_xlfn.MINIFS($A$2:$A$5001,$B$2:$B$5001,B684),1,0))</f>
        <v/>
      </c>
      <c r="K684" s="16" t="str">
        <f aca="false">IF(B684="","",IF(AND(D684="Formalização",E684="Concluído"),IF(COUNTIFS($B$2:$B$5001,B684,$E$2:$E$5001,"Em ajustes",$A$2:$A$5001,"&lt;"&amp;I684)&gt;0,1,0),0))</f>
        <v/>
      </c>
      <c r="L684" s="16" t="str">
        <f aca="false">IF(B684="","",IF(A684=_xlfn.MAXIFS($A$2:$A$5001,$B$2:$B$5001,B684,$I$2:$I$5001,I684),1,0))</f>
        <v/>
      </c>
    </row>
    <row r="685" customFormat="false" ht="15" hidden="false" customHeight="false" outlineLevel="0" collapsed="false">
      <c r="I685" s="15" t="str">
        <f aca="false">IF(A685="","",INT(A685))</f>
        <v/>
      </c>
      <c r="J685" s="16" t="str">
        <f aca="false">IF(B685="","",IF(A685=_xlfn.MINIFS($A$2:$A$5001,$B$2:$B$5001,B685),1,0))</f>
        <v/>
      </c>
      <c r="K685" s="16" t="str">
        <f aca="false">IF(B685="","",IF(AND(D685="Formalização",E685="Concluído"),IF(COUNTIFS($B$2:$B$5001,B685,$E$2:$E$5001,"Em ajustes",$A$2:$A$5001,"&lt;"&amp;I685)&gt;0,1,0),0))</f>
        <v/>
      </c>
      <c r="L685" s="16" t="str">
        <f aca="false">IF(B685="","",IF(A685=_xlfn.MAXIFS($A$2:$A$5001,$B$2:$B$5001,B685,$I$2:$I$5001,I685),1,0))</f>
        <v/>
      </c>
    </row>
    <row r="686" customFormat="false" ht="15" hidden="false" customHeight="false" outlineLevel="0" collapsed="false">
      <c r="I686" s="15" t="str">
        <f aca="false">IF(A686="","",INT(A686))</f>
        <v/>
      </c>
      <c r="J686" s="16" t="str">
        <f aca="false">IF(B686="","",IF(A686=_xlfn.MINIFS($A$2:$A$5001,$B$2:$B$5001,B686),1,0))</f>
        <v/>
      </c>
      <c r="K686" s="16" t="str">
        <f aca="false">IF(B686="","",IF(AND(D686="Formalização",E686="Concluído"),IF(COUNTIFS($B$2:$B$5001,B686,$E$2:$E$5001,"Em ajustes",$A$2:$A$5001,"&lt;"&amp;I686)&gt;0,1,0),0))</f>
        <v/>
      </c>
      <c r="L686" s="16" t="str">
        <f aca="false">IF(B686="","",IF(A686=_xlfn.MAXIFS($A$2:$A$5001,$B$2:$B$5001,B686,$I$2:$I$5001,I686),1,0))</f>
        <v/>
      </c>
    </row>
    <row r="687" customFormat="false" ht="15" hidden="false" customHeight="false" outlineLevel="0" collapsed="false">
      <c r="I687" s="15" t="str">
        <f aca="false">IF(A687="","",INT(A687))</f>
        <v/>
      </c>
      <c r="J687" s="16" t="str">
        <f aca="false">IF(B687="","",IF(A687=_xlfn.MINIFS($A$2:$A$5001,$B$2:$B$5001,B687),1,0))</f>
        <v/>
      </c>
      <c r="K687" s="16" t="str">
        <f aca="false">IF(B687="","",IF(AND(D687="Formalização",E687="Concluído"),IF(COUNTIFS($B$2:$B$5001,B687,$E$2:$E$5001,"Em ajustes",$A$2:$A$5001,"&lt;"&amp;I687)&gt;0,1,0),0))</f>
        <v/>
      </c>
      <c r="L687" s="16" t="str">
        <f aca="false">IF(B687="","",IF(A687=_xlfn.MAXIFS($A$2:$A$5001,$B$2:$B$5001,B687,$I$2:$I$5001,I687),1,0))</f>
        <v/>
      </c>
    </row>
    <row r="688" customFormat="false" ht="15" hidden="false" customHeight="false" outlineLevel="0" collapsed="false">
      <c r="I688" s="15" t="str">
        <f aca="false">IF(A688="","",INT(A688))</f>
        <v/>
      </c>
      <c r="J688" s="16" t="str">
        <f aca="false">IF(B688="","",IF(A688=_xlfn.MINIFS($A$2:$A$5001,$B$2:$B$5001,B688),1,0))</f>
        <v/>
      </c>
      <c r="K688" s="16" t="str">
        <f aca="false">IF(B688="","",IF(AND(D688="Formalização",E688="Concluído"),IF(COUNTIFS($B$2:$B$5001,B688,$E$2:$E$5001,"Em ajustes",$A$2:$A$5001,"&lt;"&amp;I688)&gt;0,1,0),0))</f>
        <v/>
      </c>
      <c r="L688" s="16" t="str">
        <f aca="false">IF(B688="","",IF(A688=_xlfn.MAXIFS($A$2:$A$5001,$B$2:$B$5001,B688,$I$2:$I$5001,I688),1,0))</f>
        <v/>
      </c>
    </row>
    <row r="689" customFormat="false" ht="15" hidden="false" customHeight="false" outlineLevel="0" collapsed="false">
      <c r="I689" s="15" t="str">
        <f aca="false">IF(A689="","",INT(A689))</f>
        <v/>
      </c>
      <c r="J689" s="16" t="str">
        <f aca="false">IF(B689="","",IF(A689=_xlfn.MINIFS($A$2:$A$5001,$B$2:$B$5001,B689),1,0))</f>
        <v/>
      </c>
      <c r="K689" s="16" t="str">
        <f aca="false">IF(B689="","",IF(AND(D689="Formalização",E689="Concluído"),IF(COUNTIFS($B$2:$B$5001,B689,$E$2:$E$5001,"Em ajustes",$A$2:$A$5001,"&lt;"&amp;I689)&gt;0,1,0),0))</f>
        <v/>
      </c>
      <c r="L689" s="16" t="str">
        <f aca="false">IF(B689="","",IF(A689=_xlfn.MAXIFS($A$2:$A$5001,$B$2:$B$5001,B689,$I$2:$I$5001,I689),1,0))</f>
        <v/>
      </c>
    </row>
    <row r="690" customFormat="false" ht="15" hidden="false" customHeight="false" outlineLevel="0" collapsed="false">
      <c r="I690" s="15" t="str">
        <f aca="false">IF(A690="","",INT(A690))</f>
        <v/>
      </c>
      <c r="J690" s="16" t="str">
        <f aca="false">IF(B690="","",IF(A690=_xlfn.MINIFS($A$2:$A$5001,$B$2:$B$5001,B690),1,0))</f>
        <v/>
      </c>
      <c r="K690" s="16" t="str">
        <f aca="false">IF(B690="","",IF(AND(D690="Formalização",E690="Concluído"),IF(COUNTIFS($B$2:$B$5001,B690,$E$2:$E$5001,"Em ajustes",$A$2:$A$5001,"&lt;"&amp;I690)&gt;0,1,0),0))</f>
        <v/>
      </c>
      <c r="L690" s="16" t="str">
        <f aca="false">IF(B690="","",IF(A690=_xlfn.MAXIFS($A$2:$A$5001,$B$2:$B$5001,B690,$I$2:$I$5001,I690),1,0))</f>
        <v/>
      </c>
    </row>
    <row r="691" customFormat="false" ht="15" hidden="false" customHeight="false" outlineLevel="0" collapsed="false">
      <c r="I691" s="15" t="str">
        <f aca="false">IF(A691="","",INT(A691))</f>
        <v/>
      </c>
      <c r="J691" s="16" t="str">
        <f aca="false">IF(B691="","",IF(A691=_xlfn.MINIFS($A$2:$A$5001,$B$2:$B$5001,B691),1,0))</f>
        <v/>
      </c>
      <c r="K691" s="16" t="str">
        <f aca="false">IF(B691="","",IF(AND(D691="Formalização",E691="Concluído"),IF(COUNTIFS($B$2:$B$5001,B691,$E$2:$E$5001,"Em ajustes",$A$2:$A$5001,"&lt;"&amp;I691)&gt;0,1,0),0))</f>
        <v/>
      </c>
      <c r="L691" s="16" t="str">
        <f aca="false">IF(B691="","",IF(A691=_xlfn.MAXIFS($A$2:$A$5001,$B$2:$B$5001,B691,$I$2:$I$5001,I691),1,0))</f>
        <v/>
      </c>
    </row>
    <row r="692" customFormat="false" ht="15" hidden="false" customHeight="false" outlineLevel="0" collapsed="false">
      <c r="I692" s="15" t="str">
        <f aca="false">IF(A692="","",INT(A692))</f>
        <v/>
      </c>
      <c r="J692" s="16" t="str">
        <f aca="false">IF(B692="","",IF(A692=_xlfn.MINIFS($A$2:$A$5001,$B$2:$B$5001,B692),1,0))</f>
        <v/>
      </c>
      <c r="K692" s="16" t="str">
        <f aca="false">IF(B692="","",IF(AND(D692="Formalização",E692="Concluído"),IF(COUNTIFS($B$2:$B$5001,B692,$E$2:$E$5001,"Em ajustes",$A$2:$A$5001,"&lt;"&amp;I692)&gt;0,1,0),0))</f>
        <v/>
      </c>
      <c r="L692" s="16" t="str">
        <f aca="false">IF(B692="","",IF(A692=_xlfn.MAXIFS($A$2:$A$5001,$B$2:$B$5001,B692,$I$2:$I$5001,I692),1,0))</f>
        <v/>
      </c>
    </row>
    <row r="693" customFormat="false" ht="15" hidden="false" customHeight="false" outlineLevel="0" collapsed="false">
      <c r="I693" s="15" t="str">
        <f aca="false">IF(A693="","",INT(A693))</f>
        <v/>
      </c>
      <c r="J693" s="16" t="str">
        <f aca="false">IF(B693="","",IF(A693=_xlfn.MINIFS($A$2:$A$5001,$B$2:$B$5001,B693),1,0))</f>
        <v/>
      </c>
      <c r="K693" s="16" t="str">
        <f aca="false">IF(B693="","",IF(AND(D693="Formalização",E693="Concluído"),IF(COUNTIFS($B$2:$B$5001,B693,$E$2:$E$5001,"Em ajustes",$A$2:$A$5001,"&lt;"&amp;I693)&gt;0,1,0),0))</f>
        <v/>
      </c>
      <c r="L693" s="16" t="str">
        <f aca="false">IF(B693="","",IF(A693=_xlfn.MAXIFS($A$2:$A$5001,$B$2:$B$5001,B693,$I$2:$I$5001,I693),1,0))</f>
        <v/>
      </c>
    </row>
    <row r="694" customFormat="false" ht="15" hidden="false" customHeight="false" outlineLevel="0" collapsed="false">
      <c r="I694" s="15" t="str">
        <f aca="false">IF(A694="","",INT(A694))</f>
        <v/>
      </c>
      <c r="J694" s="16" t="str">
        <f aca="false">IF(B694="","",IF(A694=_xlfn.MINIFS($A$2:$A$5001,$B$2:$B$5001,B694),1,0))</f>
        <v/>
      </c>
      <c r="K694" s="16" t="str">
        <f aca="false">IF(B694="","",IF(AND(D694="Formalização",E694="Concluído"),IF(COUNTIFS($B$2:$B$5001,B694,$E$2:$E$5001,"Em ajustes",$A$2:$A$5001,"&lt;"&amp;I694)&gt;0,1,0),0))</f>
        <v/>
      </c>
      <c r="L694" s="16" t="str">
        <f aca="false">IF(B694="","",IF(A694=_xlfn.MAXIFS($A$2:$A$5001,$B$2:$B$5001,B694,$I$2:$I$5001,I694),1,0))</f>
        <v/>
      </c>
    </row>
    <row r="695" customFormat="false" ht="15" hidden="false" customHeight="false" outlineLevel="0" collapsed="false">
      <c r="I695" s="15" t="str">
        <f aca="false">IF(A695="","",INT(A695))</f>
        <v/>
      </c>
      <c r="J695" s="16" t="str">
        <f aca="false">IF(B695="","",IF(A695=_xlfn.MINIFS($A$2:$A$5001,$B$2:$B$5001,B695),1,0))</f>
        <v/>
      </c>
      <c r="K695" s="16" t="str">
        <f aca="false">IF(B695="","",IF(AND(D695="Formalização",E695="Concluído"),IF(COUNTIFS($B$2:$B$5001,B695,$E$2:$E$5001,"Em ajustes",$A$2:$A$5001,"&lt;"&amp;I695)&gt;0,1,0),0))</f>
        <v/>
      </c>
      <c r="L695" s="16" t="str">
        <f aca="false">IF(B695="","",IF(A695=_xlfn.MAXIFS($A$2:$A$5001,$B$2:$B$5001,B695,$I$2:$I$5001,I695),1,0))</f>
        <v/>
      </c>
    </row>
    <row r="696" customFormat="false" ht="15" hidden="false" customHeight="false" outlineLevel="0" collapsed="false">
      <c r="I696" s="15" t="str">
        <f aca="false">IF(A696="","",INT(A696))</f>
        <v/>
      </c>
      <c r="J696" s="16" t="str">
        <f aca="false">IF(B696="","",IF(A696=_xlfn.MINIFS($A$2:$A$5001,$B$2:$B$5001,B696),1,0))</f>
        <v/>
      </c>
      <c r="K696" s="16" t="str">
        <f aca="false">IF(B696="","",IF(AND(D696="Formalização",E696="Concluído"),IF(COUNTIFS($B$2:$B$5001,B696,$E$2:$E$5001,"Em ajustes",$A$2:$A$5001,"&lt;"&amp;I696)&gt;0,1,0),0))</f>
        <v/>
      </c>
      <c r="L696" s="16" t="str">
        <f aca="false">IF(B696="","",IF(A696=_xlfn.MAXIFS($A$2:$A$5001,$B$2:$B$5001,B696,$I$2:$I$5001,I696),1,0))</f>
        <v/>
      </c>
    </row>
    <row r="697" customFormat="false" ht="15" hidden="false" customHeight="false" outlineLevel="0" collapsed="false">
      <c r="I697" s="15" t="str">
        <f aca="false">IF(A697="","",INT(A697))</f>
        <v/>
      </c>
      <c r="J697" s="16" t="str">
        <f aca="false">IF(B697="","",IF(A697=_xlfn.MINIFS($A$2:$A$5001,$B$2:$B$5001,B697),1,0))</f>
        <v/>
      </c>
      <c r="K697" s="16" t="str">
        <f aca="false">IF(B697="","",IF(AND(D697="Formalização",E697="Concluído"),IF(COUNTIFS($B$2:$B$5001,B697,$E$2:$E$5001,"Em ajustes",$A$2:$A$5001,"&lt;"&amp;I697)&gt;0,1,0),0))</f>
        <v/>
      </c>
      <c r="L697" s="16" t="str">
        <f aca="false">IF(B697="","",IF(A697=_xlfn.MAXIFS($A$2:$A$5001,$B$2:$B$5001,B697,$I$2:$I$5001,I697),1,0))</f>
        <v/>
      </c>
    </row>
    <row r="698" customFormat="false" ht="15" hidden="false" customHeight="false" outlineLevel="0" collapsed="false">
      <c r="I698" s="15" t="str">
        <f aca="false">IF(A698="","",INT(A698))</f>
        <v/>
      </c>
      <c r="J698" s="16" t="str">
        <f aca="false">IF(B698="","",IF(A698=_xlfn.MINIFS($A$2:$A$5001,$B$2:$B$5001,B698),1,0))</f>
        <v/>
      </c>
      <c r="K698" s="16" t="str">
        <f aca="false">IF(B698="","",IF(AND(D698="Formalização",E698="Concluído"),IF(COUNTIFS($B$2:$B$5001,B698,$E$2:$E$5001,"Em ajustes",$A$2:$A$5001,"&lt;"&amp;I698)&gt;0,1,0),0))</f>
        <v/>
      </c>
      <c r="L698" s="16" t="str">
        <f aca="false">IF(B698="","",IF(A698=_xlfn.MAXIFS($A$2:$A$5001,$B$2:$B$5001,B698,$I$2:$I$5001,I698),1,0))</f>
        <v/>
      </c>
    </row>
    <row r="699" customFormat="false" ht="15" hidden="false" customHeight="false" outlineLevel="0" collapsed="false">
      <c r="I699" s="15" t="str">
        <f aca="false">IF(A699="","",INT(A699))</f>
        <v/>
      </c>
      <c r="J699" s="16" t="str">
        <f aca="false">IF(B699="","",IF(A699=_xlfn.MINIFS($A$2:$A$5001,$B$2:$B$5001,B699),1,0))</f>
        <v/>
      </c>
      <c r="K699" s="16" t="str">
        <f aca="false">IF(B699="","",IF(AND(D699="Formalização",E699="Concluído"),IF(COUNTIFS($B$2:$B$5001,B699,$E$2:$E$5001,"Em ajustes",$A$2:$A$5001,"&lt;"&amp;I699)&gt;0,1,0),0))</f>
        <v/>
      </c>
      <c r="L699" s="16" t="str">
        <f aca="false">IF(B699="","",IF(A699=_xlfn.MAXIFS($A$2:$A$5001,$B$2:$B$5001,B699,$I$2:$I$5001,I699),1,0))</f>
        <v/>
      </c>
    </row>
    <row r="700" customFormat="false" ht="15" hidden="false" customHeight="false" outlineLevel="0" collapsed="false">
      <c r="I700" s="15" t="str">
        <f aca="false">IF(A700="","",INT(A700))</f>
        <v/>
      </c>
      <c r="J700" s="16" t="str">
        <f aca="false">IF(B700="","",IF(A700=_xlfn.MINIFS($A$2:$A$5001,$B$2:$B$5001,B700),1,0))</f>
        <v/>
      </c>
      <c r="K700" s="16" t="str">
        <f aca="false">IF(B700="","",IF(AND(D700="Formalização",E700="Concluído"),IF(COUNTIFS($B$2:$B$5001,B700,$E$2:$E$5001,"Em ajustes",$A$2:$A$5001,"&lt;"&amp;I700)&gt;0,1,0),0))</f>
        <v/>
      </c>
      <c r="L700" s="16" t="str">
        <f aca="false">IF(B700="","",IF(A700=_xlfn.MAXIFS($A$2:$A$5001,$B$2:$B$5001,B700,$I$2:$I$5001,I700),1,0))</f>
        <v/>
      </c>
    </row>
    <row r="701" customFormat="false" ht="15" hidden="false" customHeight="false" outlineLevel="0" collapsed="false">
      <c r="I701" s="15" t="str">
        <f aca="false">IF(A701="","",INT(A701))</f>
        <v/>
      </c>
      <c r="J701" s="16" t="str">
        <f aca="false">IF(B701="","",IF(A701=_xlfn.MINIFS($A$2:$A$5001,$B$2:$B$5001,B701),1,0))</f>
        <v/>
      </c>
      <c r="K701" s="16" t="str">
        <f aca="false">IF(B701="","",IF(AND(D701="Formalização",E701="Concluído"),IF(COUNTIFS($B$2:$B$5001,B701,$E$2:$E$5001,"Em ajustes",$A$2:$A$5001,"&lt;"&amp;I701)&gt;0,1,0),0))</f>
        <v/>
      </c>
      <c r="L701" s="16" t="str">
        <f aca="false">IF(B701="","",IF(A701=_xlfn.MAXIFS($A$2:$A$5001,$B$2:$B$5001,B701,$I$2:$I$5001,I701),1,0))</f>
        <v/>
      </c>
    </row>
    <row r="702" customFormat="false" ht="15" hidden="false" customHeight="false" outlineLevel="0" collapsed="false">
      <c r="I702" s="15" t="str">
        <f aca="false">IF(A702="","",INT(A702))</f>
        <v/>
      </c>
      <c r="J702" s="16" t="str">
        <f aca="false">IF(B702="","",IF(A702=_xlfn.MINIFS($A$2:$A$5001,$B$2:$B$5001,B702),1,0))</f>
        <v/>
      </c>
      <c r="K702" s="16" t="str">
        <f aca="false">IF(B702="","",IF(AND(D702="Formalização",E702="Concluído"),IF(COUNTIFS($B$2:$B$5001,B702,$E$2:$E$5001,"Em ajustes",$A$2:$A$5001,"&lt;"&amp;I702)&gt;0,1,0),0))</f>
        <v/>
      </c>
      <c r="L702" s="16" t="str">
        <f aca="false">IF(B702="","",IF(A702=_xlfn.MAXIFS($A$2:$A$5001,$B$2:$B$5001,B702,$I$2:$I$5001,I702),1,0))</f>
        <v/>
      </c>
    </row>
    <row r="703" customFormat="false" ht="15" hidden="false" customHeight="false" outlineLevel="0" collapsed="false">
      <c r="I703" s="15" t="str">
        <f aca="false">IF(A703="","",INT(A703))</f>
        <v/>
      </c>
      <c r="J703" s="16" t="str">
        <f aca="false">IF(B703="","",IF(A703=_xlfn.MINIFS($A$2:$A$5001,$B$2:$B$5001,B703),1,0))</f>
        <v/>
      </c>
      <c r="K703" s="16" t="str">
        <f aca="false">IF(B703="","",IF(AND(D703="Formalização",E703="Concluído"),IF(COUNTIFS($B$2:$B$5001,B703,$E$2:$E$5001,"Em ajustes",$A$2:$A$5001,"&lt;"&amp;I703)&gt;0,1,0),0))</f>
        <v/>
      </c>
      <c r="L703" s="16" t="str">
        <f aca="false">IF(B703="","",IF(A703=_xlfn.MAXIFS($A$2:$A$5001,$B$2:$B$5001,B703,$I$2:$I$5001,I703),1,0))</f>
        <v/>
      </c>
    </row>
    <row r="704" customFormat="false" ht="15" hidden="false" customHeight="false" outlineLevel="0" collapsed="false">
      <c r="I704" s="15" t="str">
        <f aca="false">IF(A704="","",INT(A704))</f>
        <v/>
      </c>
      <c r="J704" s="16" t="str">
        <f aca="false">IF(B704="","",IF(A704=_xlfn.MINIFS($A$2:$A$5001,$B$2:$B$5001,B704),1,0))</f>
        <v/>
      </c>
      <c r="K704" s="16" t="str">
        <f aca="false">IF(B704="","",IF(AND(D704="Formalização",E704="Concluído"),IF(COUNTIFS($B$2:$B$5001,B704,$E$2:$E$5001,"Em ajustes",$A$2:$A$5001,"&lt;"&amp;I704)&gt;0,1,0),0))</f>
        <v/>
      </c>
      <c r="L704" s="16" t="str">
        <f aca="false">IF(B704="","",IF(A704=_xlfn.MAXIFS($A$2:$A$5001,$B$2:$B$5001,B704,$I$2:$I$5001,I704),1,0))</f>
        <v/>
      </c>
    </row>
    <row r="705" customFormat="false" ht="15" hidden="false" customHeight="false" outlineLevel="0" collapsed="false">
      <c r="I705" s="15" t="str">
        <f aca="false">IF(A705="","",INT(A705))</f>
        <v/>
      </c>
      <c r="J705" s="16" t="str">
        <f aca="false">IF(B705="","",IF(A705=_xlfn.MINIFS($A$2:$A$5001,$B$2:$B$5001,B705),1,0))</f>
        <v/>
      </c>
      <c r="K705" s="16" t="str">
        <f aca="false">IF(B705="","",IF(AND(D705="Formalização",E705="Concluído"),IF(COUNTIFS($B$2:$B$5001,B705,$E$2:$E$5001,"Em ajustes",$A$2:$A$5001,"&lt;"&amp;I705)&gt;0,1,0),0))</f>
        <v/>
      </c>
      <c r="L705" s="16" t="str">
        <f aca="false">IF(B705="","",IF(A705=_xlfn.MAXIFS($A$2:$A$5001,$B$2:$B$5001,B705,$I$2:$I$5001,I705),1,0))</f>
        <v/>
      </c>
    </row>
    <row r="706" customFormat="false" ht="15" hidden="false" customHeight="false" outlineLevel="0" collapsed="false">
      <c r="I706" s="15" t="str">
        <f aca="false">IF(A706="","",INT(A706))</f>
        <v/>
      </c>
      <c r="J706" s="16" t="str">
        <f aca="false">IF(B706="","",IF(A706=_xlfn.MINIFS($A$2:$A$5001,$B$2:$B$5001,B706),1,0))</f>
        <v/>
      </c>
      <c r="K706" s="16" t="str">
        <f aca="false">IF(B706="","",IF(AND(D706="Formalização",E706="Concluído"),IF(COUNTIFS($B$2:$B$5001,B706,$E$2:$E$5001,"Em ajustes",$A$2:$A$5001,"&lt;"&amp;I706)&gt;0,1,0),0))</f>
        <v/>
      </c>
      <c r="L706" s="16" t="str">
        <f aca="false">IF(B706="","",IF(A706=_xlfn.MAXIFS($A$2:$A$5001,$B$2:$B$5001,B706,$I$2:$I$5001,I706),1,0))</f>
        <v/>
      </c>
    </row>
    <row r="707" customFormat="false" ht="15" hidden="false" customHeight="false" outlineLevel="0" collapsed="false">
      <c r="I707" s="15" t="str">
        <f aca="false">IF(A707="","",INT(A707))</f>
        <v/>
      </c>
      <c r="J707" s="16" t="str">
        <f aca="false">IF(B707="","",IF(A707=_xlfn.MINIFS($A$2:$A$5001,$B$2:$B$5001,B707),1,0))</f>
        <v/>
      </c>
      <c r="K707" s="16" t="str">
        <f aca="false">IF(B707="","",IF(AND(D707="Formalização",E707="Concluído"),IF(COUNTIFS($B$2:$B$5001,B707,$E$2:$E$5001,"Em ajustes",$A$2:$A$5001,"&lt;"&amp;I707)&gt;0,1,0),0))</f>
        <v/>
      </c>
      <c r="L707" s="16" t="str">
        <f aca="false">IF(B707="","",IF(A707=_xlfn.MAXIFS($A$2:$A$5001,$B$2:$B$5001,B707,$I$2:$I$5001,I707),1,0))</f>
        <v/>
      </c>
    </row>
    <row r="708" customFormat="false" ht="15" hidden="false" customHeight="false" outlineLevel="0" collapsed="false">
      <c r="I708" s="15" t="str">
        <f aca="false">IF(A708="","",INT(A708))</f>
        <v/>
      </c>
      <c r="J708" s="16" t="str">
        <f aca="false">IF(B708="","",IF(A708=_xlfn.MINIFS($A$2:$A$5001,$B$2:$B$5001,B708),1,0))</f>
        <v/>
      </c>
      <c r="K708" s="16" t="str">
        <f aca="false">IF(B708="","",IF(AND(D708="Formalização",E708="Concluído"),IF(COUNTIFS($B$2:$B$5001,B708,$E$2:$E$5001,"Em ajustes",$A$2:$A$5001,"&lt;"&amp;I708)&gt;0,1,0),0))</f>
        <v/>
      </c>
      <c r="L708" s="16" t="str">
        <f aca="false">IF(B708="","",IF(A708=_xlfn.MAXIFS($A$2:$A$5001,$B$2:$B$5001,B708,$I$2:$I$5001,I708),1,0))</f>
        <v/>
      </c>
    </row>
    <row r="709" customFormat="false" ht="15" hidden="false" customHeight="false" outlineLevel="0" collapsed="false">
      <c r="I709" s="15" t="str">
        <f aca="false">IF(A709="","",INT(A709))</f>
        <v/>
      </c>
      <c r="J709" s="16" t="str">
        <f aca="false">IF(B709="","",IF(A709=_xlfn.MINIFS($A$2:$A$5001,$B$2:$B$5001,B709),1,0))</f>
        <v/>
      </c>
      <c r="K709" s="16" t="str">
        <f aca="false">IF(B709="","",IF(AND(D709="Formalização",E709="Concluído"),IF(COUNTIFS($B$2:$B$5001,B709,$E$2:$E$5001,"Em ajustes",$A$2:$A$5001,"&lt;"&amp;I709)&gt;0,1,0),0))</f>
        <v/>
      </c>
      <c r="L709" s="16" t="str">
        <f aca="false">IF(B709="","",IF(A709=_xlfn.MAXIFS($A$2:$A$5001,$B$2:$B$5001,B709,$I$2:$I$5001,I709),1,0))</f>
        <v/>
      </c>
    </row>
    <row r="710" customFormat="false" ht="15" hidden="false" customHeight="false" outlineLevel="0" collapsed="false">
      <c r="I710" s="15" t="str">
        <f aca="false">IF(A710="","",INT(A710))</f>
        <v/>
      </c>
      <c r="J710" s="16" t="str">
        <f aca="false">IF(B710="","",IF(A710=_xlfn.MINIFS($A$2:$A$5001,$B$2:$B$5001,B710),1,0))</f>
        <v/>
      </c>
      <c r="K710" s="16" t="str">
        <f aca="false">IF(B710="","",IF(AND(D710="Formalização",E710="Concluído"),IF(COUNTIFS($B$2:$B$5001,B710,$E$2:$E$5001,"Em ajustes",$A$2:$A$5001,"&lt;"&amp;I710)&gt;0,1,0),0))</f>
        <v/>
      </c>
      <c r="L710" s="16" t="str">
        <f aca="false">IF(B710="","",IF(A710=_xlfn.MAXIFS($A$2:$A$5001,$B$2:$B$5001,B710,$I$2:$I$5001,I710),1,0))</f>
        <v/>
      </c>
    </row>
    <row r="711" customFormat="false" ht="15" hidden="false" customHeight="false" outlineLevel="0" collapsed="false">
      <c r="I711" s="15" t="str">
        <f aca="false">IF(A711="","",INT(A711))</f>
        <v/>
      </c>
      <c r="J711" s="16" t="str">
        <f aca="false">IF(B711="","",IF(A711=_xlfn.MINIFS($A$2:$A$5001,$B$2:$B$5001,B711),1,0))</f>
        <v/>
      </c>
      <c r="K711" s="16" t="str">
        <f aca="false">IF(B711="","",IF(AND(D711="Formalização",E711="Concluído"),IF(COUNTIFS($B$2:$B$5001,B711,$E$2:$E$5001,"Em ajustes",$A$2:$A$5001,"&lt;"&amp;I711)&gt;0,1,0),0))</f>
        <v/>
      </c>
      <c r="L711" s="16" t="str">
        <f aca="false">IF(B711="","",IF(A711=_xlfn.MAXIFS($A$2:$A$5001,$B$2:$B$5001,B711,$I$2:$I$5001,I711),1,0))</f>
        <v/>
      </c>
    </row>
    <row r="712" customFormat="false" ht="15" hidden="false" customHeight="false" outlineLevel="0" collapsed="false">
      <c r="I712" s="15" t="str">
        <f aca="false">IF(A712="","",INT(A712))</f>
        <v/>
      </c>
      <c r="J712" s="16" t="str">
        <f aca="false">IF(B712="","",IF(A712=_xlfn.MINIFS($A$2:$A$5001,$B$2:$B$5001,B712),1,0))</f>
        <v/>
      </c>
      <c r="K712" s="16" t="str">
        <f aca="false">IF(B712="","",IF(AND(D712="Formalização",E712="Concluído"),IF(COUNTIFS($B$2:$B$5001,B712,$E$2:$E$5001,"Em ajustes",$A$2:$A$5001,"&lt;"&amp;I712)&gt;0,1,0),0))</f>
        <v/>
      </c>
      <c r="L712" s="16" t="str">
        <f aca="false">IF(B712="","",IF(A712=_xlfn.MAXIFS($A$2:$A$5001,$B$2:$B$5001,B712,$I$2:$I$5001,I712),1,0))</f>
        <v/>
      </c>
    </row>
    <row r="713" customFormat="false" ht="15" hidden="false" customHeight="false" outlineLevel="0" collapsed="false">
      <c r="I713" s="15" t="str">
        <f aca="false">IF(A713="","",INT(A713))</f>
        <v/>
      </c>
      <c r="J713" s="16" t="str">
        <f aca="false">IF(B713="","",IF(A713=_xlfn.MINIFS($A$2:$A$5001,$B$2:$B$5001,B713),1,0))</f>
        <v/>
      </c>
      <c r="K713" s="16" t="str">
        <f aca="false">IF(B713="","",IF(AND(D713="Formalização",E713="Concluído"),IF(COUNTIFS($B$2:$B$5001,B713,$E$2:$E$5001,"Em ajustes",$A$2:$A$5001,"&lt;"&amp;I713)&gt;0,1,0),0))</f>
        <v/>
      </c>
      <c r="L713" s="16" t="str">
        <f aca="false">IF(B713="","",IF(A713=_xlfn.MAXIFS($A$2:$A$5001,$B$2:$B$5001,B713,$I$2:$I$5001,I713),1,0))</f>
        <v/>
      </c>
    </row>
    <row r="714" customFormat="false" ht="15" hidden="false" customHeight="false" outlineLevel="0" collapsed="false">
      <c r="I714" s="15" t="str">
        <f aca="false">IF(A714="","",INT(A714))</f>
        <v/>
      </c>
      <c r="J714" s="16" t="str">
        <f aca="false">IF(B714="","",IF(A714=_xlfn.MINIFS($A$2:$A$5001,$B$2:$B$5001,B714),1,0))</f>
        <v/>
      </c>
      <c r="K714" s="16" t="str">
        <f aca="false">IF(B714="","",IF(AND(D714="Formalização",E714="Concluído"),IF(COUNTIFS($B$2:$B$5001,B714,$E$2:$E$5001,"Em ajustes",$A$2:$A$5001,"&lt;"&amp;I714)&gt;0,1,0),0))</f>
        <v/>
      </c>
      <c r="L714" s="16" t="str">
        <f aca="false">IF(B714="","",IF(A714=_xlfn.MAXIFS($A$2:$A$5001,$B$2:$B$5001,B714,$I$2:$I$5001,I714),1,0))</f>
        <v/>
      </c>
    </row>
    <row r="715" customFormat="false" ht="15" hidden="false" customHeight="false" outlineLevel="0" collapsed="false">
      <c r="I715" s="15" t="str">
        <f aca="false">IF(A715="","",INT(A715))</f>
        <v/>
      </c>
      <c r="J715" s="16" t="str">
        <f aca="false">IF(B715="","",IF(A715=_xlfn.MINIFS($A$2:$A$5001,$B$2:$B$5001,B715),1,0))</f>
        <v/>
      </c>
      <c r="K715" s="16" t="str">
        <f aca="false">IF(B715="","",IF(AND(D715="Formalização",E715="Concluído"),IF(COUNTIFS($B$2:$B$5001,B715,$E$2:$E$5001,"Em ajustes",$A$2:$A$5001,"&lt;"&amp;I715)&gt;0,1,0),0))</f>
        <v/>
      </c>
      <c r="L715" s="16" t="str">
        <f aca="false">IF(B715="","",IF(A715=_xlfn.MAXIFS($A$2:$A$5001,$B$2:$B$5001,B715,$I$2:$I$5001,I715),1,0))</f>
        <v/>
      </c>
    </row>
    <row r="716" customFormat="false" ht="15" hidden="false" customHeight="false" outlineLevel="0" collapsed="false">
      <c r="I716" s="15" t="str">
        <f aca="false">IF(A716="","",INT(A716))</f>
        <v/>
      </c>
      <c r="J716" s="16" t="str">
        <f aca="false">IF(B716="","",IF(A716=_xlfn.MINIFS($A$2:$A$5001,$B$2:$B$5001,B716),1,0))</f>
        <v/>
      </c>
      <c r="K716" s="16" t="str">
        <f aca="false">IF(B716="","",IF(AND(D716="Formalização",E716="Concluído"),IF(COUNTIFS($B$2:$B$5001,B716,$E$2:$E$5001,"Em ajustes",$A$2:$A$5001,"&lt;"&amp;I716)&gt;0,1,0),0))</f>
        <v/>
      </c>
      <c r="L716" s="16" t="str">
        <f aca="false">IF(B716="","",IF(A716=_xlfn.MAXIFS($A$2:$A$5001,$B$2:$B$5001,B716,$I$2:$I$5001,I716),1,0))</f>
        <v/>
      </c>
    </row>
    <row r="717" customFormat="false" ht="15" hidden="false" customHeight="false" outlineLevel="0" collapsed="false">
      <c r="I717" s="15" t="str">
        <f aca="false">IF(A717="","",INT(A717))</f>
        <v/>
      </c>
      <c r="J717" s="16" t="str">
        <f aca="false">IF(B717="","",IF(A717=_xlfn.MINIFS($A$2:$A$5001,$B$2:$B$5001,B717),1,0))</f>
        <v/>
      </c>
      <c r="K717" s="16" t="str">
        <f aca="false">IF(B717="","",IF(AND(D717="Formalização",E717="Concluído"),IF(COUNTIFS($B$2:$B$5001,B717,$E$2:$E$5001,"Em ajustes",$A$2:$A$5001,"&lt;"&amp;I717)&gt;0,1,0),0))</f>
        <v/>
      </c>
      <c r="L717" s="16" t="str">
        <f aca="false">IF(B717="","",IF(A717=_xlfn.MAXIFS($A$2:$A$5001,$B$2:$B$5001,B717,$I$2:$I$5001,I717),1,0))</f>
        <v/>
      </c>
    </row>
    <row r="718" customFormat="false" ht="15" hidden="false" customHeight="false" outlineLevel="0" collapsed="false">
      <c r="I718" s="15" t="str">
        <f aca="false">IF(A718="","",INT(A718))</f>
        <v/>
      </c>
      <c r="J718" s="16" t="str">
        <f aca="false">IF(B718="","",IF(A718=_xlfn.MINIFS($A$2:$A$5001,$B$2:$B$5001,B718),1,0))</f>
        <v/>
      </c>
      <c r="K718" s="16" t="str">
        <f aca="false">IF(B718="","",IF(AND(D718="Formalização",E718="Concluído"),IF(COUNTIFS($B$2:$B$5001,B718,$E$2:$E$5001,"Em ajustes",$A$2:$A$5001,"&lt;"&amp;I718)&gt;0,1,0),0))</f>
        <v/>
      </c>
      <c r="L718" s="16" t="str">
        <f aca="false">IF(B718="","",IF(A718=_xlfn.MAXIFS($A$2:$A$5001,$B$2:$B$5001,B718,$I$2:$I$5001,I718),1,0))</f>
        <v/>
      </c>
    </row>
    <row r="719" customFormat="false" ht="15" hidden="false" customHeight="false" outlineLevel="0" collapsed="false">
      <c r="I719" s="15" t="str">
        <f aca="false">IF(A719="","",INT(A719))</f>
        <v/>
      </c>
      <c r="J719" s="16" t="str">
        <f aca="false">IF(B719="","",IF(A719=_xlfn.MINIFS($A$2:$A$5001,$B$2:$B$5001,B719),1,0))</f>
        <v/>
      </c>
      <c r="K719" s="16" t="str">
        <f aca="false">IF(B719="","",IF(AND(D719="Formalização",E719="Concluído"),IF(COUNTIFS($B$2:$B$5001,B719,$E$2:$E$5001,"Em ajustes",$A$2:$A$5001,"&lt;"&amp;I719)&gt;0,1,0),0))</f>
        <v/>
      </c>
      <c r="L719" s="16" t="str">
        <f aca="false">IF(B719="","",IF(A719=_xlfn.MAXIFS($A$2:$A$5001,$B$2:$B$5001,B719,$I$2:$I$5001,I719),1,0))</f>
        <v/>
      </c>
    </row>
    <row r="720" customFormat="false" ht="15" hidden="false" customHeight="false" outlineLevel="0" collapsed="false">
      <c r="I720" s="15" t="str">
        <f aca="false">IF(A720="","",INT(A720))</f>
        <v/>
      </c>
      <c r="J720" s="16" t="str">
        <f aca="false">IF(B720="","",IF(A720=_xlfn.MINIFS($A$2:$A$5001,$B$2:$B$5001,B720),1,0))</f>
        <v/>
      </c>
      <c r="K720" s="16" t="str">
        <f aca="false">IF(B720="","",IF(AND(D720="Formalização",E720="Concluído"),IF(COUNTIFS($B$2:$B$5001,B720,$E$2:$E$5001,"Em ajustes",$A$2:$A$5001,"&lt;"&amp;I720)&gt;0,1,0),0))</f>
        <v/>
      </c>
      <c r="L720" s="16" t="str">
        <f aca="false">IF(B720="","",IF(A720=_xlfn.MAXIFS($A$2:$A$5001,$B$2:$B$5001,B720,$I$2:$I$5001,I720),1,0))</f>
        <v/>
      </c>
    </row>
    <row r="721" customFormat="false" ht="15" hidden="false" customHeight="false" outlineLevel="0" collapsed="false">
      <c r="I721" s="15" t="str">
        <f aca="false">IF(A721="","",INT(A721))</f>
        <v/>
      </c>
      <c r="J721" s="16" t="str">
        <f aca="false">IF(B721="","",IF(A721=_xlfn.MINIFS($A$2:$A$5001,$B$2:$B$5001,B721),1,0))</f>
        <v/>
      </c>
      <c r="K721" s="16" t="str">
        <f aca="false">IF(B721="","",IF(AND(D721="Formalização",E721="Concluído"),IF(COUNTIFS($B$2:$B$5001,B721,$E$2:$E$5001,"Em ajustes",$A$2:$A$5001,"&lt;"&amp;I721)&gt;0,1,0),0))</f>
        <v/>
      </c>
      <c r="L721" s="16" t="str">
        <f aca="false">IF(B721="","",IF(A721=_xlfn.MAXIFS($A$2:$A$5001,$B$2:$B$5001,B721,$I$2:$I$5001,I721),1,0))</f>
        <v/>
      </c>
    </row>
    <row r="722" customFormat="false" ht="15" hidden="false" customHeight="false" outlineLevel="0" collapsed="false">
      <c r="I722" s="15" t="str">
        <f aca="false">IF(A722="","",INT(A722))</f>
        <v/>
      </c>
      <c r="J722" s="16" t="str">
        <f aca="false">IF(B722="","",IF(A722=_xlfn.MINIFS($A$2:$A$5001,$B$2:$B$5001,B722),1,0))</f>
        <v/>
      </c>
      <c r="K722" s="16" t="str">
        <f aca="false">IF(B722="","",IF(AND(D722="Formalização",E722="Concluído"),IF(COUNTIFS($B$2:$B$5001,B722,$E$2:$E$5001,"Em ajustes",$A$2:$A$5001,"&lt;"&amp;I722)&gt;0,1,0),0))</f>
        <v/>
      </c>
      <c r="L722" s="16" t="str">
        <f aca="false">IF(B722="","",IF(A722=_xlfn.MAXIFS($A$2:$A$5001,$B$2:$B$5001,B722,$I$2:$I$5001,I722),1,0))</f>
        <v/>
      </c>
    </row>
    <row r="723" customFormat="false" ht="15" hidden="false" customHeight="false" outlineLevel="0" collapsed="false">
      <c r="I723" s="15" t="str">
        <f aca="false">IF(A723="","",INT(A723))</f>
        <v/>
      </c>
      <c r="J723" s="16" t="str">
        <f aca="false">IF(B723="","",IF(A723=_xlfn.MINIFS($A$2:$A$5001,$B$2:$B$5001,B723),1,0))</f>
        <v/>
      </c>
      <c r="K723" s="16" t="str">
        <f aca="false">IF(B723="","",IF(AND(D723="Formalização",E723="Concluído"),IF(COUNTIFS($B$2:$B$5001,B723,$E$2:$E$5001,"Em ajustes",$A$2:$A$5001,"&lt;"&amp;I723)&gt;0,1,0),0))</f>
        <v/>
      </c>
      <c r="L723" s="16" t="str">
        <f aca="false">IF(B723="","",IF(A723=_xlfn.MAXIFS($A$2:$A$5001,$B$2:$B$5001,B723,$I$2:$I$5001,I723),1,0))</f>
        <v/>
      </c>
    </row>
    <row r="724" customFormat="false" ht="15" hidden="false" customHeight="false" outlineLevel="0" collapsed="false">
      <c r="I724" s="15" t="str">
        <f aca="false">IF(A724="","",INT(A724))</f>
        <v/>
      </c>
      <c r="J724" s="16" t="str">
        <f aca="false">IF(B724="","",IF(A724=_xlfn.MINIFS($A$2:$A$5001,$B$2:$B$5001,B724),1,0))</f>
        <v/>
      </c>
      <c r="K724" s="16" t="str">
        <f aca="false">IF(B724="","",IF(AND(D724="Formalização",E724="Concluído"),IF(COUNTIFS($B$2:$B$5001,B724,$E$2:$E$5001,"Em ajustes",$A$2:$A$5001,"&lt;"&amp;I724)&gt;0,1,0),0))</f>
        <v/>
      </c>
      <c r="L724" s="16" t="str">
        <f aca="false">IF(B724="","",IF(A724=_xlfn.MAXIFS($A$2:$A$5001,$B$2:$B$5001,B724,$I$2:$I$5001,I724),1,0))</f>
        <v/>
      </c>
    </row>
    <row r="725" customFormat="false" ht="15" hidden="false" customHeight="false" outlineLevel="0" collapsed="false">
      <c r="I725" s="15" t="str">
        <f aca="false">IF(A725="","",INT(A725))</f>
        <v/>
      </c>
      <c r="J725" s="16" t="str">
        <f aca="false">IF(B725="","",IF(A725=_xlfn.MINIFS($A$2:$A$5001,$B$2:$B$5001,B725),1,0))</f>
        <v/>
      </c>
      <c r="K725" s="16" t="str">
        <f aca="false">IF(B725="","",IF(AND(D725="Formalização",E725="Concluído"),IF(COUNTIFS($B$2:$B$5001,B725,$E$2:$E$5001,"Em ajustes",$A$2:$A$5001,"&lt;"&amp;I725)&gt;0,1,0),0))</f>
        <v/>
      </c>
      <c r="L725" s="16" t="str">
        <f aca="false">IF(B725="","",IF(A725=_xlfn.MAXIFS($A$2:$A$5001,$B$2:$B$5001,B725,$I$2:$I$5001,I725),1,0))</f>
        <v/>
      </c>
    </row>
    <row r="726" customFormat="false" ht="15" hidden="false" customHeight="false" outlineLevel="0" collapsed="false">
      <c r="I726" s="15" t="str">
        <f aca="false">IF(A726="","",INT(A726))</f>
        <v/>
      </c>
      <c r="J726" s="16" t="str">
        <f aca="false">IF(B726="","",IF(A726=_xlfn.MINIFS($A$2:$A$5001,$B$2:$B$5001,B726),1,0))</f>
        <v/>
      </c>
      <c r="K726" s="16" t="str">
        <f aca="false">IF(B726="","",IF(AND(D726="Formalização",E726="Concluído"),IF(COUNTIFS($B$2:$B$5001,B726,$E$2:$E$5001,"Em ajustes",$A$2:$A$5001,"&lt;"&amp;I726)&gt;0,1,0),0))</f>
        <v/>
      </c>
      <c r="L726" s="16" t="str">
        <f aca="false">IF(B726="","",IF(A726=_xlfn.MAXIFS($A$2:$A$5001,$B$2:$B$5001,B726,$I$2:$I$5001,I726),1,0))</f>
        <v/>
      </c>
    </row>
    <row r="727" customFormat="false" ht="15" hidden="false" customHeight="false" outlineLevel="0" collapsed="false">
      <c r="I727" s="15" t="str">
        <f aca="false">IF(A727="","",INT(A727))</f>
        <v/>
      </c>
      <c r="J727" s="16" t="str">
        <f aca="false">IF(B727="","",IF(A727=_xlfn.MINIFS($A$2:$A$5001,$B$2:$B$5001,B727),1,0))</f>
        <v/>
      </c>
      <c r="K727" s="16" t="str">
        <f aca="false">IF(B727="","",IF(AND(D727="Formalização",E727="Concluído"),IF(COUNTIFS($B$2:$B$5001,B727,$E$2:$E$5001,"Em ajustes",$A$2:$A$5001,"&lt;"&amp;I727)&gt;0,1,0),0))</f>
        <v/>
      </c>
      <c r="L727" s="16" t="str">
        <f aca="false">IF(B727="","",IF(A727=_xlfn.MAXIFS($A$2:$A$5001,$B$2:$B$5001,B727,$I$2:$I$5001,I727),1,0))</f>
        <v/>
      </c>
    </row>
    <row r="728" customFormat="false" ht="15" hidden="false" customHeight="false" outlineLevel="0" collapsed="false">
      <c r="I728" s="15" t="str">
        <f aca="false">IF(A728="","",INT(A728))</f>
        <v/>
      </c>
      <c r="J728" s="16" t="str">
        <f aca="false">IF(B728="","",IF(A728=_xlfn.MINIFS($A$2:$A$5001,$B$2:$B$5001,B728),1,0))</f>
        <v/>
      </c>
      <c r="K728" s="16" t="str">
        <f aca="false">IF(B728="","",IF(AND(D728="Formalização",E728="Concluído"),IF(COUNTIFS($B$2:$B$5001,B728,$E$2:$E$5001,"Em ajustes",$A$2:$A$5001,"&lt;"&amp;I728)&gt;0,1,0),0))</f>
        <v/>
      </c>
      <c r="L728" s="16" t="str">
        <f aca="false">IF(B728="","",IF(A728=_xlfn.MAXIFS($A$2:$A$5001,$B$2:$B$5001,B728,$I$2:$I$5001,I728),1,0))</f>
        <v/>
      </c>
    </row>
    <row r="729" customFormat="false" ht="15" hidden="false" customHeight="false" outlineLevel="0" collapsed="false">
      <c r="I729" s="15" t="str">
        <f aca="false">IF(A729="","",INT(A729))</f>
        <v/>
      </c>
      <c r="J729" s="16" t="str">
        <f aca="false">IF(B729="","",IF(A729=_xlfn.MINIFS($A$2:$A$5001,$B$2:$B$5001,B729),1,0))</f>
        <v/>
      </c>
      <c r="K729" s="16" t="str">
        <f aca="false">IF(B729="","",IF(AND(D729="Formalização",E729="Concluído"),IF(COUNTIFS($B$2:$B$5001,B729,$E$2:$E$5001,"Em ajustes",$A$2:$A$5001,"&lt;"&amp;I729)&gt;0,1,0),0))</f>
        <v/>
      </c>
      <c r="L729" s="16" t="str">
        <f aca="false">IF(B729="","",IF(A729=_xlfn.MAXIFS($A$2:$A$5001,$B$2:$B$5001,B729,$I$2:$I$5001,I729),1,0))</f>
        <v/>
      </c>
    </row>
    <row r="730" customFormat="false" ht="15" hidden="false" customHeight="false" outlineLevel="0" collapsed="false">
      <c r="I730" s="15" t="str">
        <f aca="false">IF(A730="","",INT(A730))</f>
        <v/>
      </c>
      <c r="J730" s="16" t="str">
        <f aca="false">IF(B730="","",IF(A730=_xlfn.MINIFS($A$2:$A$5001,$B$2:$B$5001,B730),1,0))</f>
        <v/>
      </c>
      <c r="K730" s="16" t="str">
        <f aca="false">IF(B730="","",IF(AND(D730="Formalização",E730="Concluído"),IF(COUNTIFS($B$2:$B$5001,B730,$E$2:$E$5001,"Em ajustes",$A$2:$A$5001,"&lt;"&amp;I730)&gt;0,1,0),0))</f>
        <v/>
      </c>
      <c r="L730" s="16" t="str">
        <f aca="false">IF(B730="","",IF(A730=_xlfn.MAXIFS($A$2:$A$5001,$B$2:$B$5001,B730,$I$2:$I$5001,I730),1,0))</f>
        <v/>
      </c>
    </row>
    <row r="731" customFormat="false" ht="15" hidden="false" customHeight="false" outlineLevel="0" collapsed="false">
      <c r="I731" s="15" t="str">
        <f aca="false">IF(A731="","",INT(A731))</f>
        <v/>
      </c>
      <c r="J731" s="16" t="str">
        <f aca="false">IF(B731="","",IF(A731=_xlfn.MINIFS($A$2:$A$5001,$B$2:$B$5001,B731),1,0))</f>
        <v/>
      </c>
      <c r="K731" s="16" t="str">
        <f aca="false">IF(B731="","",IF(AND(D731="Formalização",E731="Concluído"),IF(COUNTIFS($B$2:$B$5001,B731,$E$2:$E$5001,"Em ajustes",$A$2:$A$5001,"&lt;"&amp;I731)&gt;0,1,0),0))</f>
        <v/>
      </c>
      <c r="L731" s="16" t="str">
        <f aca="false">IF(B731="","",IF(A731=_xlfn.MAXIFS($A$2:$A$5001,$B$2:$B$5001,B731,$I$2:$I$5001,I731),1,0))</f>
        <v/>
      </c>
    </row>
    <row r="732" customFormat="false" ht="15" hidden="false" customHeight="false" outlineLevel="0" collapsed="false">
      <c r="I732" s="15" t="str">
        <f aca="false">IF(A732="","",INT(A732))</f>
        <v/>
      </c>
      <c r="J732" s="16" t="str">
        <f aca="false">IF(B732="","",IF(A732=_xlfn.MINIFS($A$2:$A$5001,$B$2:$B$5001,B732),1,0))</f>
        <v/>
      </c>
      <c r="K732" s="16" t="str">
        <f aca="false">IF(B732="","",IF(AND(D732="Formalização",E732="Concluído"),IF(COUNTIFS($B$2:$B$5001,B732,$E$2:$E$5001,"Em ajustes",$A$2:$A$5001,"&lt;"&amp;I732)&gt;0,1,0),0))</f>
        <v/>
      </c>
      <c r="L732" s="16" t="str">
        <f aca="false">IF(B732="","",IF(A732=_xlfn.MAXIFS($A$2:$A$5001,$B$2:$B$5001,B732,$I$2:$I$5001,I732),1,0))</f>
        <v/>
      </c>
    </row>
    <row r="733" customFormat="false" ht="15" hidden="false" customHeight="false" outlineLevel="0" collapsed="false">
      <c r="I733" s="15" t="str">
        <f aca="false">IF(A733="","",INT(A733))</f>
        <v/>
      </c>
      <c r="J733" s="16" t="str">
        <f aca="false">IF(B733="","",IF(A733=_xlfn.MINIFS($A$2:$A$5001,$B$2:$B$5001,B733),1,0))</f>
        <v/>
      </c>
      <c r="K733" s="16" t="str">
        <f aca="false">IF(B733="","",IF(AND(D733="Formalização",E733="Concluído"),IF(COUNTIFS($B$2:$B$5001,B733,$E$2:$E$5001,"Em ajustes",$A$2:$A$5001,"&lt;"&amp;I733)&gt;0,1,0),0))</f>
        <v/>
      </c>
      <c r="L733" s="16" t="str">
        <f aca="false">IF(B733="","",IF(A733=_xlfn.MAXIFS($A$2:$A$5001,$B$2:$B$5001,B733,$I$2:$I$5001,I733),1,0))</f>
        <v/>
      </c>
    </row>
    <row r="734" customFormat="false" ht="15" hidden="false" customHeight="false" outlineLevel="0" collapsed="false">
      <c r="I734" s="15" t="str">
        <f aca="false">IF(A734="","",INT(A734))</f>
        <v/>
      </c>
      <c r="J734" s="16" t="str">
        <f aca="false">IF(B734="","",IF(A734=_xlfn.MINIFS($A$2:$A$5001,$B$2:$B$5001,B734),1,0))</f>
        <v/>
      </c>
      <c r="K734" s="16" t="str">
        <f aca="false">IF(B734="","",IF(AND(D734="Formalização",E734="Concluído"),IF(COUNTIFS($B$2:$B$5001,B734,$E$2:$E$5001,"Em ajustes",$A$2:$A$5001,"&lt;"&amp;I734)&gt;0,1,0),0))</f>
        <v/>
      </c>
      <c r="L734" s="16" t="str">
        <f aca="false">IF(B734="","",IF(A734=_xlfn.MAXIFS($A$2:$A$5001,$B$2:$B$5001,B734,$I$2:$I$5001,I734),1,0))</f>
        <v/>
      </c>
    </row>
    <row r="735" customFormat="false" ht="15" hidden="false" customHeight="false" outlineLevel="0" collapsed="false">
      <c r="I735" s="15" t="str">
        <f aca="false">IF(A735="","",INT(A735))</f>
        <v/>
      </c>
      <c r="J735" s="16" t="str">
        <f aca="false">IF(B735="","",IF(A735=_xlfn.MINIFS($A$2:$A$5001,$B$2:$B$5001,B735),1,0))</f>
        <v/>
      </c>
      <c r="K735" s="16" t="str">
        <f aca="false">IF(B735="","",IF(AND(D735="Formalização",E735="Concluído"),IF(COUNTIFS($B$2:$B$5001,B735,$E$2:$E$5001,"Em ajustes",$A$2:$A$5001,"&lt;"&amp;I735)&gt;0,1,0),0))</f>
        <v/>
      </c>
      <c r="L735" s="16" t="str">
        <f aca="false">IF(B735="","",IF(A735=_xlfn.MAXIFS($A$2:$A$5001,$B$2:$B$5001,B735,$I$2:$I$5001,I735),1,0))</f>
        <v/>
      </c>
    </row>
    <row r="736" customFormat="false" ht="15" hidden="false" customHeight="false" outlineLevel="0" collapsed="false">
      <c r="I736" s="15" t="str">
        <f aca="false">IF(A736="","",INT(A736))</f>
        <v/>
      </c>
      <c r="J736" s="16" t="str">
        <f aca="false">IF(B736="","",IF(A736=_xlfn.MINIFS($A$2:$A$5001,$B$2:$B$5001,B736),1,0))</f>
        <v/>
      </c>
      <c r="K736" s="16" t="str">
        <f aca="false">IF(B736="","",IF(AND(D736="Formalização",E736="Concluído"),IF(COUNTIFS($B$2:$B$5001,B736,$E$2:$E$5001,"Em ajustes",$A$2:$A$5001,"&lt;"&amp;I736)&gt;0,1,0),0))</f>
        <v/>
      </c>
      <c r="L736" s="16" t="str">
        <f aca="false">IF(B736="","",IF(A736=_xlfn.MAXIFS($A$2:$A$5001,$B$2:$B$5001,B736,$I$2:$I$5001,I736),1,0))</f>
        <v/>
      </c>
    </row>
    <row r="737" customFormat="false" ht="15" hidden="false" customHeight="false" outlineLevel="0" collapsed="false">
      <c r="I737" s="15" t="str">
        <f aca="false">IF(A737="","",INT(A737))</f>
        <v/>
      </c>
      <c r="J737" s="16" t="str">
        <f aca="false">IF(B737="","",IF(A737=_xlfn.MINIFS($A$2:$A$5001,$B$2:$B$5001,B737),1,0))</f>
        <v/>
      </c>
      <c r="K737" s="16" t="str">
        <f aca="false">IF(B737="","",IF(AND(D737="Formalização",E737="Concluído"),IF(COUNTIFS($B$2:$B$5001,B737,$E$2:$E$5001,"Em ajustes",$A$2:$A$5001,"&lt;"&amp;I737)&gt;0,1,0),0))</f>
        <v/>
      </c>
      <c r="L737" s="16" t="str">
        <f aca="false">IF(B737="","",IF(A737=_xlfn.MAXIFS($A$2:$A$5001,$B$2:$B$5001,B737,$I$2:$I$5001,I737),1,0))</f>
        <v/>
      </c>
    </row>
    <row r="738" customFormat="false" ht="15" hidden="false" customHeight="false" outlineLevel="0" collapsed="false">
      <c r="I738" s="15" t="str">
        <f aca="false">IF(A738="","",INT(A738))</f>
        <v/>
      </c>
      <c r="J738" s="16" t="str">
        <f aca="false">IF(B738="","",IF(A738=_xlfn.MINIFS($A$2:$A$5001,$B$2:$B$5001,B738),1,0))</f>
        <v/>
      </c>
      <c r="K738" s="16" t="str">
        <f aca="false">IF(B738="","",IF(AND(D738="Formalização",E738="Concluído"),IF(COUNTIFS($B$2:$B$5001,B738,$E$2:$E$5001,"Em ajustes",$A$2:$A$5001,"&lt;"&amp;I738)&gt;0,1,0),0))</f>
        <v/>
      </c>
      <c r="L738" s="16" t="str">
        <f aca="false">IF(B738="","",IF(A738=_xlfn.MAXIFS($A$2:$A$5001,$B$2:$B$5001,B738,$I$2:$I$5001,I738),1,0))</f>
        <v/>
      </c>
    </row>
    <row r="739" customFormat="false" ht="15" hidden="false" customHeight="false" outlineLevel="0" collapsed="false">
      <c r="I739" s="15" t="str">
        <f aca="false">IF(A739="","",INT(A739))</f>
        <v/>
      </c>
      <c r="J739" s="16" t="str">
        <f aca="false">IF(B739="","",IF(A739=_xlfn.MINIFS($A$2:$A$5001,$B$2:$B$5001,B739),1,0))</f>
        <v/>
      </c>
      <c r="K739" s="16" t="str">
        <f aca="false">IF(B739="","",IF(AND(D739="Formalização",E739="Concluído"),IF(COUNTIFS($B$2:$B$5001,B739,$E$2:$E$5001,"Em ajustes",$A$2:$A$5001,"&lt;"&amp;I739)&gt;0,1,0),0))</f>
        <v/>
      </c>
      <c r="L739" s="16" t="str">
        <f aca="false">IF(B739="","",IF(A739=_xlfn.MAXIFS($A$2:$A$5001,$B$2:$B$5001,B739,$I$2:$I$5001,I739),1,0))</f>
        <v/>
      </c>
    </row>
    <row r="740" customFormat="false" ht="15" hidden="false" customHeight="false" outlineLevel="0" collapsed="false">
      <c r="I740" s="15" t="str">
        <f aca="false">IF(A740="","",INT(A740))</f>
        <v/>
      </c>
      <c r="J740" s="16" t="str">
        <f aca="false">IF(B740="","",IF(A740=_xlfn.MINIFS($A$2:$A$5001,$B$2:$B$5001,B740),1,0))</f>
        <v/>
      </c>
      <c r="K740" s="16" t="str">
        <f aca="false">IF(B740="","",IF(AND(D740="Formalização",E740="Concluído"),IF(COUNTIFS($B$2:$B$5001,B740,$E$2:$E$5001,"Em ajustes",$A$2:$A$5001,"&lt;"&amp;I740)&gt;0,1,0),0))</f>
        <v/>
      </c>
      <c r="L740" s="16" t="str">
        <f aca="false">IF(B740="","",IF(A740=_xlfn.MAXIFS($A$2:$A$5001,$B$2:$B$5001,B740,$I$2:$I$5001,I740),1,0))</f>
        <v/>
      </c>
    </row>
    <row r="741" customFormat="false" ht="15" hidden="false" customHeight="false" outlineLevel="0" collapsed="false">
      <c r="I741" s="15" t="str">
        <f aca="false">IF(A741="","",INT(A741))</f>
        <v/>
      </c>
      <c r="J741" s="16" t="str">
        <f aca="false">IF(B741="","",IF(A741=_xlfn.MINIFS($A$2:$A$5001,$B$2:$B$5001,B741),1,0))</f>
        <v/>
      </c>
      <c r="K741" s="16" t="str">
        <f aca="false">IF(B741="","",IF(AND(D741="Formalização",E741="Concluído"),IF(COUNTIFS($B$2:$B$5001,B741,$E$2:$E$5001,"Em ajustes",$A$2:$A$5001,"&lt;"&amp;I741)&gt;0,1,0),0))</f>
        <v/>
      </c>
      <c r="L741" s="16" t="str">
        <f aca="false">IF(B741="","",IF(A741=_xlfn.MAXIFS($A$2:$A$5001,$B$2:$B$5001,B741,$I$2:$I$5001,I741),1,0))</f>
        <v/>
      </c>
    </row>
    <row r="742" customFormat="false" ht="15" hidden="false" customHeight="false" outlineLevel="0" collapsed="false">
      <c r="I742" s="15" t="str">
        <f aca="false">IF(A742="","",INT(A742))</f>
        <v/>
      </c>
      <c r="J742" s="16" t="str">
        <f aca="false">IF(B742="","",IF(A742=_xlfn.MINIFS($A$2:$A$5001,$B$2:$B$5001,B742),1,0))</f>
        <v/>
      </c>
      <c r="K742" s="16" t="str">
        <f aca="false">IF(B742="","",IF(AND(D742="Formalização",E742="Concluído"),IF(COUNTIFS($B$2:$B$5001,B742,$E$2:$E$5001,"Em ajustes",$A$2:$A$5001,"&lt;"&amp;I742)&gt;0,1,0),0))</f>
        <v/>
      </c>
      <c r="L742" s="16" t="str">
        <f aca="false">IF(B742="","",IF(A742=_xlfn.MAXIFS($A$2:$A$5001,$B$2:$B$5001,B742,$I$2:$I$5001,I742),1,0))</f>
        <v/>
      </c>
    </row>
    <row r="743" customFormat="false" ht="15" hidden="false" customHeight="false" outlineLevel="0" collapsed="false">
      <c r="I743" s="15" t="str">
        <f aca="false">IF(A743="","",INT(A743))</f>
        <v/>
      </c>
      <c r="J743" s="16" t="str">
        <f aca="false">IF(B743="","",IF(A743=_xlfn.MINIFS($A$2:$A$5001,$B$2:$B$5001,B743),1,0))</f>
        <v/>
      </c>
      <c r="K743" s="16" t="str">
        <f aca="false">IF(B743="","",IF(AND(D743="Formalização",E743="Concluído"),IF(COUNTIFS($B$2:$B$5001,B743,$E$2:$E$5001,"Em ajustes",$A$2:$A$5001,"&lt;"&amp;I743)&gt;0,1,0),0))</f>
        <v/>
      </c>
      <c r="L743" s="16" t="str">
        <f aca="false">IF(B743="","",IF(A743=_xlfn.MAXIFS($A$2:$A$5001,$B$2:$B$5001,B743,$I$2:$I$5001,I743),1,0))</f>
        <v/>
      </c>
    </row>
    <row r="744" customFormat="false" ht="15" hidden="false" customHeight="false" outlineLevel="0" collapsed="false">
      <c r="I744" s="15" t="str">
        <f aca="false">IF(A744="","",INT(A744))</f>
        <v/>
      </c>
      <c r="J744" s="16" t="str">
        <f aca="false">IF(B744="","",IF(A744=_xlfn.MINIFS($A$2:$A$5001,$B$2:$B$5001,B744),1,0))</f>
        <v/>
      </c>
      <c r="K744" s="16" t="str">
        <f aca="false">IF(B744="","",IF(AND(D744="Formalização",E744="Concluído"),IF(COUNTIFS($B$2:$B$5001,B744,$E$2:$E$5001,"Em ajustes",$A$2:$A$5001,"&lt;"&amp;I744)&gt;0,1,0),0))</f>
        <v/>
      </c>
      <c r="L744" s="16" t="str">
        <f aca="false">IF(B744="","",IF(A744=_xlfn.MAXIFS($A$2:$A$5001,$B$2:$B$5001,B744,$I$2:$I$5001,I744),1,0))</f>
        <v/>
      </c>
    </row>
    <row r="745" customFormat="false" ht="15" hidden="false" customHeight="false" outlineLevel="0" collapsed="false">
      <c r="I745" s="15" t="str">
        <f aca="false">IF(A745="","",INT(A745))</f>
        <v/>
      </c>
      <c r="J745" s="16" t="str">
        <f aca="false">IF(B745="","",IF(A745=_xlfn.MINIFS($A$2:$A$5001,$B$2:$B$5001,B745),1,0))</f>
        <v/>
      </c>
      <c r="K745" s="16" t="str">
        <f aca="false">IF(B745="","",IF(AND(D745="Formalização",E745="Concluído"),IF(COUNTIFS($B$2:$B$5001,B745,$E$2:$E$5001,"Em ajustes",$A$2:$A$5001,"&lt;"&amp;I745)&gt;0,1,0),0))</f>
        <v/>
      </c>
      <c r="L745" s="16" t="str">
        <f aca="false">IF(B745="","",IF(A745=_xlfn.MAXIFS($A$2:$A$5001,$B$2:$B$5001,B745,$I$2:$I$5001,I745),1,0))</f>
        <v/>
      </c>
    </row>
    <row r="746" customFormat="false" ht="15" hidden="false" customHeight="false" outlineLevel="0" collapsed="false">
      <c r="I746" s="15" t="str">
        <f aca="false">IF(A746="","",INT(A746))</f>
        <v/>
      </c>
      <c r="J746" s="16" t="str">
        <f aca="false">IF(B746="","",IF(A746=_xlfn.MINIFS($A$2:$A$5001,$B$2:$B$5001,B746),1,0))</f>
        <v/>
      </c>
      <c r="K746" s="16" t="str">
        <f aca="false">IF(B746="","",IF(AND(D746="Formalização",E746="Concluído"),IF(COUNTIFS($B$2:$B$5001,B746,$E$2:$E$5001,"Em ajustes",$A$2:$A$5001,"&lt;"&amp;I746)&gt;0,1,0),0))</f>
        <v/>
      </c>
      <c r="L746" s="16" t="str">
        <f aca="false">IF(B746="","",IF(A746=_xlfn.MAXIFS($A$2:$A$5001,$B$2:$B$5001,B746,$I$2:$I$5001,I746),1,0))</f>
        <v/>
      </c>
    </row>
    <row r="747" customFormat="false" ht="15" hidden="false" customHeight="false" outlineLevel="0" collapsed="false">
      <c r="I747" s="15" t="str">
        <f aca="false">IF(A747="","",INT(A747))</f>
        <v/>
      </c>
      <c r="J747" s="16" t="str">
        <f aca="false">IF(B747="","",IF(A747=_xlfn.MINIFS($A$2:$A$5001,$B$2:$B$5001,B747),1,0))</f>
        <v/>
      </c>
      <c r="K747" s="16" t="str">
        <f aca="false">IF(B747="","",IF(AND(D747="Formalização",E747="Concluído"),IF(COUNTIFS($B$2:$B$5001,B747,$E$2:$E$5001,"Em ajustes",$A$2:$A$5001,"&lt;"&amp;I747)&gt;0,1,0),0))</f>
        <v/>
      </c>
      <c r="L747" s="16" t="str">
        <f aca="false">IF(B747="","",IF(A747=_xlfn.MAXIFS($A$2:$A$5001,$B$2:$B$5001,B747,$I$2:$I$5001,I747),1,0))</f>
        <v/>
      </c>
    </row>
    <row r="748" customFormat="false" ht="15" hidden="false" customHeight="false" outlineLevel="0" collapsed="false">
      <c r="I748" s="15" t="str">
        <f aca="false">IF(A748="","",INT(A748))</f>
        <v/>
      </c>
      <c r="J748" s="16" t="str">
        <f aca="false">IF(B748="","",IF(A748=_xlfn.MINIFS($A$2:$A$5001,$B$2:$B$5001,B748),1,0))</f>
        <v/>
      </c>
      <c r="K748" s="16" t="str">
        <f aca="false">IF(B748="","",IF(AND(D748="Formalização",E748="Concluído"),IF(COUNTIFS($B$2:$B$5001,B748,$E$2:$E$5001,"Em ajustes",$A$2:$A$5001,"&lt;"&amp;I748)&gt;0,1,0),0))</f>
        <v/>
      </c>
      <c r="L748" s="16" t="str">
        <f aca="false">IF(B748="","",IF(A748=_xlfn.MAXIFS($A$2:$A$5001,$B$2:$B$5001,B748,$I$2:$I$5001,I748),1,0))</f>
        <v/>
      </c>
    </row>
    <row r="749" customFormat="false" ht="15" hidden="false" customHeight="false" outlineLevel="0" collapsed="false">
      <c r="I749" s="15" t="str">
        <f aca="false">IF(A749="","",INT(A749))</f>
        <v/>
      </c>
      <c r="J749" s="16" t="str">
        <f aca="false">IF(B749="","",IF(A749=_xlfn.MINIFS($A$2:$A$5001,$B$2:$B$5001,B749),1,0))</f>
        <v/>
      </c>
      <c r="K749" s="16" t="str">
        <f aca="false">IF(B749="","",IF(AND(D749="Formalização",E749="Concluído"),IF(COUNTIFS($B$2:$B$5001,B749,$E$2:$E$5001,"Em ajustes",$A$2:$A$5001,"&lt;"&amp;I749)&gt;0,1,0),0))</f>
        <v/>
      </c>
      <c r="L749" s="16" t="str">
        <f aca="false">IF(B749="","",IF(A749=_xlfn.MAXIFS($A$2:$A$5001,$B$2:$B$5001,B749,$I$2:$I$5001,I749),1,0))</f>
        <v/>
      </c>
    </row>
    <row r="750" customFormat="false" ht="15" hidden="false" customHeight="false" outlineLevel="0" collapsed="false">
      <c r="I750" s="15" t="str">
        <f aca="false">IF(A750="","",INT(A750))</f>
        <v/>
      </c>
      <c r="J750" s="16" t="str">
        <f aca="false">IF(B750="","",IF(A750=_xlfn.MINIFS($A$2:$A$5001,$B$2:$B$5001,B750),1,0))</f>
        <v/>
      </c>
      <c r="K750" s="16" t="str">
        <f aca="false">IF(B750="","",IF(AND(D750="Formalização",E750="Concluído"),IF(COUNTIFS($B$2:$B$5001,B750,$E$2:$E$5001,"Em ajustes",$A$2:$A$5001,"&lt;"&amp;I750)&gt;0,1,0),0))</f>
        <v/>
      </c>
      <c r="L750" s="16" t="str">
        <f aca="false">IF(B750="","",IF(A750=_xlfn.MAXIFS($A$2:$A$5001,$B$2:$B$5001,B750,$I$2:$I$5001,I750),1,0))</f>
        <v/>
      </c>
    </row>
    <row r="751" customFormat="false" ht="15" hidden="false" customHeight="false" outlineLevel="0" collapsed="false">
      <c r="I751" s="15" t="str">
        <f aca="false">IF(A751="","",INT(A751))</f>
        <v/>
      </c>
      <c r="J751" s="16" t="str">
        <f aca="false">IF(B751="","",IF(A751=_xlfn.MINIFS($A$2:$A$5001,$B$2:$B$5001,B751),1,0))</f>
        <v/>
      </c>
      <c r="K751" s="16" t="str">
        <f aca="false">IF(B751="","",IF(AND(D751="Formalização",E751="Concluído"),IF(COUNTIFS($B$2:$B$5001,B751,$E$2:$E$5001,"Em ajustes",$A$2:$A$5001,"&lt;"&amp;I751)&gt;0,1,0),0))</f>
        <v/>
      </c>
      <c r="L751" s="16" t="str">
        <f aca="false">IF(B751="","",IF(A751=_xlfn.MAXIFS($A$2:$A$5001,$B$2:$B$5001,B751,$I$2:$I$5001,I751),1,0))</f>
        <v/>
      </c>
    </row>
    <row r="752" customFormat="false" ht="15" hidden="false" customHeight="false" outlineLevel="0" collapsed="false">
      <c r="I752" s="15" t="str">
        <f aca="false">IF(A752="","",INT(A752))</f>
        <v/>
      </c>
      <c r="J752" s="16" t="str">
        <f aca="false">IF(B752="","",IF(A752=_xlfn.MINIFS($A$2:$A$5001,$B$2:$B$5001,B752),1,0))</f>
        <v/>
      </c>
      <c r="K752" s="16" t="str">
        <f aca="false">IF(B752="","",IF(AND(D752="Formalização",E752="Concluído"),IF(COUNTIFS($B$2:$B$5001,B752,$E$2:$E$5001,"Em ajustes",$A$2:$A$5001,"&lt;"&amp;I752)&gt;0,1,0),0))</f>
        <v/>
      </c>
      <c r="L752" s="16" t="str">
        <f aca="false">IF(B752="","",IF(A752=_xlfn.MAXIFS($A$2:$A$5001,$B$2:$B$5001,B752,$I$2:$I$5001,I752),1,0))</f>
        <v/>
      </c>
    </row>
    <row r="753" customFormat="false" ht="15" hidden="false" customHeight="false" outlineLevel="0" collapsed="false">
      <c r="I753" s="15" t="str">
        <f aca="false">IF(A753="","",INT(A753))</f>
        <v/>
      </c>
      <c r="J753" s="16" t="str">
        <f aca="false">IF(B753="","",IF(A753=_xlfn.MINIFS($A$2:$A$5001,$B$2:$B$5001,B753),1,0))</f>
        <v/>
      </c>
      <c r="K753" s="16" t="str">
        <f aca="false">IF(B753="","",IF(AND(D753="Formalização",E753="Concluído"),IF(COUNTIFS($B$2:$B$5001,B753,$E$2:$E$5001,"Em ajustes",$A$2:$A$5001,"&lt;"&amp;I753)&gt;0,1,0),0))</f>
        <v/>
      </c>
      <c r="L753" s="16" t="str">
        <f aca="false">IF(B753="","",IF(A753=_xlfn.MAXIFS($A$2:$A$5001,$B$2:$B$5001,B753,$I$2:$I$5001,I753),1,0))</f>
        <v/>
      </c>
    </row>
    <row r="754" customFormat="false" ht="15" hidden="false" customHeight="false" outlineLevel="0" collapsed="false">
      <c r="I754" s="15" t="str">
        <f aca="false">IF(A754="","",INT(A754))</f>
        <v/>
      </c>
      <c r="J754" s="16" t="str">
        <f aca="false">IF(B754="","",IF(A754=_xlfn.MINIFS($A$2:$A$5001,$B$2:$B$5001,B754),1,0))</f>
        <v/>
      </c>
      <c r="K754" s="16" t="str">
        <f aca="false">IF(B754="","",IF(AND(D754="Formalização",E754="Concluído"),IF(COUNTIFS($B$2:$B$5001,B754,$E$2:$E$5001,"Em ajustes",$A$2:$A$5001,"&lt;"&amp;I754)&gt;0,1,0),0))</f>
        <v/>
      </c>
      <c r="L754" s="16" t="str">
        <f aca="false">IF(B754="","",IF(A754=_xlfn.MAXIFS($A$2:$A$5001,$B$2:$B$5001,B754,$I$2:$I$5001,I754),1,0))</f>
        <v/>
      </c>
    </row>
    <row r="755" customFormat="false" ht="15" hidden="false" customHeight="false" outlineLevel="0" collapsed="false">
      <c r="I755" s="15" t="str">
        <f aca="false">IF(A755="","",INT(A755))</f>
        <v/>
      </c>
      <c r="J755" s="16" t="str">
        <f aca="false">IF(B755="","",IF(A755=_xlfn.MINIFS($A$2:$A$5001,$B$2:$B$5001,B755),1,0))</f>
        <v/>
      </c>
      <c r="K755" s="16" t="str">
        <f aca="false">IF(B755="","",IF(AND(D755="Formalização",E755="Concluído"),IF(COUNTIFS($B$2:$B$5001,B755,$E$2:$E$5001,"Em ajustes",$A$2:$A$5001,"&lt;"&amp;I755)&gt;0,1,0),0))</f>
        <v/>
      </c>
      <c r="L755" s="16" t="str">
        <f aca="false">IF(B755="","",IF(A755=_xlfn.MAXIFS($A$2:$A$5001,$B$2:$B$5001,B755,$I$2:$I$5001,I755),1,0))</f>
        <v/>
      </c>
    </row>
    <row r="756" customFormat="false" ht="15" hidden="false" customHeight="false" outlineLevel="0" collapsed="false">
      <c r="I756" s="15" t="str">
        <f aca="false">IF(A756="","",INT(A756))</f>
        <v/>
      </c>
      <c r="J756" s="16" t="str">
        <f aca="false">IF(B756="","",IF(A756=_xlfn.MINIFS($A$2:$A$5001,$B$2:$B$5001,B756),1,0))</f>
        <v/>
      </c>
      <c r="K756" s="16" t="str">
        <f aca="false">IF(B756="","",IF(AND(D756="Formalização",E756="Concluído"),IF(COUNTIFS($B$2:$B$5001,B756,$E$2:$E$5001,"Em ajustes",$A$2:$A$5001,"&lt;"&amp;I756)&gt;0,1,0),0))</f>
        <v/>
      </c>
      <c r="L756" s="16" t="str">
        <f aca="false">IF(B756="","",IF(A756=_xlfn.MAXIFS($A$2:$A$5001,$B$2:$B$5001,B756,$I$2:$I$5001,I756),1,0))</f>
        <v/>
      </c>
    </row>
    <row r="757" customFormat="false" ht="15" hidden="false" customHeight="false" outlineLevel="0" collapsed="false">
      <c r="I757" s="15" t="str">
        <f aca="false">IF(A757="","",INT(A757))</f>
        <v/>
      </c>
      <c r="J757" s="16" t="str">
        <f aca="false">IF(B757="","",IF(A757=_xlfn.MINIFS($A$2:$A$5001,$B$2:$B$5001,B757),1,0))</f>
        <v/>
      </c>
      <c r="K757" s="16" t="str">
        <f aca="false">IF(B757="","",IF(AND(D757="Formalização",E757="Concluído"),IF(COUNTIFS($B$2:$B$5001,B757,$E$2:$E$5001,"Em ajustes",$A$2:$A$5001,"&lt;"&amp;I757)&gt;0,1,0),0))</f>
        <v/>
      </c>
      <c r="L757" s="16" t="str">
        <f aca="false">IF(B757="","",IF(A757=_xlfn.MAXIFS($A$2:$A$5001,$B$2:$B$5001,B757,$I$2:$I$5001,I757),1,0))</f>
        <v/>
      </c>
    </row>
    <row r="758" customFormat="false" ht="15" hidden="false" customHeight="false" outlineLevel="0" collapsed="false">
      <c r="I758" s="15" t="str">
        <f aca="false">IF(A758="","",INT(A758))</f>
        <v/>
      </c>
      <c r="J758" s="16" t="str">
        <f aca="false">IF(B758="","",IF(A758=_xlfn.MINIFS($A$2:$A$5001,$B$2:$B$5001,B758),1,0))</f>
        <v/>
      </c>
      <c r="K758" s="16" t="str">
        <f aca="false">IF(B758="","",IF(AND(D758="Formalização",E758="Concluído"),IF(COUNTIFS($B$2:$B$5001,B758,$E$2:$E$5001,"Em ajustes",$A$2:$A$5001,"&lt;"&amp;I758)&gt;0,1,0),0))</f>
        <v/>
      </c>
      <c r="L758" s="16" t="str">
        <f aca="false">IF(B758="","",IF(A758=_xlfn.MAXIFS($A$2:$A$5001,$B$2:$B$5001,B758,$I$2:$I$5001,I758),1,0))</f>
        <v/>
      </c>
    </row>
    <row r="759" customFormat="false" ht="15" hidden="false" customHeight="false" outlineLevel="0" collapsed="false">
      <c r="I759" s="15" t="str">
        <f aca="false">IF(A759="","",INT(A759))</f>
        <v/>
      </c>
      <c r="J759" s="16" t="str">
        <f aca="false">IF(B759="","",IF(A759=_xlfn.MINIFS($A$2:$A$5001,$B$2:$B$5001,B759),1,0))</f>
        <v/>
      </c>
      <c r="K759" s="16" t="str">
        <f aca="false">IF(B759="","",IF(AND(D759="Formalização",E759="Concluído"),IF(COUNTIFS($B$2:$B$5001,B759,$E$2:$E$5001,"Em ajustes",$A$2:$A$5001,"&lt;"&amp;I759)&gt;0,1,0),0))</f>
        <v/>
      </c>
      <c r="L759" s="16" t="str">
        <f aca="false">IF(B759="","",IF(A759=_xlfn.MAXIFS($A$2:$A$5001,$B$2:$B$5001,B759,$I$2:$I$5001,I759),1,0))</f>
        <v/>
      </c>
    </row>
    <row r="760" customFormat="false" ht="15" hidden="false" customHeight="false" outlineLevel="0" collapsed="false">
      <c r="I760" s="15" t="str">
        <f aca="false">IF(A760="","",INT(A760))</f>
        <v/>
      </c>
      <c r="J760" s="16" t="str">
        <f aca="false">IF(B760="","",IF(A760=_xlfn.MINIFS($A$2:$A$5001,$B$2:$B$5001,B760),1,0))</f>
        <v/>
      </c>
      <c r="K760" s="16" t="str">
        <f aca="false">IF(B760="","",IF(AND(D760="Formalização",E760="Concluído"),IF(COUNTIFS($B$2:$B$5001,B760,$E$2:$E$5001,"Em ajustes",$A$2:$A$5001,"&lt;"&amp;I760)&gt;0,1,0),0))</f>
        <v/>
      </c>
      <c r="L760" s="16" t="str">
        <f aca="false">IF(B760="","",IF(A760=_xlfn.MAXIFS($A$2:$A$5001,$B$2:$B$5001,B760,$I$2:$I$5001,I760),1,0))</f>
        <v/>
      </c>
    </row>
    <row r="761" customFormat="false" ht="15" hidden="false" customHeight="false" outlineLevel="0" collapsed="false">
      <c r="I761" s="15" t="str">
        <f aca="false">IF(A761="","",INT(A761))</f>
        <v/>
      </c>
      <c r="J761" s="16" t="str">
        <f aca="false">IF(B761="","",IF(A761=_xlfn.MINIFS($A$2:$A$5001,$B$2:$B$5001,B761),1,0))</f>
        <v/>
      </c>
      <c r="K761" s="16" t="str">
        <f aca="false">IF(B761="","",IF(AND(D761="Formalização",E761="Concluído"),IF(COUNTIFS($B$2:$B$5001,B761,$E$2:$E$5001,"Em ajustes",$A$2:$A$5001,"&lt;"&amp;I761)&gt;0,1,0),0))</f>
        <v/>
      </c>
      <c r="L761" s="16" t="str">
        <f aca="false">IF(B761="","",IF(A761=_xlfn.MAXIFS($A$2:$A$5001,$B$2:$B$5001,B761,$I$2:$I$5001,I761),1,0))</f>
        <v/>
      </c>
    </row>
    <row r="762" customFormat="false" ht="15" hidden="false" customHeight="false" outlineLevel="0" collapsed="false">
      <c r="I762" s="15" t="str">
        <f aca="false">IF(A762="","",INT(A762))</f>
        <v/>
      </c>
      <c r="J762" s="16" t="str">
        <f aca="false">IF(B762="","",IF(A762=_xlfn.MINIFS($A$2:$A$5001,$B$2:$B$5001,B762),1,0))</f>
        <v/>
      </c>
      <c r="K762" s="16" t="str">
        <f aca="false">IF(B762="","",IF(AND(D762="Formalização",E762="Concluído"),IF(COUNTIFS($B$2:$B$5001,B762,$E$2:$E$5001,"Em ajustes",$A$2:$A$5001,"&lt;"&amp;I762)&gt;0,1,0),0))</f>
        <v/>
      </c>
      <c r="L762" s="16" t="str">
        <f aca="false">IF(B762="","",IF(A762=_xlfn.MAXIFS($A$2:$A$5001,$B$2:$B$5001,B762,$I$2:$I$5001,I762),1,0))</f>
        <v/>
      </c>
    </row>
    <row r="763" customFormat="false" ht="15" hidden="false" customHeight="false" outlineLevel="0" collapsed="false">
      <c r="I763" s="15" t="str">
        <f aca="false">IF(A763="","",INT(A763))</f>
        <v/>
      </c>
      <c r="J763" s="16" t="str">
        <f aca="false">IF(B763="","",IF(A763=_xlfn.MINIFS($A$2:$A$5001,$B$2:$B$5001,B763),1,0))</f>
        <v/>
      </c>
      <c r="K763" s="16" t="str">
        <f aca="false">IF(B763="","",IF(AND(D763="Formalização",E763="Concluído"),IF(COUNTIFS($B$2:$B$5001,B763,$E$2:$E$5001,"Em ajustes",$A$2:$A$5001,"&lt;"&amp;I763)&gt;0,1,0),0))</f>
        <v/>
      </c>
      <c r="L763" s="16" t="str">
        <f aca="false">IF(B763="","",IF(A763=_xlfn.MAXIFS($A$2:$A$5001,$B$2:$B$5001,B763,$I$2:$I$5001,I763),1,0))</f>
        <v/>
      </c>
    </row>
    <row r="764" customFormat="false" ht="15" hidden="false" customHeight="false" outlineLevel="0" collapsed="false">
      <c r="I764" s="15" t="str">
        <f aca="false">IF(A764="","",INT(A764))</f>
        <v/>
      </c>
      <c r="J764" s="16" t="str">
        <f aca="false">IF(B764="","",IF(A764=_xlfn.MINIFS($A$2:$A$5001,$B$2:$B$5001,B764),1,0))</f>
        <v/>
      </c>
      <c r="K764" s="16" t="str">
        <f aca="false">IF(B764="","",IF(AND(D764="Formalização",E764="Concluído"),IF(COUNTIFS($B$2:$B$5001,B764,$E$2:$E$5001,"Em ajustes",$A$2:$A$5001,"&lt;"&amp;I764)&gt;0,1,0),0))</f>
        <v/>
      </c>
      <c r="L764" s="16" t="str">
        <f aca="false">IF(B764="","",IF(A764=_xlfn.MAXIFS($A$2:$A$5001,$B$2:$B$5001,B764,$I$2:$I$5001,I764),1,0))</f>
        <v/>
      </c>
    </row>
    <row r="765" customFormat="false" ht="15" hidden="false" customHeight="false" outlineLevel="0" collapsed="false">
      <c r="I765" s="15" t="str">
        <f aca="false">IF(A765="","",INT(A765))</f>
        <v/>
      </c>
      <c r="J765" s="16" t="str">
        <f aca="false">IF(B765="","",IF(A765=_xlfn.MINIFS($A$2:$A$5001,$B$2:$B$5001,B765),1,0))</f>
        <v/>
      </c>
      <c r="K765" s="16" t="str">
        <f aca="false">IF(B765="","",IF(AND(D765="Formalização",E765="Concluído"),IF(COUNTIFS($B$2:$B$5001,B765,$E$2:$E$5001,"Em ajustes",$A$2:$A$5001,"&lt;"&amp;I765)&gt;0,1,0),0))</f>
        <v/>
      </c>
      <c r="L765" s="16" t="str">
        <f aca="false">IF(B765="","",IF(A765=_xlfn.MAXIFS($A$2:$A$5001,$B$2:$B$5001,B765,$I$2:$I$5001,I765),1,0))</f>
        <v/>
      </c>
    </row>
    <row r="766" customFormat="false" ht="15" hidden="false" customHeight="false" outlineLevel="0" collapsed="false">
      <c r="I766" s="15" t="str">
        <f aca="false">IF(A766="","",INT(A766))</f>
        <v/>
      </c>
      <c r="J766" s="16" t="str">
        <f aca="false">IF(B766="","",IF(A766=_xlfn.MINIFS($A$2:$A$5001,$B$2:$B$5001,B766),1,0))</f>
        <v/>
      </c>
      <c r="K766" s="16" t="str">
        <f aca="false">IF(B766="","",IF(AND(D766="Formalização",E766="Concluído"),IF(COUNTIFS($B$2:$B$5001,B766,$E$2:$E$5001,"Em ajustes",$A$2:$A$5001,"&lt;"&amp;I766)&gt;0,1,0),0))</f>
        <v/>
      </c>
      <c r="L766" s="16" t="str">
        <f aca="false">IF(B766="","",IF(A766=_xlfn.MAXIFS($A$2:$A$5001,$B$2:$B$5001,B766,$I$2:$I$5001,I766),1,0))</f>
        <v/>
      </c>
    </row>
    <row r="767" customFormat="false" ht="15" hidden="false" customHeight="false" outlineLevel="0" collapsed="false">
      <c r="I767" s="15" t="str">
        <f aca="false">IF(A767="","",INT(A767))</f>
        <v/>
      </c>
      <c r="J767" s="16" t="str">
        <f aca="false">IF(B767="","",IF(A767=_xlfn.MINIFS($A$2:$A$5001,$B$2:$B$5001,B767),1,0))</f>
        <v/>
      </c>
      <c r="K767" s="16" t="str">
        <f aca="false">IF(B767="","",IF(AND(D767="Formalização",E767="Concluído"),IF(COUNTIFS($B$2:$B$5001,B767,$E$2:$E$5001,"Em ajustes",$A$2:$A$5001,"&lt;"&amp;I767)&gt;0,1,0),0))</f>
        <v/>
      </c>
      <c r="L767" s="16" t="str">
        <f aca="false">IF(B767="","",IF(A767=_xlfn.MAXIFS($A$2:$A$5001,$B$2:$B$5001,B767,$I$2:$I$5001,I767),1,0))</f>
        <v/>
      </c>
    </row>
    <row r="768" customFormat="false" ht="15" hidden="false" customHeight="false" outlineLevel="0" collapsed="false">
      <c r="I768" s="15" t="str">
        <f aca="false">IF(A768="","",INT(A768))</f>
        <v/>
      </c>
      <c r="J768" s="16" t="str">
        <f aca="false">IF(B768="","",IF(A768=_xlfn.MINIFS($A$2:$A$5001,$B$2:$B$5001,B768),1,0))</f>
        <v/>
      </c>
      <c r="K768" s="16" t="str">
        <f aca="false">IF(B768="","",IF(AND(D768="Formalização",E768="Concluído"),IF(COUNTIFS($B$2:$B$5001,B768,$E$2:$E$5001,"Em ajustes",$A$2:$A$5001,"&lt;"&amp;I768)&gt;0,1,0),0))</f>
        <v/>
      </c>
      <c r="L768" s="16" t="str">
        <f aca="false">IF(B768="","",IF(A768=_xlfn.MAXIFS($A$2:$A$5001,$B$2:$B$5001,B768,$I$2:$I$5001,I768),1,0))</f>
        <v/>
      </c>
    </row>
    <row r="769" customFormat="false" ht="15" hidden="false" customHeight="false" outlineLevel="0" collapsed="false">
      <c r="I769" s="15" t="str">
        <f aca="false">IF(A769="","",INT(A769))</f>
        <v/>
      </c>
      <c r="J769" s="16" t="str">
        <f aca="false">IF(B769="","",IF(A769=_xlfn.MINIFS($A$2:$A$5001,$B$2:$B$5001,B769),1,0))</f>
        <v/>
      </c>
      <c r="K769" s="16" t="str">
        <f aca="false">IF(B769="","",IF(AND(D769="Formalização",E769="Concluído"),IF(COUNTIFS($B$2:$B$5001,B769,$E$2:$E$5001,"Em ajustes",$A$2:$A$5001,"&lt;"&amp;I769)&gt;0,1,0),0))</f>
        <v/>
      </c>
      <c r="L769" s="16" t="str">
        <f aca="false">IF(B769="","",IF(A769=_xlfn.MAXIFS($A$2:$A$5001,$B$2:$B$5001,B769,$I$2:$I$5001,I769),1,0))</f>
        <v/>
      </c>
    </row>
    <row r="770" customFormat="false" ht="15" hidden="false" customHeight="false" outlineLevel="0" collapsed="false">
      <c r="I770" s="15" t="str">
        <f aca="false">IF(A770="","",INT(A770))</f>
        <v/>
      </c>
      <c r="J770" s="16" t="str">
        <f aca="false">IF(B770="","",IF(A770=_xlfn.MINIFS($A$2:$A$5001,$B$2:$B$5001,B770),1,0))</f>
        <v/>
      </c>
      <c r="K770" s="16" t="str">
        <f aca="false">IF(B770="","",IF(AND(D770="Formalização",E770="Concluído"),IF(COUNTIFS($B$2:$B$5001,B770,$E$2:$E$5001,"Em ajustes",$A$2:$A$5001,"&lt;"&amp;I770)&gt;0,1,0),0))</f>
        <v/>
      </c>
      <c r="L770" s="16" t="str">
        <f aca="false">IF(B770="","",IF(A770=_xlfn.MAXIFS($A$2:$A$5001,$B$2:$B$5001,B770,$I$2:$I$5001,I770),1,0))</f>
        <v/>
      </c>
    </row>
    <row r="771" customFormat="false" ht="15" hidden="false" customHeight="false" outlineLevel="0" collapsed="false">
      <c r="I771" s="15" t="str">
        <f aca="false">IF(A771="","",INT(A771))</f>
        <v/>
      </c>
      <c r="J771" s="16" t="str">
        <f aca="false">IF(B771="","",IF(A771=_xlfn.MINIFS($A$2:$A$5001,$B$2:$B$5001,B771),1,0))</f>
        <v/>
      </c>
      <c r="K771" s="16" t="str">
        <f aca="false">IF(B771="","",IF(AND(D771="Formalização",E771="Concluído"),IF(COUNTIFS($B$2:$B$5001,B771,$E$2:$E$5001,"Em ajustes",$A$2:$A$5001,"&lt;"&amp;I771)&gt;0,1,0),0))</f>
        <v/>
      </c>
      <c r="L771" s="16" t="str">
        <f aca="false">IF(B771="","",IF(A771=_xlfn.MAXIFS($A$2:$A$5001,$B$2:$B$5001,B771,$I$2:$I$5001,I771),1,0))</f>
        <v/>
      </c>
    </row>
    <row r="772" customFormat="false" ht="15" hidden="false" customHeight="false" outlineLevel="0" collapsed="false">
      <c r="I772" s="15" t="str">
        <f aca="false">IF(A772="","",INT(A772))</f>
        <v/>
      </c>
      <c r="J772" s="16" t="str">
        <f aca="false">IF(B772="","",IF(A772=_xlfn.MINIFS($A$2:$A$5001,$B$2:$B$5001,B772),1,0))</f>
        <v/>
      </c>
      <c r="K772" s="16" t="str">
        <f aca="false">IF(B772="","",IF(AND(D772="Formalização",E772="Concluído"),IF(COUNTIFS($B$2:$B$5001,B772,$E$2:$E$5001,"Em ajustes",$A$2:$A$5001,"&lt;"&amp;I772)&gt;0,1,0),0))</f>
        <v/>
      </c>
      <c r="L772" s="16" t="str">
        <f aca="false">IF(B772="","",IF(A772=_xlfn.MAXIFS($A$2:$A$5001,$B$2:$B$5001,B772,$I$2:$I$5001,I772),1,0))</f>
        <v/>
      </c>
    </row>
    <row r="773" customFormat="false" ht="15" hidden="false" customHeight="false" outlineLevel="0" collapsed="false">
      <c r="I773" s="15" t="str">
        <f aca="false">IF(A773="","",INT(A773))</f>
        <v/>
      </c>
      <c r="J773" s="16" t="str">
        <f aca="false">IF(B773="","",IF(A773=_xlfn.MINIFS($A$2:$A$5001,$B$2:$B$5001,B773),1,0))</f>
        <v/>
      </c>
      <c r="K773" s="16" t="str">
        <f aca="false">IF(B773="","",IF(AND(D773="Formalização",E773="Concluído"),IF(COUNTIFS($B$2:$B$5001,B773,$E$2:$E$5001,"Em ajustes",$A$2:$A$5001,"&lt;"&amp;I773)&gt;0,1,0),0))</f>
        <v/>
      </c>
      <c r="L773" s="16" t="str">
        <f aca="false">IF(B773="","",IF(A773=_xlfn.MAXIFS($A$2:$A$5001,$B$2:$B$5001,B773,$I$2:$I$5001,I773),1,0))</f>
        <v/>
      </c>
    </row>
    <row r="774" customFormat="false" ht="15" hidden="false" customHeight="false" outlineLevel="0" collapsed="false">
      <c r="I774" s="15" t="str">
        <f aca="false">IF(A774="","",INT(A774))</f>
        <v/>
      </c>
      <c r="J774" s="16" t="str">
        <f aca="false">IF(B774="","",IF(A774=_xlfn.MINIFS($A$2:$A$5001,$B$2:$B$5001,B774),1,0))</f>
        <v/>
      </c>
      <c r="K774" s="16" t="str">
        <f aca="false">IF(B774="","",IF(AND(D774="Formalização",E774="Concluído"),IF(COUNTIFS($B$2:$B$5001,B774,$E$2:$E$5001,"Em ajustes",$A$2:$A$5001,"&lt;"&amp;I774)&gt;0,1,0),0))</f>
        <v/>
      </c>
      <c r="L774" s="16" t="str">
        <f aca="false">IF(B774="","",IF(A774=_xlfn.MAXIFS($A$2:$A$5001,$B$2:$B$5001,B774,$I$2:$I$5001,I774),1,0))</f>
        <v/>
      </c>
    </row>
    <row r="775" customFormat="false" ht="15" hidden="false" customHeight="false" outlineLevel="0" collapsed="false">
      <c r="I775" s="15" t="str">
        <f aca="false">IF(A775="","",INT(A775))</f>
        <v/>
      </c>
      <c r="J775" s="16" t="str">
        <f aca="false">IF(B775="","",IF(A775=_xlfn.MINIFS($A$2:$A$5001,$B$2:$B$5001,B775),1,0))</f>
        <v/>
      </c>
      <c r="K775" s="16" t="str">
        <f aca="false">IF(B775="","",IF(AND(D775="Formalização",E775="Concluído"),IF(COUNTIFS($B$2:$B$5001,B775,$E$2:$E$5001,"Em ajustes",$A$2:$A$5001,"&lt;"&amp;I775)&gt;0,1,0),0))</f>
        <v/>
      </c>
      <c r="L775" s="16" t="str">
        <f aca="false">IF(B775="","",IF(A775=_xlfn.MAXIFS($A$2:$A$5001,$B$2:$B$5001,B775,$I$2:$I$5001,I775),1,0))</f>
        <v/>
      </c>
    </row>
    <row r="776" customFormat="false" ht="15" hidden="false" customHeight="false" outlineLevel="0" collapsed="false">
      <c r="I776" s="15" t="str">
        <f aca="false">IF(A776="","",INT(A776))</f>
        <v/>
      </c>
      <c r="J776" s="16" t="str">
        <f aca="false">IF(B776="","",IF(A776=_xlfn.MINIFS($A$2:$A$5001,$B$2:$B$5001,B776),1,0))</f>
        <v/>
      </c>
      <c r="K776" s="16" t="str">
        <f aca="false">IF(B776="","",IF(AND(D776="Formalização",E776="Concluído"),IF(COUNTIFS($B$2:$B$5001,B776,$E$2:$E$5001,"Em ajustes",$A$2:$A$5001,"&lt;"&amp;I776)&gt;0,1,0),0))</f>
        <v/>
      </c>
      <c r="L776" s="16" t="str">
        <f aca="false">IF(B776="","",IF(A776=_xlfn.MAXIFS($A$2:$A$5001,$B$2:$B$5001,B776,$I$2:$I$5001,I776),1,0))</f>
        <v/>
      </c>
    </row>
    <row r="777" customFormat="false" ht="15" hidden="false" customHeight="false" outlineLevel="0" collapsed="false">
      <c r="I777" s="15" t="str">
        <f aca="false">IF(A777="","",INT(A777))</f>
        <v/>
      </c>
      <c r="J777" s="16" t="str">
        <f aca="false">IF(B777="","",IF(A777=_xlfn.MINIFS($A$2:$A$5001,$B$2:$B$5001,B777),1,0))</f>
        <v/>
      </c>
      <c r="K777" s="16" t="str">
        <f aca="false">IF(B777="","",IF(AND(D777="Formalização",E777="Concluído"),IF(COUNTIFS($B$2:$B$5001,B777,$E$2:$E$5001,"Em ajustes",$A$2:$A$5001,"&lt;"&amp;I777)&gt;0,1,0),0))</f>
        <v/>
      </c>
      <c r="L777" s="16" t="str">
        <f aca="false">IF(B777="","",IF(A777=_xlfn.MAXIFS($A$2:$A$5001,$B$2:$B$5001,B777,$I$2:$I$5001,I777),1,0))</f>
        <v/>
      </c>
    </row>
    <row r="778" customFormat="false" ht="15" hidden="false" customHeight="false" outlineLevel="0" collapsed="false">
      <c r="I778" s="15" t="str">
        <f aca="false">IF(A778="","",INT(A778))</f>
        <v/>
      </c>
      <c r="J778" s="16" t="str">
        <f aca="false">IF(B778="","",IF(A778=_xlfn.MINIFS($A$2:$A$5001,$B$2:$B$5001,B778),1,0))</f>
        <v/>
      </c>
      <c r="K778" s="16" t="str">
        <f aca="false">IF(B778="","",IF(AND(D778="Formalização",E778="Concluído"),IF(COUNTIFS($B$2:$B$5001,B778,$E$2:$E$5001,"Em ajustes",$A$2:$A$5001,"&lt;"&amp;I778)&gt;0,1,0),0))</f>
        <v/>
      </c>
      <c r="L778" s="16" t="str">
        <f aca="false">IF(B778="","",IF(A778=_xlfn.MAXIFS($A$2:$A$5001,$B$2:$B$5001,B778,$I$2:$I$5001,I778),1,0))</f>
        <v/>
      </c>
    </row>
    <row r="779" customFormat="false" ht="15" hidden="false" customHeight="false" outlineLevel="0" collapsed="false">
      <c r="I779" s="15" t="str">
        <f aca="false">IF(A779="","",INT(A779))</f>
        <v/>
      </c>
      <c r="J779" s="16" t="str">
        <f aca="false">IF(B779="","",IF(A779=_xlfn.MINIFS($A$2:$A$5001,$B$2:$B$5001,B779),1,0))</f>
        <v/>
      </c>
      <c r="K779" s="16" t="str">
        <f aca="false">IF(B779="","",IF(AND(D779="Formalização",E779="Concluído"),IF(COUNTIFS($B$2:$B$5001,B779,$E$2:$E$5001,"Em ajustes",$A$2:$A$5001,"&lt;"&amp;I779)&gt;0,1,0),0))</f>
        <v/>
      </c>
      <c r="L779" s="16" t="str">
        <f aca="false">IF(B779="","",IF(A779=_xlfn.MAXIFS($A$2:$A$5001,$B$2:$B$5001,B779,$I$2:$I$5001,I779),1,0))</f>
        <v/>
      </c>
    </row>
    <row r="780" customFormat="false" ht="15" hidden="false" customHeight="false" outlineLevel="0" collapsed="false">
      <c r="I780" s="15" t="str">
        <f aca="false">IF(A780="","",INT(A780))</f>
        <v/>
      </c>
      <c r="J780" s="16" t="str">
        <f aca="false">IF(B780="","",IF(A780=_xlfn.MINIFS($A$2:$A$5001,$B$2:$B$5001,B780),1,0))</f>
        <v/>
      </c>
      <c r="K780" s="16" t="str">
        <f aca="false">IF(B780="","",IF(AND(D780="Formalização",E780="Concluído"),IF(COUNTIFS($B$2:$B$5001,B780,$E$2:$E$5001,"Em ajustes",$A$2:$A$5001,"&lt;"&amp;I780)&gt;0,1,0),0))</f>
        <v/>
      </c>
      <c r="L780" s="16" t="str">
        <f aca="false">IF(B780="","",IF(A780=_xlfn.MAXIFS($A$2:$A$5001,$B$2:$B$5001,B780,$I$2:$I$5001,I780),1,0))</f>
        <v/>
      </c>
    </row>
    <row r="781" customFormat="false" ht="15" hidden="false" customHeight="false" outlineLevel="0" collapsed="false">
      <c r="I781" s="15" t="str">
        <f aca="false">IF(A781="","",INT(A781))</f>
        <v/>
      </c>
      <c r="J781" s="16" t="str">
        <f aca="false">IF(B781="","",IF(A781=_xlfn.MINIFS($A$2:$A$5001,$B$2:$B$5001,B781),1,0))</f>
        <v/>
      </c>
      <c r="K781" s="16" t="str">
        <f aca="false">IF(B781="","",IF(AND(D781="Formalização",E781="Concluído"),IF(COUNTIFS($B$2:$B$5001,B781,$E$2:$E$5001,"Em ajustes",$A$2:$A$5001,"&lt;"&amp;I781)&gt;0,1,0),0))</f>
        <v/>
      </c>
      <c r="L781" s="16" t="str">
        <f aca="false">IF(B781="","",IF(A781=_xlfn.MAXIFS($A$2:$A$5001,$B$2:$B$5001,B781,$I$2:$I$5001,I781),1,0))</f>
        <v/>
      </c>
    </row>
    <row r="782" customFormat="false" ht="15" hidden="false" customHeight="false" outlineLevel="0" collapsed="false">
      <c r="I782" s="15" t="str">
        <f aca="false">IF(A782="","",INT(A782))</f>
        <v/>
      </c>
      <c r="J782" s="16" t="str">
        <f aca="false">IF(B782="","",IF(A782=_xlfn.MINIFS($A$2:$A$5001,$B$2:$B$5001,B782),1,0))</f>
        <v/>
      </c>
      <c r="K782" s="16" t="str">
        <f aca="false">IF(B782="","",IF(AND(D782="Formalização",E782="Concluído"),IF(COUNTIFS($B$2:$B$5001,B782,$E$2:$E$5001,"Em ajustes",$A$2:$A$5001,"&lt;"&amp;I782)&gt;0,1,0),0))</f>
        <v/>
      </c>
      <c r="L782" s="16" t="str">
        <f aca="false">IF(B782="","",IF(A782=_xlfn.MAXIFS($A$2:$A$5001,$B$2:$B$5001,B782,$I$2:$I$5001,I782),1,0))</f>
        <v/>
      </c>
    </row>
    <row r="783" customFormat="false" ht="15" hidden="false" customHeight="false" outlineLevel="0" collapsed="false">
      <c r="I783" s="15" t="str">
        <f aca="false">IF(A783="","",INT(A783))</f>
        <v/>
      </c>
      <c r="J783" s="16" t="str">
        <f aca="false">IF(B783="","",IF(A783=_xlfn.MINIFS($A$2:$A$5001,$B$2:$B$5001,B783),1,0))</f>
        <v/>
      </c>
      <c r="K783" s="16" t="str">
        <f aca="false">IF(B783="","",IF(AND(D783="Formalização",E783="Concluído"),IF(COUNTIFS($B$2:$B$5001,B783,$E$2:$E$5001,"Em ajustes",$A$2:$A$5001,"&lt;"&amp;I783)&gt;0,1,0),0))</f>
        <v/>
      </c>
      <c r="L783" s="16" t="str">
        <f aca="false">IF(B783="","",IF(A783=_xlfn.MAXIFS($A$2:$A$5001,$B$2:$B$5001,B783,$I$2:$I$5001,I783),1,0))</f>
        <v/>
      </c>
    </row>
    <row r="784" customFormat="false" ht="15" hidden="false" customHeight="false" outlineLevel="0" collapsed="false">
      <c r="I784" s="15" t="str">
        <f aca="false">IF(A784="","",INT(A784))</f>
        <v/>
      </c>
      <c r="J784" s="16" t="str">
        <f aca="false">IF(B784="","",IF(A784=_xlfn.MINIFS($A$2:$A$5001,$B$2:$B$5001,B784),1,0))</f>
        <v/>
      </c>
      <c r="K784" s="16" t="str">
        <f aca="false">IF(B784="","",IF(AND(D784="Formalização",E784="Concluído"),IF(COUNTIFS($B$2:$B$5001,B784,$E$2:$E$5001,"Em ajustes",$A$2:$A$5001,"&lt;"&amp;I784)&gt;0,1,0),0))</f>
        <v/>
      </c>
      <c r="L784" s="16" t="str">
        <f aca="false">IF(B784="","",IF(A784=_xlfn.MAXIFS($A$2:$A$5001,$B$2:$B$5001,B784,$I$2:$I$5001,I784),1,0))</f>
        <v/>
      </c>
    </row>
    <row r="785" customFormat="false" ht="15" hidden="false" customHeight="false" outlineLevel="0" collapsed="false">
      <c r="I785" s="15" t="str">
        <f aca="false">IF(A785="","",INT(A785))</f>
        <v/>
      </c>
      <c r="J785" s="16" t="str">
        <f aca="false">IF(B785="","",IF(A785=_xlfn.MINIFS($A$2:$A$5001,$B$2:$B$5001,B785),1,0))</f>
        <v/>
      </c>
      <c r="K785" s="16" t="str">
        <f aca="false">IF(B785="","",IF(AND(D785="Formalização",E785="Concluído"),IF(COUNTIFS($B$2:$B$5001,B785,$E$2:$E$5001,"Em ajustes",$A$2:$A$5001,"&lt;"&amp;I785)&gt;0,1,0),0))</f>
        <v/>
      </c>
      <c r="L785" s="16" t="str">
        <f aca="false">IF(B785="","",IF(A785=_xlfn.MAXIFS($A$2:$A$5001,$B$2:$B$5001,B785,$I$2:$I$5001,I785),1,0))</f>
        <v/>
      </c>
    </row>
    <row r="786" customFormat="false" ht="15" hidden="false" customHeight="false" outlineLevel="0" collapsed="false">
      <c r="I786" s="15" t="str">
        <f aca="false">IF(A786="","",INT(A786))</f>
        <v/>
      </c>
      <c r="J786" s="16" t="str">
        <f aca="false">IF(B786="","",IF(A786=_xlfn.MINIFS($A$2:$A$5001,$B$2:$B$5001,B786),1,0))</f>
        <v/>
      </c>
      <c r="K786" s="16" t="str">
        <f aca="false">IF(B786="","",IF(AND(D786="Formalização",E786="Concluído"),IF(COUNTIFS($B$2:$B$5001,B786,$E$2:$E$5001,"Em ajustes",$A$2:$A$5001,"&lt;"&amp;I786)&gt;0,1,0),0))</f>
        <v/>
      </c>
      <c r="L786" s="16" t="str">
        <f aca="false">IF(B786="","",IF(A786=_xlfn.MAXIFS($A$2:$A$5001,$B$2:$B$5001,B786,$I$2:$I$5001,I786),1,0))</f>
        <v/>
      </c>
    </row>
    <row r="787" customFormat="false" ht="15" hidden="false" customHeight="false" outlineLevel="0" collapsed="false">
      <c r="I787" s="15" t="str">
        <f aca="false">IF(A787="","",INT(A787))</f>
        <v/>
      </c>
      <c r="J787" s="16" t="str">
        <f aca="false">IF(B787="","",IF(A787=_xlfn.MINIFS($A$2:$A$5001,$B$2:$B$5001,B787),1,0))</f>
        <v/>
      </c>
      <c r="K787" s="16" t="str">
        <f aca="false">IF(B787="","",IF(AND(D787="Formalização",E787="Concluído"),IF(COUNTIFS($B$2:$B$5001,B787,$E$2:$E$5001,"Em ajustes",$A$2:$A$5001,"&lt;"&amp;I787)&gt;0,1,0),0))</f>
        <v/>
      </c>
      <c r="L787" s="16" t="str">
        <f aca="false">IF(B787="","",IF(A787=_xlfn.MAXIFS($A$2:$A$5001,$B$2:$B$5001,B787,$I$2:$I$5001,I787),1,0))</f>
        <v/>
      </c>
    </row>
    <row r="788" customFormat="false" ht="15" hidden="false" customHeight="false" outlineLevel="0" collapsed="false">
      <c r="I788" s="15" t="str">
        <f aca="false">IF(A788="","",INT(A788))</f>
        <v/>
      </c>
      <c r="J788" s="16" t="str">
        <f aca="false">IF(B788="","",IF(A788=_xlfn.MINIFS($A$2:$A$5001,$B$2:$B$5001,B788),1,0))</f>
        <v/>
      </c>
      <c r="K788" s="16" t="str">
        <f aca="false">IF(B788="","",IF(AND(D788="Formalização",E788="Concluído"),IF(COUNTIFS($B$2:$B$5001,B788,$E$2:$E$5001,"Em ajustes",$A$2:$A$5001,"&lt;"&amp;I788)&gt;0,1,0),0))</f>
        <v/>
      </c>
      <c r="L788" s="16" t="str">
        <f aca="false">IF(B788="","",IF(A788=_xlfn.MAXIFS($A$2:$A$5001,$B$2:$B$5001,B788,$I$2:$I$5001,I788),1,0))</f>
        <v/>
      </c>
    </row>
    <row r="789" customFormat="false" ht="15" hidden="false" customHeight="false" outlineLevel="0" collapsed="false">
      <c r="I789" s="15" t="str">
        <f aca="false">IF(A789="","",INT(A789))</f>
        <v/>
      </c>
      <c r="J789" s="16" t="str">
        <f aca="false">IF(B789="","",IF(A789=_xlfn.MINIFS($A$2:$A$5001,$B$2:$B$5001,B789),1,0))</f>
        <v/>
      </c>
      <c r="K789" s="16" t="str">
        <f aca="false">IF(B789="","",IF(AND(D789="Formalização",E789="Concluído"),IF(COUNTIFS($B$2:$B$5001,B789,$E$2:$E$5001,"Em ajustes",$A$2:$A$5001,"&lt;"&amp;I789)&gt;0,1,0),0))</f>
        <v/>
      </c>
      <c r="L789" s="16" t="str">
        <f aca="false">IF(B789="","",IF(A789=_xlfn.MAXIFS($A$2:$A$5001,$B$2:$B$5001,B789,$I$2:$I$5001,I789),1,0))</f>
        <v/>
      </c>
    </row>
    <row r="790" customFormat="false" ht="15" hidden="false" customHeight="false" outlineLevel="0" collapsed="false">
      <c r="I790" s="15" t="str">
        <f aca="false">IF(A790="","",INT(A790))</f>
        <v/>
      </c>
      <c r="J790" s="16" t="str">
        <f aca="false">IF(B790="","",IF(A790=_xlfn.MINIFS($A$2:$A$5001,$B$2:$B$5001,B790),1,0))</f>
        <v/>
      </c>
      <c r="K790" s="16" t="str">
        <f aca="false">IF(B790="","",IF(AND(D790="Formalização",E790="Concluído"),IF(COUNTIFS($B$2:$B$5001,B790,$E$2:$E$5001,"Em ajustes",$A$2:$A$5001,"&lt;"&amp;I790)&gt;0,1,0),0))</f>
        <v/>
      </c>
      <c r="L790" s="16" t="str">
        <f aca="false">IF(B790="","",IF(A790=_xlfn.MAXIFS($A$2:$A$5001,$B$2:$B$5001,B790,$I$2:$I$5001,I790),1,0))</f>
        <v/>
      </c>
    </row>
    <row r="791" customFormat="false" ht="15" hidden="false" customHeight="false" outlineLevel="0" collapsed="false">
      <c r="I791" s="15" t="str">
        <f aca="false">IF(A791="","",INT(A791))</f>
        <v/>
      </c>
      <c r="J791" s="16" t="str">
        <f aca="false">IF(B791="","",IF(A791=_xlfn.MINIFS($A$2:$A$5001,$B$2:$B$5001,B791),1,0))</f>
        <v/>
      </c>
      <c r="K791" s="16" t="str">
        <f aca="false">IF(B791="","",IF(AND(D791="Formalização",E791="Concluído"),IF(COUNTIFS($B$2:$B$5001,B791,$E$2:$E$5001,"Em ajustes",$A$2:$A$5001,"&lt;"&amp;I791)&gt;0,1,0),0))</f>
        <v/>
      </c>
      <c r="L791" s="16" t="str">
        <f aca="false">IF(B791="","",IF(A791=_xlfn.MAXIFS($A$2:$A$5001,$B$2:$B$5001,B791,$I$2:$I$5001,I791),1,0))</f>
        <v/>
      </c>
    </row>
    <row r="792" customFormat="false" ht="15" hidden="false" customHeight="false" outlineLevel="0" collapsed="false">
      <c r="I792" s="15" t="str">
        <f aca="false">IF(A792="","",INT(A792))</f>
        <v/>
      </c>
      <c r="J792" s="16" t="str">
        <f aca="false">IF(B792="","",IF(A792=_xlfn.MINIFS($A$2:$A$5001,$B$2:$B$5001,B792),1,0))</f>
        <v/>
      </c>
      <c r="K792" s="16" t="str">
        <f aca="false">IF(B792="","",IF(AND(D792="Formalização",E792="Concluído"),IF(COUNTIFS($B$2:$B$5001,B792,$E$2:$E$5001,"Em ajustes",$A$2:$A$5001,"&lt;"&amp;I792)&gt;0,1,0),0))</f>
        <v/>
      </c>
      <c r="L792" s="16" t="str">
        <f aca="false">IF(B792="","",IF(A792=_xlfn.MAXIFS($A$2:$A$5001,$B$2:$B$5001,B792,$I$2:$I$5001,I792),1,0))</f>
        <v/>
      </c>
    </row>
    <row r="793" customFormat="false" ht="15" hidden="false" customHeight="false" outlineLevel="0" collapsed="false">
      <c r="I793" s="15" t="str">
        <f aca="false">IF(A793="","",INT(A793))</f>
        <v/>
      </c>
      <c r="J793" s="16" t="str">
        <f aca="false">IF(B793="","",IF(A793=_xlfn.MINIFS($A$2:$A$5001,$B$2:$B$5001,B793),1,0))</f>
        <v/>
      </c>
      <c r="K793" s="16" t="str">
        <f aca="false">IF(B793="","",IF(AND(D793="Formalização",E793="Concluído"),IF(COUNTIFS($B$2:$B$5001,B793,$E$2:$E$5001,"Em ajustes",$A$2:$A$5001,"&lt;"&amp;I793)&gt;0,1,0),0))</f>
        <v/>
      </c>
      <c r="L793" s="16" t="str">
        <f aca="false">IF(B793="","",IF(A793=_xlfn.MAXIFS($A$2:$A$5001,$B$2:$B$5001,B793,$I$2:$I$5001,I793),1,0))</f>
        <v/>
      </c>
    </row>
    <row r="794" customFormat="false" ht="15" hidden="false" customHeight="false" outlineLevel="0" collapsed="false">
      <c r="I794" s="15" t="str">
        <f aca="false">IF(A794="","",INT(A794))</f>
        <v/>
      </c>
      <c r="J794" s="16" t="str">
        <f aca="false">IF(B794="","",IF(A794=_xlfn.MINIFS($A$2:$A$5001,$B$2:$B$5001,B794),1,0))</f>
        <v/>
      </c>
      <c r="K794" s="16" t="str">
        <f aca="false">IF(B794="","",IF(AND(D794="Formalização",E794="Concluído"),IF(COUNTIFS($B$2:$B$5001,B794,$E$2:$E$5001,"Em ajustes",$A$2:$A$5001,"&lt;"&amp;I794)&gt;0,1,0),0))</f>
        <v/>
      </c>
      <c r="L794" s="16" t="str">
        <f aca="false">IF(B794="","",IF(A794=_xlfn.MAXIFS($A$2:$A$5001,$B$2:$B$5001,B794,$I$2:$I$5001,I794),1,0))</f>
        <v/>
      </c>
    </row>
    <row r="795" customFormat="false" ht="15" hidden="false" customHeight="false" outlineLevel="0" collapsed="false">
      <c r="I795" s="15" t="str">
        <f aca="false">IF(A795="","",INT(A795))</f>
        <v/>
      </c>
      <c r="J795" s="16" t="str">
        <f aca="false">IF(B795="","",IF(A795=_xlfn.MINIFS($A$2:$A$5001,$B$2:$B$5001,B795),1,0))</f>
        <v/>
      </c>
      <c r="K795" s="16" t="str">
        <f aca="false">IF(B795="","",IF(AND(D795="Formalização",E795="Concluído"),IF(COUNTIFS($B$2:$B$5001,B795,$E$2:$E$5001,"Em ajustes",$A$2:$A$5001,"&lt;"&amp;I795)&gt;0,1,0),0))</f>
        <v/>
      </c>
      <c r="L795" s="16" t="str">
        <f aca="false">IF(B795="","",IF(A795=_xlfn.MAXIFS($A$2:$A$5001,$B$2:$B$5001,B795,$I$2:$I$5001,I795),1,0))</f>
        <v/>
      </c>
    </row>
    <row r="796" customFormat="false" ht="15" hidden="false" customHeight="false" outlineLevel="0" collapsed="false">
      <c r="I796" s="15" t="str">
        <f aca="false">IF(A796="","",INT(A796))</f>
        <v/>
      </c>
      <c r="J796" s="16" t="str">
        <f aca="false">IF(B796="","",IF(A796=_xlfn.MINIFS($A$2:$A$5001,$B$2:$B$5001,B796),1,0))</f>
        <v/>
      </c>
      <c r="K796" s="16" t="str">
        <f aca="false">IF(B796="","",IF(AND(D796="Formalização",E796="Concluído"),IF(COUNTIFS($B$2:$B$5001,B796,$E$2:$E$5001,"Em ajustes",$A$2:$A$5001,"&lt;"&amp;I796)&gt;0,1,0),0))</f>
        <v/>
      </c>
      <c r="L796" s="16" t="str">
        <f aca="false">IF(B796="","",IF(A796=_xlfn.MAXIFS($A$2:$A$5001,$B$2:$B$5001,B796,$I$2:$I$5001,I796),1,0))</f>
        <v/>
      </c>
    </row>
    <row r="797" customFormat="false" ht="15" hidden="false" customHeight="false" outlineLevel="0" collapsed="false">
      <c r="I797" s="15" t="str">
        <f aca="false">IF(A797="","",INT(A797))</f>
        <v/>
      </c>
      <c r="J797" s="16" t="str">
        <f aca="false">IF(B797="","",IF(A797=_xlfn.MINIFS($A$2:$A$5001,$B$2:$B$5001,B797),1,0))</f>
        <v/>
      </c>
      <c r="K797" s="16" t="str">
        <f aca="false">IF(B797="","",IF(AND(D797="Formalização",E797="Concluído"),IF(COUNTIFS($B$2:$B$5001,B797,$E$2:$E$5001,"Em ajustes",$A$2:$A$5001,"&lt;"&amp;I797)&gt;0,1,0),0))</f>
        <v/>
      </c>
      <c r="L797" s="16" t="str">
        <f aca="false">IF(B797="","",IF(A797=_xlfn.MAXIFS($A$2:$A$5001,$B$2:$B$5001,B797,$I$2:$I$5001,I797),1,0))</f>
        <v/>
      </c>
    </row>
    <row r="798" customFormat="false" ht="15" hidden="false" customHeight="false" outlineLevel="0" collapsed="false">
      <c r="I798" s="15" t="str">
        <f aca="false">IF(A798="","",INT(A798))</f>
        <v/>
      </c>
      <c r="J798" s="16" t="str">
        <f aca="false">IF(B798="","",IF(A798=_xlfn.MINIFS($A$2:$A$5001,$B$2:$B$5001,B798),1,0))</f>
        <v/>
      </c>
      <c r="K798" s="16" t="str">
        <f aca="false">IF(B798="","",IF(AND(D798="Formalização",E798="Concluído"),IF(COUNTIFS($B$2:$B$5001,B798,$E$2:$E$5001,"Em ajustes",$A$2:$A$5001,"&lt;"&amp;I798)&gt;0,1,0),0))</f>
        <v/>
      </c>
      <c r="L798" s="16" t="str">
        <f aca="false">IF(B798="","",IF(A798=_xlfn.MAXIFS($A$2:$A$5001,$B$2:$B$5001,B798,$I$2:$I$5001,I798),1,0))</f>
        <v/>
      </c>
    </row>
    <row r="799" customFormat="false" ht="15" hidden="false" customHeight="false" outlineLevel="0" collapsed="false">
      <c r="I799" s="15" t="str">
        <f aca="false">IF(A799="","",INT(A799))</f>
        <v/>
      </c>
      <c r="J799" s="16" t="str">
        <f aca="false">IF(B799="","",IF(A799=_xlfn.MINIFS($A$2:$A$5001,$B$2:$B$5001,B799),1,0))</f>
        <v/>
      </c>
      <c r="K799" s="16" t="str">
        <f aca="false">IF(B799="","",IF(AND(D799="Formalização",E799="Concluído"),IF(COUNTIFS($B$2:$B$5001,B799,$E$2:$E$5001,"Em ajustes",$A$2:$A$5001,"&lt;"&amp;I799)&gt;0,1,0),0))</f>
        <v/>
      </c>
      <c r="L799" s="16" t="str">
        <f aca="false">IF(B799="","",IF(A799=_xlfn.MAXIFS($A$2:$A$5001,$B$2:$B$5001,B799,$I$2:$I$5001,I799),1,0))</f>
        <v/>
      </c>
    </row>
    <row r="800" customFormat="false" ht="15" hidden="false" customHeight="false" outlineLevel="0" collapsed="false">
      <c r="I800" s="15" t="str">
        <f aca="false">IF(A800="","",INT(A800))</f>
        <v/>
      </c>
      <c r="J800" s="16" t="str">
        <f aca="false">IF(B800="","",IF(A800=_xlfn.MINIFS($A$2:$A$5001,$B$2:$B$5001,B800),1,0))</f>
        <v/>
      </c>
      <c r="K800" s="16" t="str">
        <f aca="false">IF(B800="","",IF(AND(D800="Formalização",E800="Concluído"),IF(COUNTIFS($B$2:$B$5001,B800,$E$2:$E$5001,"Em ajustes",$A$2:$A$5001,"&lt;"&amp;I800)&gt;0,1,0),0))</f>
        <v/>
      </c>
      <c r="L800" s="16" t="str">
        <f aca="false">IF(B800="","",IF(A800=_xlfn.MAXIFS($A$2:$A$5001,$B$2:$B$5001,B800,$I$2:$I$5001,I800),1,0))</f>
        <v/>
      </c>
    </row>
    <row r="801" customFormat="false" ht="15" hidden="false" customHeight="false" outlineLevel="0" collapsed="false">
      <c r="I801" s="15" t="str">
        <f aca="false">IF(A801="","",INT(A801))</f>
        <v/>
      </c>
      <c r="J801" s="16" t="str">
        <f aca="false">IF(B801="","",IF(A801=_xlfn.MINIFS($A$2:$A$5001,$B$2:$B$5001,B801),1,0))</f>
        <v/>
      </c>
      <c r="K801" s="16" t="str">
        <f aca="false">IF(B801="","",IF(AND(D801="Formalização",E801="Concluído"),IF(COUNTIFS($B$2:$B$5001,B801,$E$2:$E$5001,"Em ajustes",$A$2:$A$5001,"&lt;"&amp;I801)&gt;0,1,0),0))</f>
        <v/>
      </c>
      <c r="L801" s="16" t="str">
        <f aca="false">IF(B801="","",IF(A801=_xlfn.MAXIFS($A$2:$A$5001,$B$2:$B$5001,B801,$I$2:$I$5001,I801),1,0))</f>
        <v/>
      </c>
    </row>
    <row r="802" customFormat="false" ht="15" hidden="false" customHeight="false" outlineLevel="0" collapsed="false">
      <c r="I802" s="15" t="str">
        <f aca="false">IF(A802="","",INT(A802))</f>
        <v/>
      </c>
      <c r="J802" s="16" t="str">
        <f aca="false">IF(B802="","",IF(A802=_xlfn.MINIFS($A$2:$A$5001,$B$2:$B$5001,B802),1,0))</f>
        <v/>
      </c>
      <c r="K802" s="16" t="str">
        <f aca="false">IF(B802="","",IF(AND(D802="Formalização",E802="Concluído"),IF(COUNTIFS($B$2:$B$5001,B802,$E$2:$E$5001,"Em ajustes",$A$2:$A$5001,"&lt;"&amp;I802)&gt;0,1,0),0))</f>
        <v/>
      </c>
      <c r="L802" s="16" t="str">
        <f aca="false">IF(B802="","",IF(A802=_xlfn.MAXIFS($A$2:$A$5001,$B$2:$B$5001,B802,$I$2:$I$5001,I802),1,0))</f>
        <v/>
      </c>
    </row>
    <row r="803" customFormat="false" ht="15" hidden="false" customHeight="false" outlineLevel="0" collapsed="false">
      <c r="I803" s="15" t="str">
        <f aca="false">IF(A803="","",INT(A803))</f>
        <v/>
      </c>
      <c r="J803" s="16" t="str">
        <f aca="false">IF(B803="","",IF(A803=_xlfn.MINIFS($A$2:$A$5001,$B$2:$B$5001,B803),1,0))</f>
        <v/>
      </c>
      <c r="K803" s="16" t="str">
        <f aca="false">IF(B803="","",IF(AND(D803="Formalização",E803="Concluído"),IF(COUNTIFS($B$2:$B$5001,B803,$E$2:$E$5001,"Em ajustes",$A$2:$A$5001,"&lt;"&amp;I803)&gt;0,1,0),0))</f>
        <v/>
      </c>
      <c r="L803" s="16" t="str">
        <f aca="false">IF(B803="","",IF(A803=_xlfn.MAXIFS($A$2:$A$5001,$B$2:$B$5001,B803,$I$2:$I$5001,I803),1,0))</f>
        <v/>
      </c>
    </row>
    <row r="804" customFormat="false" ht="15" hidden="false" customHeight="false" outlineLevel="0" collapsed="false">
      <c r="I804" s="15" t="str">
        <f aca="false">IF(A804="","",INT(A804))</f>
        <v/>
      </c>
      <c r="J804" s="16" t="str">
        <f aca="false">IF(B804="","",IF(A804=_xlfn.MINIFS($A$2:$A$5001,$B$2:$B$5001,B804),1,0))</f>
        <v/>
      </c>
      <c r="K804" s="16" t="str">
        <f aca="false">IF(B804="","",IF(AND(D804="Formalização",E804="Concluído"),IF(COUNTIFS($B$2:$B$5001,B804,$E$2:$E$5001,"Em ajustes",$A$2:$A$5001,"&lt;"&amp;I804)&gt;0,1,0),0))</f>
        <v/>
      </c>
      <c r="L804" s="16" t="str">
        <f aca="false">IF(B804="","",IF(A804=_xlfn.MAXIFS($A$2:$A$5001,$B$2:$B$5001,B804,$I$2:$I$5001,I804),1,0))</f>
        <v/>
      </c>
    </row>
    <row r="805" customFormat="false" ht="15" hidden="false" customHeight="false" outlineLevel="0" collapsed="false">
      <c r="I805" s="15" t="str">
        <f aca="false">IF(A805="","",INT(A805))</f>
        <v/>
      </c>
      <c r="J805" s="16" t="str">
        <f aca="false">IF(B805="","",IF(A805=_xlfn.MINIFS($A$2:$A$5001,$B$2:$B$5001,B805),1,0))</f>
        <v/>
      </c>
      <c r="K805" s="16" t="str">
        <f aca="false">IF(B805="","",IF(AND(D805="Formalização",E805="Concluído"),IF(COUNTIFS($B$2:$B$5001,B805,$E$2:$E$5001,"Em ajustes",$A$2:$A$5001,"&lt;"&amp;I805)&gt;0,1,0),0))</f>
        <v/>
      </c>
      <c r="L805" s="16" t="str">
        <f aca="false">IF(B805="","",IF(A805=_xlfn.MAXIFS($A$2:$A$5001,$B$2:$B$5001,B805,$I$2:$I$5001,I805),1,0))</f>
        <v/>
      </c>
    </row>
    <row r="806" customFormat="false" ht="15" hidden="false" customHeight="false" outlineLevel="0" collapsed="false">
      <c r="I806" s="15" t="str">
        <f aca="false">IF(A806="","",INT(A806))</f>
        <v/>
      </c>
      <c r="J806" s="16" t="str">
        <f aca="false">IF(B806="","",IF(A806=_xlfn.MINIFS($A$2:$A$5001,$B$2:$B$5001,B806),1,0))</f>
        <v/>
      </c>
      <c r="K806" s="16" t="str">
        <f aca="false">IF(B806="","",IF(AND(D806="Formalização",E806="Concluído"),IF(COUNTIFS($B$2:$B$5001,B806,$E$2:$E$5001,"Em ajustes",$A$2:$A$5001,"&lt;"&amp;I806)&gt;0,1,0),0))</f>
        <v/>
      </c>
      <c r="L806" s="16" t="str">
        <f aca="false">IF(B806="","",IF(A806=_xlfn.MAXIFS($A$2:$A$5001,$B$2:$B$5001,B806,$I$2:$I$5001,I806),1,0))</f>
        <v/>
      </c>
    </row>
    <row r="807" customFormat="false" ht="15" hidden="false" customHeight="false" outlineLevel="0" collapsed="false">
      <c r="I807" s="15" t="str">
        <f aca="false">IF(A807="","",INT(A807))</f>
        <v/>
      </c>
      <c r="J807" s="16" t="str">
        <f aca="false">IF(B807="","",IF(A807=_xlfn.MINIFS($A$2:$A$5001,$B$2:$B$5001,B807),1,0))</f>
        <v/>
      </c>
      <c r="K807" s="16" t="str">
        <f aca="false">IF(B807="","",IF(AND(D807="Formalização",E807="Concluído"),IF(COUNTIFS($B$2:$B$5001,B807,$E$2:$E$5001,"Em ajustes",$A$2:$A$5001,"&lt;"&amp;I807)&gt;0,1,0),0))</f>
        <v/>
      </c>
      <c r="L807" s="16" t="str">
        <f aca="false">IF(B807="","",IF(A807=_xlfn.MAXIFS($A$2:$A$5001,$B$2:$B$5001,B807,$I$2:$I$5001,I807),1,0))</f>
        <v/>
      </c>
    </row>
    <row r="808" customFormat="false" ht="15" hidden="false" customHeight="false" outlineLevel="0" collapsed="false">
      <c r="I808" s="15" t="str">
        <f aca="false">IF(A808="","",INT(A808))</f>
        <v/>
      </c>
      <c r="J808" s="16" t="str">
        <f aca="false">IF(B808="","",IF(A808=_xlfn.MINIFS($A$2:$A$5001,$B$2:$B$5001,B808),1,0))</f>
        <v/>
      </c>
      <c r="K808" s="16" t="str">
        <f aca="false">IF(B808="","",IF(AND(D808="Formalização",E808="Concluído"),IF(COUNTIFS($B$2:$B$5001,B808,$E$2:$E$5001,"Em ajustes",$A$2:$A$5001,"&lt;"&amp;I808)&gt;0,1,0),0))</f>
        <v/>
      </c>
      <c r="L808" s="16" t="str">
        <f aca="false">IF(B808="","",IF(A808=_xlfn.MAXIFS($A$2:$A$5001,$B$2:$B$5001,B808,$I$2:$I$5001,I808),1,0))</f>
        <v/>
      </c>
    </row>
    <row r="809" customFormat="false" ht="15" hidden="false" customHeight="false" outlineLevel="0" collapsed="false">
      <c r="I809" s="15" t="str">
        <f aca="false">IF(A809="","",INT(A809))</f>
        <v/>
      </c>
      <c r="J809" s="16" t="str">
        <f aca="false">IF(B809="","",IF(A809=_xlfn.MINIFS($A$2:$A$5001,$B$2:$B$5001,B809),1,0))</f>
        <v/>
      </c>
      <c r="K809" s="16" t="str">
        <f aca="false">IF(B809="","",IF(AND(D809="Formalização",E809="Concluído"),IF(COUNTIFS($B$2:$B$5001,B809,$E$2:$E$5001,"Em ajustes",$A$2:$A$5001,"&lt;"&amp;I809)&gt;0,1,0),0))</f>
        <v/>
      </c>
      <c r="L809" s="16" t="str">
        <f aca="false">IF(B809="","",IF(A809=_xlfn.MAXIFS($A$2:$A$5001,$B$2:$B$5001,B809,$I$2:$I$5001,I809),1,0))</f>
        <v/>
      </c>
    </row>
    <row r="810" customFormat="false" ht="15" hidden="false" customHeight="false" outlineLevel="0" collapsed="false">
      <c r="I810" s="15" t="str">
        <f aca="false">IF(A810="","",INT(A810))</f>
        <v/>
      </c>
      <c r="J810" s="16" t="str">
        <f aca="false">IF(B810="","",IF(A810=_xlfn.MINIFS($A$2:$A$5001,$B$2:$B$5001,B810),1,0))</f>
        <v/>
      </c>
      <c r="K810" s="16" t="str">
        <f aca="false">IF(B810="","",IF(AND(D810="Formalização",E810="Concluído"),IF(COUNTIFS($B$2:$B$5001,B810,$E$2:$E$5001,"Em ajustes",$A$2:$A$5001,"&lt;"&amp;I810)&gt;0,1,0),0))</f>
        <v/>
      </c>
      <c r="L810" s="16" t="str">
        <f aca="false">IF(B810="","",IF(A810=_xlfn.MAXIFS($A$2:$A$5001,$B$2:$B$5001,B810,$I$2:$I$5001,I810),1,0))</f>
        <v/>
      </c>
    </row>
    <row r="811" customFormat="false" ht="15" hidden="false" customHeight="false" outlineLevel="0" collapsed="false">
      <c r="I811" s="15" t="str">
        <f aca="false">IF(A811="","",INT(A811))</f>
        <v/>
      </c>
      <c r="J811" s="16" t="str">
        <f aca="false">IF(B811="","",IF(A811=_xlfn.MINIFS($A$2:$A$5001,$B$2:$B$5001,B811),1,0))</f>
        <v/>
      </c>
      <c r="K811" s="16" t="str">
        <f aca="false">IF(B811="","",IF(AND(D811="Formalização",E811="Concluído"),IF(COUNTIFS($B$2:$B$5001,B811,$E$2:$E$5001,"Em ajustes",$A$2:$A$5001,"&lt;"&amp;I811)&gt;0,1,0),0))</f>
        <v/>
      </c>
      <c r="L811" s="16" t="str">
        <f aca="false">IF(B811="","",IF(A811=_xlfn.MAXIFS($A$2:$A$5001,$B$2:$B$5001,B811,$I$2:$I$5001,I811),1,0))</f>
        <v/>
      </c>
    </row>
    <row r="812" customFormat="false" ht="15" hidden="false" customHeight="false" outlineLevel="0" collapsed="false">
      <c r="I812" s="15" t="str">
        <f aca="false">IF(A812="","",INT(A812))</f>
        <v/>
      </c>
      <c r="J812" s="16" t="str">
        <f aca="false">IF(B812="","",IF(A812=_xlfn.MINIFS($A$2:$A$5001,$B$2:$B$5001,B812),1,0))</f>
        <v/>
      </c>
      <c r="K812" s="16" t="str">
        <f aca="false">IF(B812="","",IF(AND(D812="Formalização",E812="Concluído"),IF(COUNTIFS($B$2:$B$5001,B812,$E$2:$E$5001,"Em ajustes",$A$2:$A$5001,"&lt;"&amp;I812)&gt;0,1,0),0))</f>
        <v/>
      </c>
      <c r="L812" s="16" t="str">
        <f aca="false">IF(B812="","",IF(A812=_xlfn.MAXIFS($A$2:$A$5001,$B$2:$B$5001,B812,$I$2:$I$5001,I812),1,0))</f>
        <v/>
      </c>
    </row>
    <row r="813" customFormat="false" ht="15" hidden="false" customHeight="false" outlineLevel="0" collapsed="false">
      <c r="I813" s="15" t="str">
        <f aca="false">IF(A813="","",INT(A813))</f>
        <v/>
      </c>
      <c r="J813" s="16" t="str">
        <f aca="false">IF(B813="","",IF(A813=_xlfn.MINIFS($A$2:$A$5001,$B$2:$B$5001,B813),1,0))</f>
        <v/>
      </c>
      <c r="K813" s="16" t="str">
        <f aca="false">IF(B813="","",IF(AND(D813="Formalização",E813="Concluído"),IF(COUNTIFS($B$2:$B$5001,B813,$E$2:$E$5001,"Em ajustes",$A$2:$A$5001,"&lt;"&amp;I813)&gt;0,1,0),0))</f>
        <v/>
      </c>
      <c r="L813" s="16" t="str">
        <f aca="false">IF(B813="","",IF(A813=_xlfn.MAXIFS($A$2:$A$5001,$B$2:$B$5001,B813,$I$2:$I$5001,I813),1,0))</f>
        <v/>
      </c>
    </row>
    <row r="814" customFormat="false" ht="15" hidden="false" customHeight="false" outlineLevel="0" collapsed="false">
      <c r="I814" s="15" t="str">
        <f aca="false">IF(A814="","",INT(A814))</f>
        <v/>
      </c>
      <c r="J814" s="16" t="str">
        <f aca="false">IF(B814="","",IF(A814=_xlfn.MINIFS($A$2:$A$5001,$B$2:$B$5001,B814),1,0))</f>
        <v/>
      </c>
      <c r="K814" s="16" t="str">
        <f aca="false">IF(B814="","",IF(AND(D814="Formalização",E814="Concluído"),IF(COUNTIFS($B$2:$B$5001,B814,$E$2:$E$5001,"Em ajustes",$A$2:$A$5001,"&lt;"&amp;I814)&gt;0,1,0),0))</f>
        <v/>
      </c>
      <c r="L814" s="16" t="str">
        <f aca="false">IF(B814="","",IF(A814=_xlfn.MAXIFS($A$2:$A$5001,$B$2:$B$5001,B814,$I$2:$I$5001,I814),1,0))</f>
        <v/>
      </c>
    </row>
    <row r="815" customFormat="false" ht="15" hidden="false" customHeight="false" outlineLevel="0" collapsed="false">
      <c r="I815" s="15" t="str">
        <f aca="false">IF(A815="","",INT(A815))</f>
        <v/>
      </c>
      <c r="J815" s="16" t="str">
        <f aca="false">IF(B815="","",IF(A815=_xlfn.MINIFS($A$2:$A$5001,$B$2:$B$5001,B815),1,0))</f>
        <v/>
      </c>
      <c r="K815" s="16" t="str">
        <f aca="false">IF(B815="","",IF(AND(D815="Formalização",E815="Concluído"),IF(COUNTIFS($B$2:$B$5001,B815,$E$2:$E$5001,"Em ajustes",$A$2:$A$5001,"&lt;"&amp;I815)&gt;0,1,0),0))</f>
        <v/>
      </c>
      <c r="L815" s="16" t="str">
        <f aca="false">IF(B815="","",IF(A815=_xlfn.MAXIFS($A$2:$A$5001,$B$2:$B$5001,B815,$I$2:$I$5001,I815),1,0))</f>
        <v/>
      </c>
    </row>
    <row r="816" customFormat="false" ht="15" hidden="false" customHeight="false" outlineLevel="0" collapsed="false">
      <c r="I816" s="15" t="str">
        <f aca="false">IF(A816="","",INT(A816))</f>
        <v/>
      </c>
      <c r="J816" s="16" t="str">
        <f aca="false">IF(B816="","",IF(A816=_xlfn.MINIFS($A$2:$A$5001,$B$2:$B$5001,B816),1,0))</f>
        <v/>
      </c>
      <c r="K816" s="16" t="str">
        <f aca="false">IF(B816="","",IF(AND(D816="Formalização",E816="Concluído"),IF(COUNTIFS($B$2:$B$5001,B816,$E$2:$E$5001,"Em ajustes",$A$2:$A$5001,"&lt;"&amp;I816)&gt;0,1,0),0))</f>
        <v/>
      </c>
      <c r="L816" s="16" t="str">
        <f aca="false">IF(B816="","",IF(A816=_xlfn.MAXIFS($A$2:$A$5001,$B$2:$B$5001,B816,$I$2:$I$5001,I816),1,0))</f>
        <v/>
      </c>
    </row>
    <row r="817" customFormat="false" ht="15" hidden="false" customHeight="false" outlineLevel="0" collapsed="false">
      <c r="I817" s="15" t="str">
        <f aca="false">IF(A817="","",INT(A817))</f>
        <v/>
      </c>
      <c r="J817" s="16" t="str">
        <f aca="false">IF(B817="","",IF(A817=_xlfn.MINIFS($A$2:$A$5001,$B$2:$B$5001,B817),1,0))</f>
        <v/>
      </c>
      <c r="K817" s="16" t="str">
        <f aca="false">IF(B817="","",IF(AND(D817="Formalização",E817="Concluído"),IF(COUNTIFS($B$2:$B$5001,B817,$E$2:$E$5001,"Em ajustes",$A$2:$A$5001,"&lt;"&amp;I817)&gt;0,1,0),0))</f>
        <v/>
      </c>
      <c r="L817" s="16" t="str">
        <f aca="false">IF(B817="","",IF(A817=_xlfn.MAXIFS($A$2:$A$5001,$B$2:$B$5001,B817,$I$2:$I$5001,I817),1,0))</f>
        <v/>
      </c>
    </row>
    <row r="818" customFormat="false" ht="15" hidden="false" customHeight="false" outlineLevel="0" collapsed="false">
      <c r="I818" s="15" t="str">
        <f aca="false">IF(A818="","",INT(A818))</f>
        <v/>
      </c>
      <c r="J818" s="16" t="str">
        <f aca="false">IF(B818="","",IF(A818=_xlfn.MINIFS($A$2:$A$5001,$B$2:$B$5001,B818),1,0))</f>
        <v/>
      </c>
      <c r="K818" s="16" t="str">
        <f aca="false">IF(B818="","",IF(AND(D818="Formalização",E818="Concluído"),IF(COUNTIFS($B$2:$B$5001,B818,$E$2:$E$5001,"Em ajustes",$A$2:$A$5001,"&lt;"&amp;I818)&gt;0,1,0),0))</f>
        <v/>
      </c>
      <c r="L818" s="16" t="str">
        <f aca="false">IF(B818="","",IF(A818=_xlfn.MAXIFS($A$2:$A$5001,$B$2:$B$5001,B818,$I$2:$I$5001,I818),1,0))</f>
        <v/>
      </c>
    </row>
    <row r="819" customFormat="false" ht="15" hidden="false" customHeight="false" outlineLevel="0" collapsed="false">
      <c r="I819" s="15" t="str">
        <f aca="false">IF(A819="","",INT(A819))</f>
        <v/>
      </c>
      <c r="J819" s="16" t="str">
        <f aca="false">IF(B819="","",IF(A819=_xlfn.MINIFS($A$2:$A$5001,$B$2:$B$5001,B819),1,0))</f>
        <v/>
      </c>
      <c r="K819" s="16" t="str">
        <f aca="false">IF(B819="","",IF(AND(D819="Formalização",E819="Concluído"),IF(COUNTIFS($B$2:$B$5001,B819,$E$2:$E$5001,"Em ajustes",$A$2:$A$5001,"&lt;"&amp;I819)&gt;0,1,0),0))</f>
        <v/>
      </c>
      <c r="L819" s="16" t="str">
        <f aca="false">IF(B819="","",IF(A819=_xlfn.MAXIFS($A$2:$A$5001,$B$2:$B$5001,B819,$I$2:$I$5001,I819),1,0))</f>
        <v/>
      </c>
    </row>
    <row r="820" customFormat="false" ht="15" hidden="false" customHeight="false" outlineLevel="0" collapsed="false">
      <c r="I820" s="15" t="str">
        <f aca="false">IF(A820="","",INT(A820))</f>
        <v/>
      </c>
      <c r="J820" s="16" t="str">
        <f aca="false">IF(B820="","",IF(A820=_xlfn.MINIFS($A$2:$A$5001,$B$2:$B$5001,B820),1,0))</f>
        <v/>
      </c>
      <c r="K820" s="16" t="str">
        <f aca="false">IF(B820="","",IF(AND(D820="Formalização",E820="Concluído"),IF(COUNTIFS($B$2:$B$5001,B820,$E$2:$E$5001,"Em ajustes",$A$2:$A$5001,"&lt;"&amp;I820)&gt;0,1,0),0))</f>
        <v/>
      </c>
      <c r="L820" s="16" t="str">
        <f aca="false">IF(B820="","",IF(A820=_xlfn.MAXIFS($A$2:$A$5001,$B$2:$B$5001,B820,$I$2:$I$5001,I820),1,0))</f>
        <v/>
      </c>
    </row>
    <row r="821" customFormat="false" ht="15" hidden="false" customHeight="false" outlineLevel="0" collapsed="false">
      <c r="I821" s="15" t="str">
        <f aca="false">IF(A821="","",INT(A821))</f>
        <v/>
      </c>
      <c r="J821" s="16" t="str">
        <f aca="false">IF(B821="","",IF(A821=_xlfn.MINIFS($A$2:$A$5001,$B$2:$B$5001,B821),1,0))</f>
        <v/>
      </c>
      <c r="K821" s="16" t="str">
        <f aca="false">IF(B821="","",IF(AND(D821="Formalização",E821="Concluído"),IF(COUNTIFS($B$2:$B$5001,B821,$E$2:$E$5001,"Em ajustes",$A$2:$A$5001,"&lt;"&amp;I821)&gt;0,1,0),0))</f>
        <v/>
      </c>
      <c r="L821" s="16" t="str">
        <f aca="false">IF(B821="","",IF(A821=_xlfn.MAXIFS($A$2:$A$5001,$B$2:$B$5001,B821,$I$2:$I$5001,I821),1,0))</f>
        <v/>
      </c>
    </row>
    <row r="822" customFormat="false" ht="15" hidden="false" customHeight="false" outlineLevel="0" collapsed="false">
      <c r="I822" s="15" t="str">
        <f aca="false">IF(A822="","",INT(A822))</f>
        <v/>
      </c>
      <c r="J822" s="16" t="str">
        <f aca="false">IF(B822="","",IF(A822=_xlfn.MINIFS($A$2:$A$5001,$B$2:$B$5001,B822),1,0))</f>
        <v/>
      </c>
      <c r="K822" s="16" t="str">
        <f aca="false">IF(B822="","",IF(AND(D822="Formalização",E822="Concluído"),IF(COUNTIFS($B$2:$B$5001,B822,$E$2:$E$5001,"Em ajustes",$A$2:$A$5001,"&lt;"&amp;I822)&gt;0,1,0),0))</f>
        <v/>
      </c>
      <c r="L822" s="16" t="str">
        <f aca="false">IF(B822="","",IF(A822=_xlfn.MAXIFS($A$2:$A$5001,$B$2:$B$5001,B822,$I$2:$I$5001,I822),1,0))</f>
        <v/>
      </c>
    </row>
    <row r="823" customFormat="false" ht="15" hidden="false" customHeight="false" outlineLevel="0" collapsed="false">
      <c r="I823" s="15" t="str">
        <f aca="false">IF(A823="","",INT(A823))</f>
        <v/>
      </c>
      <c r="J823" s="16" t="str">
        <f aca="false">IF(B823="","",IF(A823=_xlfn.MINIFS($A$2:$A$5001,$B$2:$B$5001,B823),1,0))</f>
        <v/>
      </c>
      <c r="K823" s="16" t="str">
        <f aca="false">IF(B823="","",IF(AND(D823="Formalização",E823="Concluído"),IF(COUNTIFS($B$2:$B$5001,B823,$E$2:$E$5001,"Em ajustes",$A$2:$A$5001,"&lt;"&amp;I823)&gt;0,1,0),0))</f>
        <v/>
      </c>
      <c r="L823" s="16" t="str">
        <f aca="false">IF(B823="","",IF(A823=_xlfn.MAXIFS($A$2:$A$5001,$B$2:$B$5001,B823,$I$2:$I$5001,I823),1,0))</f>
        <v/>
      </c>
    </row>
    <row r="824" customFormat="false" ht="15" hidden="false" customHeight="false" outlineLevel="0" collapsed="false">
      <c r="I824" s="15" t="str">
        <f aca="false">IF(A824="","",INT(A824))</f>
        <v/>
      </c>
      <c r="J824" s="16" t="str">
        <f aca="false">IF(B824="","",IF(A824=_xlfn.MINIFS($A$2:$A$5001,$B$2:$B$5001,B824),1,0))</f>
        <v/>
      </c>
      <c r="K824" s="16" t="str">
        <f aca="false">IF(B824="","",IF(AND(D824="Formalização",E824="Concluído"),IF(COUNTIFS($B$2:$B$5001,B824,$E$2:$E$5001,"Em ajustes",$A$2:$A$5001,"&lt;"&amp;I824)&gt;0,1,0),0))</f>
        <v/>
      </c>
      <c r="L824" s="16" t="str">
        <f aca="false">IF(B824="","",IF(A824=_xlfn.MAXIFS($A$2:$A$5001,$B$2:$B$5001,B824,$I$2:$I$5001,I824),1,0))</f>
        <v/>
      </c>
    </row>
    <row r="825" customFormat="false" ht="15" hidden="false" customHeight="false" outlineLevel="0" collapsed="false">
      <c r="I825" s="15" t="str">
        <f aca="false">IF(A825="","",INT(A825))</f>
        <v/>
      </c>
      <c r="J825" s="16" t="str">
        <f aca="false">IF(B825="","",IF(A825=_xlfn.MINIFS($A$2:$A$5001,$B$2:$B$5001,B825),1,0))</f>
        <v/>
      </c>
      <c r="K825" s="16" t="str">
        <f aca="false">IF(B825="","",IF(AND(D825="Formalização",E825="Concluído"),IF(COUNTIFS($B$2:$B$5001,B825,$E$2:$E$5001,"Em ajustes",$A$2:$A$5001,"&lt;"&amp;I825)&gt;0,1,0),0))</f>
        <v/>
      </c>
      <c r="L825" s="16" t="str">
        <f aca="false">IF(B825="","",IF(A825=_xlfn.MAXIFS($A$2:$A$5001,$B$2:$B$5001,B825,$I$2:$I$5001,I825),1,0))</f>
        <v/>
      </c>
    </row>
    <row r="826" customFormat="false" ht="15" hidden="false" customHeight="false" outlineLevel="0" collapsed="false">
      <c r="I826" s="15" t="str">
        <f aca="false">IF(A826="","",INT(A826))</f>
        <v/>
      </c>
      <c r="J826" s="16" t="str">
        <f aca="false">IF(B826="","",IF(A826=_xlfn.MINIFS($A$2:$A$5001,$B$2:$B$5001,B826),1,0))</f>
        <v/>
      </c>
      <c r="K826" s="16" t="str">
        <f aca="false">IF(B826="","",IF(AND(D826="Formalização",E826="Concluído"),IF(COUNTIFS($B$2:$B$5001,B826,$E$2:$E$5001,"Em ajustes",$A$2:$A$5001,"&lt;"&amp;I826)&gt;0,1,0),0))</f>
        <v/>
      </c>
      <c r="L826" s="16" t="str">
        <f aca="false">IF(B826="","",IF(A826=_xlfn.MAXIFS($A$2:$A$5001,$B$2:$B$5001,B826,$I$2:$I$5001,I826),1,0))</f>
        <v/>
      </c>
    </row>
    <row r="827" customFormat="false" ht="15" hidden="false" customHeight="false" outlineLevel="0" collapsed="false">
      <c r="I827" s="15" t="str">
        <f aca="false">IF(A827="","",INT(A827))</f>
        <v/>
      </c>
      <c r="J827" s="16" t="str">
        <f aca="false">IF(B827="","",IF(A827=_xlfn.MINIFS($A$2:$A$5001,$B$2:$B$5001,B827),1,0))</f>
        <v/>
      </c>
      <c r="K827" s="16" t="str">
        <f aca="false">IF(B827="","",IF(AND(D827="Formalização",E827="Concluído"),IF(COUNTIFS($B$2:$B$5001,B827,$E$2:$E$5001,"Em ajustes",$A$2:$A$5001,"&lt;"&amp;I827)&gt;0,1,0),0))</f>
        <v/>
      </c>
      <c r="L827" s="16" t="str">
        <f aca="false">IF(B827="","",IF(A827=_xlfn.MAXIFS($A$2:$A$5001,$B$2:$B$5001,B827,$I$2:$I$5001,I827),1,0))</f>
        <v/>
      </c>
    </row>
    <row r="828" customFormat="false" ht="15" hidden="false" customHeight="false" outlineLevel="0" collapsed="false">
      <c r="I828" s="15" t="str">
        <f aca="false">IF(A828="","",INT(A828))</f>
        <v/>
      </c>
      <c r="J828" s="16" t="str">
        <f aca="false">IF(B828="","",IF(A828=_xlfn.MINIFS($A$2:$A$5001,$B$2:$B$5001,B828),1,0))</f>
        <v/>
      </c>
      <c r="K828" s="16" t="str">
        <f aca="false">IF(B828="","",IF(AND(D828="Formalização",E828="Concluído"),IF(COUNTIFS($B$2:$B$5001,B828,$E$2:$E$5001,"Em ajustes",$A$2:$A$5001,"&lt;"&amp;I828)&gt;0,1,0),0))</f>
        <v/>
      </c>
      <c r="L828" s="16" t="str">
        <f aca="false">IF(B828="","",IF(A828=_xlfn.MAXIFS($A$2:$A$5001,$B$2:$B$5001,B828,$I$2:$I$5001,I828),1,0))</f>
        <v/>
      </c>
    </row>
    <row r="829" customFormat="false" ht="15" hidden="false" customHeight="false" outlineLevel="0" collapsed="false">
      <c r="I829" s="15" t="str">
        <f aca="false">IF(A829="","",INT(A829))</f>
        <v/>
      </c>
      <c r="J829" s="16" t="str">
        <f aca="false">IF(B829="","",IF(A829=_xlfn.MINIFS($A$2:$A$5001,$B$2:$B$5001,B829),1,0))</f>
        <v/>
      </c>
      <c r="K829" s="16" t="str">
        <f aca="false">IF(B829="","",IF(AND(D829="Formalização",E829="Concluído"),IF(COUNTIFS($B$2:$B$5001,B829,$E$2:$E$5001,"Em ajustes",$A$2:$A$5001,"&lt;"&amp;I829)&gt;0,1,0),0))</f>
        <v/>
      </c>
      <c r="L829" s="16" t="str">
        <f aca="false">IF(B829="","",IF(A829=_xlfn.MAXIFS($A$2:$A$5001,$B$2:$B$5001,B829,$I$2:$I$5001,I829),1,0))</f>
        <v/>
      </c>
    </row>
    <row r="830" customFormat="false" ht="15" hidden="false" customHeight="false" outlineLevel="0" collapsed="false">
      <c r="I830" s="15" t="str">
        <f aca="false">IF(A830="","",INT(A830))</f>
        <v/>
      </c>
      <c r="J830" s="16" t="str">
        <f aca="false">IF(B830="","",IF(A830=_xlfn.MINIFS($A$2:$A$5001,$B$2:$B$5001,B830),1,0))</f>
        <v/>
      </c>
      <c r="K830" s="16" t="str">
        <f aca="false">IF(B830="","",IF(AND(D830="Formalização",E830="Concluído"),IF(COUNTIFS($B$2:$B$5001,B830,$E$2:$E$5001,"Em ajustes",$A$2:$A$5001,"&lt;"&amp;I830)&gt;0,1,0),0))</f>
        <v/>
      </c>
      <c r="L830" s="16" t="str">
        <f aca="false">IF(B830="","",IF(A830=_xlfn.MAXIFS($A$2:$A$5001,$B$2:$B$5001,B830,$I$2:$I$5001,I830),1,0))</f>
        <v/>
      </c>
    </row>
    <row r="831" customFormat="false" ht="15" hidden="false" customHeight="false" outlineLevel="0" collapsed="false">
      <c r="I831" s="15" t="str">
        <f aca="false">IF(A831="","",INT(A831))</f>
        <v/>
      </c>
      <c r="J831" s="16" t="str">
        <f aca="false">IF(B831="","",IF(A831=_xlfn.MINIFS($A$2:$A$5001,$B$2:$B$5001,B831),1,0))</f>
        <v/>
      </c>
      <c r="K831" s="16" t="str">
        <f aca="false">IF(B831="","",IF(AND(D831="Formalização",E831="Concluído"),IF(COUNTIFS($B$2:$B$5001,B831,$E$2:$E$5001,"Em ajustes",$A$2:$A$5001,"&lt;"&amp;I831)&gt;0,1,0),0))</f>
        <v/>
      </c>
      <c r="L831" s="16" t="str">
        <f aca="false">IF(B831="","",IF(A831=_xlfn.MAXIFS($A$2:$A$5001,$B$2:$B$5001,B831,$I$2:$I$5001,I831),1,0))</f>
        <v/>
      </c>
    </row>
    <row r="832" customFormat="false" ht="15" hidden="false" customHeight="false" outlineLevel="0" collapsed="false">
      <c r="I832" s="15" t="str">
        <f aca="false">IF(A832="","",INT(A832))</f>
        <v/>
      </c>
      <c r="J832" s="16" t="str">
        <f aca="false">IF(B832="","",IF(A832=_xlfn.MINIFS($A$2:$A$5001,$B$2:$B$5001,B832),1,0))</f>
        <v/>
      </c>
      <c r="K832" s="16" t="str">
        <f aca="false">IF(B832="","",IF(AND(D832="Formalização",E832="Concluído"),IF(COUNTIFS($B$2:$B$5001,B832,$E$2:$E$5001,"Em ajustes",$A$2:$A$5001,"&lt;"&amp;I832)&gt;0,1,0),0))</f>
        <v/>
      </c>
      <c r="L832" s="16" t="str">
        <f aca="false">IF(B832="","",IF(A832=_xlfn.MAXIFS($A$2:$A$5001,$B$2:$B$5001,B832,$I$2:$I$5001,I832),1,0))</f>
        <v/>
      </c>
    </row>
    <row r="833" customFormat="false" ht="15" hidden="false" customHeight="false" outlineLevel="0" collapsed="false">
      <c r="I833" s="15" t="str">
        <f aca="false">IF(A833="","",INT(A833))</f>
        <v/>
      </c>
      <c r="J833" s="16" t="str">
        <f aca="false">IF(B833="","",IF(A833=_xlfn.MINIFS($A$2:$A$5001,$B$2:$B$5001,B833),1,0))</f>
        <v/>
      </c>
      <c r="K833" s="16" t="str">
        <f aca="false">IF(B833="","",IF(AND(D833="Formalização",E833="Concluído"),IF(COUNTIFS($B$2:$B$5001,B833,$E$2:$E$5001,"Em ajustes",$A$2:$A$5001,"&lt;"&amp;I833)&gt;0,1,0),0))</f>
        <v/>
      </c>
      <c r="L833" s="16" t="str">
        <f aca="false">IF(B833="","",IF(A833=_xlfn.MAXIFS($A$2:$A$5001,$B$2:$B$5001,B833,$I$2:$I$5001,I833),1,0))</f>
        <v/>
      </c>
    </row>
    <row r="834" customFormat="false" ht="15" hidden="false" customHeight="false" outlineLevel="0" collapsed="false">
      <c r="I834" s="15" t="str">
        <f aca="false">IF(A834="","",INT(A834))</f>
        <v/>
      </c>
      <c r="J834" s="16" t="str">
        <f aca="false">IF(B834="","",IF(A834=_xlfn.MINIFS($A$2:$A$5001,$B$2:$B$5001,B834),1,0))</f>
        <v/>
      </c>
      <c r="K834" s="16" t="str">
        <f aca="false">IF(B834="","",IF(AND(D834="Formalização",E834="Concluído"),IF(COUNTIFS($B$2:$B$5001,B834,$E$2:$E$5001,"Em ajustes",$A$2:$A$5001,"&lt;"&amp;I834)&gt;0,1,0),0))</f>
        <v/>
      </c>
      <c r="L834" s="16" t="str">
        <f aca="false">IF(B834="","",IF(A834=_xlfn.MAXIFS($A$2:$A$5001,$B$2:$B$5001,B834,$I$2:$I$5001,I834),1,0))</f>
        <v/>
      </c>
    </row>
    <row r="835" customFormat="false" ht="15" hidden="false" customHeight="false" outlineLevel="0" collapsed="false">
      <c r="I835" s="15" t="str">
        <f aca="false">IF(A835="","",INT(A835))</f>
        <v/>
      </c>
      <c r="J835" s="16" t="str">
        <f aca="false">IF(B835="","",IF(A835=_xlfn.MINIFS($A$2:$A$5001,$B$2:$B$5001,B835),1,0))</f>
        <v/>
      </c>
      <c r="K835" s="16" t="str">
        <f aca="false">IF(B835="","",IF(AND(D835="Formalização",E835="Concluído"),IF(COUNTIFS($B$2:$B$5001,B835,$E$2:$E$5001,"Em ajustes",$A$2:$A$5001,"&lt;"&amp;I835)&gt;0,1,0),0))</f>
        <v/>
      </c>
      <c r="L835" s="16" t="str">
        <f aca="false">IF(B835="","",IF(A835=_xlfn.MAXIFS($A$2:$A$5001,$B$2:$B$5001,B835,$I$2:$I$5001,I835),1,0))</f>
        <v/>
      </c>
    </row>
    <row r="836" customFormat="false" ht="15" hidden="false" customHeight="false" outlineLevel="0" collapsed="false">
      <c r="I836" s="15" t="str">
        <f aca="false">IF(A836="","",INT(A836))</f>
        <v/>
      </c>
      <c r="J836" s="16" t="str">
        <f aca="false">IF(B836="","",IF(A836=_xlfn.MINIFS($A$2:$A$5001,$B$2:$B$5001,B836),1,0))</f>
        <v/>
      </c>
      <c r="K836" s="16" t="str">
        <f aca="false">IF(B836="","",IF(AND(D836="Formalização",E836="Concluído"),IF(COUNTIFS($B$2:$B$5001,B836,$E$2:$E$5001,"Em ajustes",$A$2:$A$5001,"&lt;"&amp;I836)&gt;0,1,0),0))</f>
        <v/>
      </c>
      <c r="L836" s="16" t="str">
        <f aca="false">IF(B836="","",IF(A836=_xlfn.MAXIFS($A$2:$A$5001,$B$2:$B$5001,B836,$I$2:$I$5001,I836),1,0))</f>
        <v/>
      </c>
    </row>
    <row r="837" customFormat="false" ht="15" hidden="false" customHeight="false" outlineLevel="0" collapsed="false">
      <c r="I837" s="15" t="str">
        <f aca="false">IF(A837="","",INT(A837))</f>
        <v/>
      </c>
      <c r="J837" s="16" t="str">
        <f aca="false">IF(B837="","",IF(A837=_xlfn.MINIFS($A$2:$A$5001,$B$2:$B$5001,B837),1,0))</f>
        <v/>
      </c>
      <c r="K837" s="16" t="str">
        <f aca="false">IF(B837="","",IF(AND(D837="Formalização",E837="Concluído"),IF(COUNTIFS($B$2:$B$5001,B837,$E$2:$E$5001,"Em ajustes",$A$2:$A$5001,"&lt;"&amp;I837)&gt;0,1,0),0))</f>
        <v/>
      </c>
      <c r="L837" s="16" t="str">
        <f aca="false">IF(B837="","",IF(A837=_xlfn.MAXIFS($A$2:$A$5001,$B$2:$B$5001,B837,$I$2:$I$5001,I837),1,0))</f>
        <v/>
      </c>
    </row>
    <row r="838" customFormat="false" ht="15" hidden="false" customHeight="false" outlineLevel="0" collapsed="false">
      <c r="I838" s="15" t="str">
        <f aca="false">IF(A838="","",INT(A838))</f>
        <v/>
      </c>
      <c r="J838" s="16" t="str">
        <f aca="false">IF(B838="","",IF(A838=_xlfn.MINIFS($A$2:$A$5001,$B$2:$B$5001,B838),1,0))</f>
        <v/>
      </c>
      <c r="K838" s="16" t="str">
        <f aca="false">IF(B838="","",IF(AND(D838="Formalização",E838="Concluído"),IF(COUNTIFS($B$2:$B$5001,B838,$E$2:$E$5001,"Em ajustes",$A$2:$A$5001,"&lt;"&amp;I838)&gt;0,1,0),0))</f>
        <v/>
      </c>
      <c r="L838" s="16" t="str">
        <f aca="false">IF(B838="","",IF(A838=_xlfn.MAXIFS($A$2:$A$5001,$B$2:$B$5001,B838,$I$2:$I$5001,I838),1,0))</f>
        <v/>
      </c>
    </row>
    <row r="839" customFormat="false" ht="15" hidden="false" customHeight="false" outlineLevel="0" collapsed="false">
      <c r="I839" s="15" t="str">
        <f aca="false">IF(A839="","",INT(A839))</f>
        <v/>
      </c>
      <c r="J839" s="16" t="str">
        <f aca="false">IF(B839="","",IF(A839=_xlfn.MINIFS($A$2:$A$5001,$B$2:$B$5001,B839),1,0))</f>
        <v/>
      </c>
      <c r="K839" s="16" t="str">
        <f aca="false">IF(B839="","",IF(AND(D839="Formalização",E839="Concluído"),IF(COUNTIFS($B$2:$B$5001,B839,$E$2:$E$5001,"Em ajustes",$A$2:$A$5001,"&lt;"&amp;I839)&gt;0,1,0),0))</f>
        <v/>
      </c>
      <c r="L839" s="16" t="str">
        <f aca="false">IF(B839="","",IF(A839=_xlfn.MAXIFS($A$2:$A$5001,$B$2:$B$5001,B839,$I$2:$I$5001,I839),1,0))</f>
        <v/>
      </c>
    </row>
    <row r="840" customFormat="false" ht="15" hidden="false" customHeight="false" outlineLevel="0" collapsed="false">
      <c r="I840" s="15" t="str">
        <f aca="false">IF(A840="","",INT(A840))</f>
        <v/>
      </c>
      <c r="J840" s="16" t="str">
        <f aca="false">IF(B840="","",IF(A840=_xlfn.MINIFS($A$2:$A$5001,$B$2:$B$5001,B840),1,0))</f>
        <v/>
      </c>
      <c r="K840" s="16" t="str">
        <f aca="false">IF(B840="","",IF(AND(D840="Formalização",E840="Concluído"),IF(COUNTIFS($B$2:$B$5001,B840,$E$2:$E$5001,"Em ajustes",$A$2:$A$5001,"&lt;"&amp;I840)&gt;0,1,0),0))</f>
        <v/>
      </c>
      <c r="L840" s="16" t="str">
        <f aca="false">IF(B840="","",IF(A840=_xlfn.MAXIFS($A$2:$A$5001,$B$2:$B$5001,B840,$I$2:$I$5001,I840),1,0))</f>
        <v/>
      </c>
    </row>
    <row r="841" customFormat="false" ht="15" hidden="false" customHeight="false" outlineLevel="0" collapsed="false">
      <c r="I841" s="15" t="str">
        <f aca="false">IF(A841="","",INT(A841))</f>
        <v/>
      </c>
      <c r="J841" s="16" t="str">
        <f aca="false">IF(B841="","",IF(A841=_xlfn.MINIFS($A$2:$A$5001,$B$2:$B$5001,B841),1,0))</f>
        <v/>
      </c>
      <c r="K841" s="16" t="str">
        <f aca="false">IF(B841="","",IF(AND(D841="Formalização",E841="Concluído"),IF(COUNTIFS($B$2:$B$5001,B841,$E$2:$E$5001,"Em ajustes",$A$2:$A$5001,"&lt;"&amp;I841)&gt;0,1,0),0))</f>
        <v/>
      </c>
      <c r="L841" s="16" t="str">
        <f aca="false">IF(B841="","",IF(A841=_xlfn.MAXIFS($A$2:$A$5001,$B$2:$B$5001,B841,$I$2:$I$5001,I841),1,0))</f>
        <v/>
      </c>
    </row>
    <row r="842" customFormat="false" ht="15" hidden="false" customHeight="false" outlineLevel="0" collapsed="false">
      <c r="I842" s="15" t="str">
        <f aca="false">IF(A842="","",INT(A842))</f>
        <v/>
      </c>
      <c r="J842" s="16" t="str">
        <f aca="false">IF(B842="","",IF(A842=_xlfn.MINIFS($A$2:$A$5001,$B$2:$B$5001,B842),1,0))</f>
        <v/>
      </c>
      <c r="K842" s="16" t="str">
        <f aca="false">IF(B842="","",IF(AND(D842="Formalização",E842="Concluído"),IF(COUNTIFS($B$2:$B$5001,B842,$E$2:$E$5001,"Em ajustes",$A$2:$A$5001,"&lt;"&amp;I842)&gt;0,1,0),0))</f>
        <v/>
      </c>
      <c r="L842" s="16" t="str">
        <f aca="false">IF(B842="","",IF(A842=_xlfn.MAXIFS($A$2:$A$5001,$B$2:$B$5001,B842,$I$2:$I$5001,I842),1,0))</f>
        <v/>
      </c>
    </row>
    <row r="843" customFormat="false" ht="15" hidden="false" customHeight="false" outlineLevel="0" collapsed="false">
      <c r="I843" s="15" t="str">
        <f aca="false">IF(A843="","",INT(A843))</f>
        <v/>
      </c>
      <c r="J843" s="16" t="str">
        <f aca="false">IF(B843="","",IF(A843=_xlfn.MINIFS($A$2:$A$5001,$B$2:$B$5001,B843),1,0))</f>
        <v/>
      </c>
      <c r="K843" s="16" t="str">
        <f aca="false">IF(B843="","",IF(AND(D843="Formalização",E843="Concluído"),IF(COUNTIFS($B$2:$B$5001,B843,$E$2:$E$5001,"Em ajustes",$A$2:$A$5001,"&lt;"&amp;I843)&gt;0,1,0),0))</f>
        <v/>
      </c>
      <c r="L843" s="16" t="str">
        <f aca="false">IF(B843="","",IF(A843=_xlfn.MAXIFS($A$2:$A$5001,$B$2:$B$5001,B843,$I$2:$I$5001,I843),1,0))</f>
        <v/>
      </c>
    </row>
    <row r="844" customFormat="false" ht="15" hidden="false" customHeight="false" outlineLevel="0" collapsed="false">
      <c r="I844" s="15" t="str">
        <f aca="false">IF(A844="","",INT(A844))</f>
        <v/>
      </c>
      <c r="J844" s="16" t="str">
        <f aca="false">IF(B844="","",IF(A844=_xlfn.MINIFS($A$2:$A$5001,$B$2:$B$5001,B844),1,0))</f>
        <v/>
      </c>
      <c r="K844" s="16" t="str">
        <f aca="false">IF(B844="","",IF(AND(D844="Formalização",E844="Concluído"),IF(COUNTIFS($B$2:$B$5001,B844,$E$2:$E$5001,"Em ajustes",$A$2:$A$5001,"&lt;"&amp;I844)&gt;0,1,0),0))</f>
        <v/>
      </c>
      <c r="L844" s="16" t="str">
        <f aca="false">IF(B844="","",IF(A844=_xlfn.MAXIFS($A$2:$A$5001,$B$2:$B$5001,B844,$I$2:$I$5001,I844),1,0))</f>
        <v/>
      </c>
    </row>
    <row r="845" customFormat="false" ht="15" hidden="false" customHeight="false" outlineLevel="0" collapsed="false">
      <c r="I845" s="15" t="str">
        <f aca="false">IF(A845="","",INT(A845))</f>
        <v/>
      </c>
      <c r="J845" s="16" t="str">
        <f aca="false">IF(B845="","",IF(A845=_xlfn.MINIFS($A$2:$A$5001,$B$2:$B$5001,B845),1,0))</f>
        <v/>
      </c>
      <c r="K845" s="16" t="str">
        <f aca="false">IF(B845="","",IF(AND(D845="Formalização",E845="Concluído"),IF(COUNTIFS($B$2:$B$5001,B845,$E$2:$E$5001,"Em ajustes",$A$2:$A$5001,"&lt;"&amp;I845)&gt;0,1,0),0))</f>
        <v/>
      </c>
      <c r="L845" s="16" t="str">
        <f aca="false">IF(B845="","",IF(A845=_xlfn.MAXIFS($A$2:$A$5001,$B$2:$B$5001,B845,$I$2:$I$5001,I845),1,0))</f>
        <v/>
      </c>
    </row>
    <row r="846" customFormat="false" ht="15" hidden="false" customHeight="false" outlineLevel="0" collapsed="false">
      <c r="I846" s="15" t="str">
        <f aca="false">IF(A846="","",INT(A846))</f>
        <v/>
      </c>
      <c r="J846" s="16" t="str">
        <f aca="false">IF(B846="","",IF(A846=_xlfn.MINIFS($A$2:$A$5001,$B$2:$B$5001,B846),1,0))</f>
        <v/>
      </c>
      <c r="K846" s="16" t="str">
        <f aca="false">IF(B846="","",IF(AND(D846="Formalização",E846="Concluído"),IF(COUNTIFS($B$2:$B$5001,B846,$E$2:$E$5001,"Em ajustes",$A$2:$A$5001,"&lt;"&amp;I846)&gt;0,1,0),0))</f>
        <v/>
      </c>
      <c r="L846" s="16" t="str">
        <f aca="false">IF(B846="","",IF(A846=_xlfn.MAXIFS($A$2:$A$5001,$B$2:$B$5001,B846,$I$2:$I$5001,I846),1,0))</f>
        <v/>
      </c>
    </row>
    <row r="847" customFormat="false" ht="15" hidden="false" customHeight="false" outlineLevel="0" collapsed="false">
      <c r="I847" s="15" t="str">
        <f aca="false">IF(A847="","",INT(A847))</f>
        <v/>
      </c>
      <c r="J847" s="16" t="str">
        <f aca="false">IF(B847="","",IF(A847=_xlfn.MINIFS($A$2:$A$5001,$B$2:$B$5001,B847),1,0))</f>
        <v/>
      </c>
      <c r="K847" s="16" t="str">
        <f aca="false">IF(B847="","",IF(AND(D847="Formalização",E847="Concluído"),IF(COUNTIFS($B$2:$B$5001,B847,$E$2:$E$5001,"Em ajustes",$A$2:$A$5001,"&lt;"&amp;I847)&gt;0,1,0),0))</f>
        <v/>
      </c>
      <c r="L847" s="16" t="str">
        <f aca="false">IF(B847="","",IF(A847=_xlfn.MAXIFS($A$2:$A$5001,$B$2:$B$5001,B847,$I$2:$I$5001,I847),1,0))</f>
        <v/>
      </c>
    </row>
    <row r="848" customFormat="false" ht="15" hidden="false" customHeight="false" outlineLevel="0" collapsed="false">
      <c r="I848" s="15" t="str">
        <f aca="false">IF(A848="","",INT(A848))</f>
        <v/>
      </c>
      <c r="J848" s="16" t="str">
        <f aca="false">IF(B848="","",IF(A848=_xlfn.MINIFS($A$2:$A$5001,$B$2:$B$5001,B848),1,0))</f>
        <v/>
      </c>
      <c r="K848" s="16" t="str">
        <f aca="false">IF(B848="","",IF(AND(D848="Formalização",E848="Concluído"),IF(COUNTIFS($B$2:$B$5001,B848,$E$2:$E$5001,"Em ajustes",$A$2:$A$5001,"&lt;"&amp;I848)&gt;0,1,0),0))</f>
        <v/>
      </c>
      <c r="L848" s="16" t="str">
        <f aca="false">IF(B848="","",IF(A848=_xlfn.MAXIFS($A$2:$A$5001,$B$2:$B$5001,B848,$I$2:$I$5001,I848),1,0))</f>
        <v/>
      </c>
    </row>
    <row r="849" customFormat="false" ht="15" hidden="false" customHeight="false" outlineLevel="0" collapsed="false">
      <c r="I849" s="15" t="str">
        <f aca="false">IF(A849="","",INT(A849))</f>
        <v/>
      </c>
      <c r="J849" s="16" t="str">
        <f aca="false">IF(B849="","",IF(A849=_xlfn.MINIFS($A$2:$A$5001,$B$2:$B$5001,B849),1,0))</f>
        <v/>
      </c>
      <c r="K849" s="16" t="str">
        <f aca="false">IF(B849="","",IF(AND(D849="Formalização",E849="Concluído"),IF(COUNTIFS($B$2:$B$5001,B849,$E$2:$E$5001,"Em ajustes",$A$2:$A$5001,"&lt;"&amp;I849)&gt;0,1,0),0))</f>
        <v/>
      </c>
      <c r="L849" s="16" t="str">
        <f aca="false">IF(B849="","",IF(A849=_xlfn.MAXIFS($A$2:$A$5001,$B$2:$B$5001,B849,$I$2:$I$5001,I849),1,0))</f>
        <v/>
      </c>
    </row>
    <row r="850" customFormat="false" ht="15" hidden="false" customHeight="false" outlineLevel="0" collapsed="false">
      <c r="I850" s="15" t="str">
        <f aca="false">IF(A850="","",INT(A850))</f>
        <v/>
      </c>
      <c r="J850" s="16" t="str">
        <f aca="false">IF(B850="","",IF(A850=_xlfn.MINIFS($A$2:$A$5001,$B$2:$B$5001,B850),1,0))</f>
        <v/>
      </c>
      <c r="K850" s="16" t="str">
        <f aca="false">IF(B850="","",IF(AND(D850="Formalização",E850="Concluído"),IF(COUNTIFS($B$2:$B$5001,B850,$E$2:$E$5001,"Em ajustes",$A$2:$A$5001,"&lt;"&amp;I850)&gt;0,1,0),0))</f>
        <v/>
      </c>
      <c r="L850" s="16" t="str">
        <f aca="false">IF(B850="","",IF(A850=_xlfn.MAXIFS($A$2:$A$5001,$B$2:$B$5001,B850,$I$2:$I$5001,I850),1,0))</f>
        <v/>
      </c>
    </row>
    <row r="851" customFormat="false" ht="15" hidden="false" customHeight="false" outlineLevel="0" collapsed="false">
      <c r="I851" s="15" t="str">
        <f aca="false">IF(A851="","",INT(A851))</f>
        <v/>
      </c>
      <c r="J851" s="16" t="str">
        <f aca="false">IF(B851="","",IF(A851=_xlfn.MINIFS($A$2:$A$5001,$B$2:$B$5001,B851),1,0))</f>
        <v/>
      </c>
      <c r="K851" s="16" t="str">
        <f aca="false">IF(B851="","",IF(AND(D851="Formalização",E851="Concluído"),IF(COUNTIFS($B$2:$B$5001,B851,$E$2:$E$5001,"Em ajustes",$A$2:$A$5001,"&lt;"&amp;I851)&gt;0,1,0),0))</f>
        <v/>
      </c>
      <c r="L851" s="16" t="str">
        <f aca="false">IF(B851="","",IF(A851=_xlfn.MAXIFS($A$2:$A$5001,$B$2:$B$5001,B851,$I$2:$I$5001,I851),1,0))</f>
        <v/>
      </c>
    </row>
    <row r="852" customFormat="false" ht="15" hidden="false" customHeight="false" outlineLevel="0" collapsed="false">
      <c r="I852" s="15" t="str">
        <f aca="false">IF(A852="","",INT(A852))</f>
        <v/>
      </c>
      <c r="J852" s="16" t="str">
        <f aca="false">IF(B852="","",IF(A852=_xlfn.MINIFS($A$2:$A$5001,$B$2:$B$5001,B852),1,0))</f>
        <v/>
      </c>
      <c r="K852" s="16" t="str">
        <f aca="false">IF(B852="","",IF(AND(D852="Formalização",E852="Concluído"),IF(COUNTIFS($B$2:$B$5001,B852,$E$2:$E$5001,"Em ajustes",$A$2:$A$5001,"&lt;"&amp;I852)&gt;0,1,0),0))</f>
        <v/>
      </c>
      <c r="L852" s="16" t="str">
        <f aca="false">IF(B852="","",IF(A852=_xlfn.MAXIFS($A$2:$A$5001,$B$2:$B$5001,B852,$I$2:$I$5001,I852),1,0))</f>
        <v/>
      </c>
    </row>
    <row r="853" customFormat="false" ht="15" hidden="false" customHeight="false" outlineLevel="0" collapsed="false">
      <c r="I853" s="15" t="str">
        <f aca="false">IF(A853="","",INT(A853))</f>
        <v/>
      </c>
      <c r="J853" s="16" t="str">
        <f aca="false">IF(B853="","",IF(A853=_xlfn.MINIFS($A$2:$A$5001,$B$2:$B$5001,B853),1,0))</f>
        <v/>
      </c>
      <c r="K853" s="16" t="str">
        <f aca="false">IF(B853="","",IF(AND(D853="Formalização",E853="Concluído"),IF(COUNTIFS($B$2:$B$5001,B853,$E$2:$E$5001,"Em ajustes",$A$2:$A$5001,"&lt;"&amp;I853)&gt;0,1,0),0))</f>
        <v/>
      </c>
      <c r="L853" s="16" t="str">
        <f aca="false">IF(B853="","",IF(A853=_xlfn.MAXIFS($A$2:$A$5001,$B$2:$B$5001,B853,$I$2:$I$5001,I853),1,0))</f>
        <v/>
      </c>
    </row>
    <row r="854" customFormat="false" ht="15" hidden="false" customHeight="false" outlineLevel="0" collapsed="false">
      <c r="I854" s="15" t="str">
        <f aca="false">IF(A854="","",INT(A854))</f>
        <v/>
      </c>
      <c r="J854" s="16" t="str">
        <f aca="false">IF(B854="","",IF(A854=_xlfn.MINIFS($A$2:$A$5001,$B$2:$B$5001,B854),1,0))</f>
        <v/>
      </c>
      <c r="K854" s="16" t="str">
        <f aca="false">IF(B854="","",IF(AND(D854="Formalização",E854="Concluído"),IF(COUNTIFS($B$2:$B$5001,B854,$E$2:$E$5001,"Em ajustes",$A$2:$A$5001,"&lt;"&amp;I854)&gt;0,1,0),0))</f>
        <v/>
      </c>
      <c r="L854" s="16" t="str">
        <f aca="false">IF(B854="","",IF(A854=_xlfn.MAXIFS($A$2:$A$5001,$B$2:$B$5001,B854,$I$2:$I$5001,I854),1,0))</f>
        <v/>
      </c>
    </row>
    <row r="855" customFormat="false" ht="15" hidden="false" customHeight="false" outlineLevel="0" collapsed="false">
      <c r="I855" s="15" t="str">
        <f aca="false">IF(A855="","",INT(A855))</f>
        <v/>
      </c>
      <c r="J855" s="16" t="str">
        <f aca="false">IF(B855="","",IF(A855=_xlfn.MINIFS($A$2:$A$5001,$B$2:$B$5001,B855),1,0))</f>
        <v/>
      </c>
      <c r="K855" s="16" t="str">
        <f aca="false">IF(B855="","",IF(AND(D855="Formalização",E855="Concluído"),IF(COUNTIFS($B$2:$B$5001,B855,$E$2:$E$5001,"Em ajustes",$A$2:$A$5001,"&lt;"&amp;I855)&gt;0,1,0),0))</f>
        <v/>
      </c>
      <c r="L855" s="16" t="str">
        <f aca="false">IF(B855="","",IF(A855=_xlfn.MAXIFS($A$2:$A$5001,$B$2:$B$5001,B855,$I$2:$I$5001,I855),1,0))</f>
        <v/>
      </c>
    </row>
    <row r="856" customFormat="false" ht="15" hidden="false" customHeight="false" outlineLevel="0" collapsed="false">
      <c r="I856" s="15" t="str">
        <f aca="false">IF(A856="","",INT(A856))</f>
        <v/>
      </c>
      <c r="J856" s="16" t="str">
        <f aca="false">IF(B856="","",IF(A856=_xlfn.MINIFS($A$2:$A$5001,$B$2:$B$5001,B856),1,0))</f>
        <v/>
      </c>
      <c r="K856" s="16" t="str">
        <f aca="false">IF(B856="","",IF(AND(D856="Formalização",E856="Concluído"),IF(COUNTIFS($B$2:$B$5001,B856,$E$2:$E$5001,"Em ajustes",$A$2:$A$5001,"&lt;"&amp;I856)&gt;0,1,0),0))</f>
        <v/>
      </c>
      <c r="L856" s="16" t="str">
        <f aca="false">IF(B856="","",IF(A856=_xlfn.MAXIFS($A$2:$A$5001,$B$2:$B$5001,B856,$I$2:$I$5001,I856),1,0))</f>
        <v/>
      </c>
    </row>
    <row r="857" customFormat="false" ht="15" hidden="false" customHeight="false" outlineLevel="0" collapsed="false">
      <c r="I857" s="15" t="str">
        <f aca="false">IF(A857="","",INT(A857))</f>
        <v/>
      </c>
      <c r="J857" s="16" t="str">
        <f aca="false">IF(B857="","",IF(A857=_xlfn.MINIFS($A$2:$A$5001,$B$2:$B$5001,B857),1,0))</f>
        <v/>
      </c>
      <c r="K857" s="16" t="str">
        <f aca="false">IF(B857="","",IF(AND(D857="Formalização",E857="Concluído"),IF(COUNTIFS($B$2:$B$5001,B857,$E$2:$E$5001,"Em ajustes",$A$2:$A$5001,"&lt;"&amp;I857)&gt;0,1,0),0))</f>
        <v/>
      </c>
      <c r="L857" s="16" t="str">
        <f aca="false">IF(B857="","",IF(A857=_xlfn.MAXIFS($A$2:$A$5001,$B$2:$B$5001,B857,$I$2:$I$5001,I857),1,0))</f>
        <v/>
      </c>
    </row>
    <row r="858" customFormat="false" ht="15" hidden="false" customHeight="false" outlineLevel="0" collapsed="false">
      <c r="I858" s="15" t="str">
        <f aca="false">IF(A858="","",INT(A858))</f>
        <v/>
      </c>
      <c r="J858" s="16" t="str">
        <f aca="false">IF(B858="","",IF(A858=_xlfn.MINIFS($A$2:$A$5001,$B$2:$B$5001,B858),1,0))</f>
        <v/>
      </c>
      <c r="K858" s="16" t="str">
        <f aca="false">IF(B858="","",IF(AND(D858="Formalização",E858="Concluído"),IF(COUNTIFS($B$2:$B$5001,B858,$E$2:$E$5001,"Em ajustes",$A$2:$A$5001,"&lt;"&amp;I858)&gt;0,1,0),0))</f>
        <v/>
      </c>
      <c r="L858" s="16" t="str">
        <f aca="false">IF(B858="","",IF(A858=_xlfn.MAXIFS($A$2:$A$5001,$B$2:$B$5001,B858,$I$2:$I$5001,I858),1,0))</f>
        <v/>
      </c>
    </row>
    <row r="859" customFormat="false" ht="15" hidden="false" customHeight="false" outlineLevel="0" collapsed="false">
      <c r="I859" s="15" t="str">
        <f aca="false">IF(A859="","",INT(A859))</f>
        <v/>
      </c>
      <c r="J859" s="16" t="str">
        <f aca="false">IF(B859="","",IF(A859=_xlfn.MINIFS($A$2:$A$5001,$B$2:$B$5001,B859),1,0))</f>
        <v/>
      </c>
      <c r="K859" s="16" t="str">
        <f aca="false">IF(B859="","",IF(AND(D859="Formalização",E859="Concluído"),IF(COUNTIFS($B$2:$B$5001,B859,$E$2:$E$5001,"Em ajustes",$A$2:$A$5001,"&lt;"&amp;I859)&gt;0,1,0),0))</f>
        <v/>
      </c>
      <c r="L859" s="16" t="str">
        <f aca="false">IF(B859="","",IF(A859=_xlfn.MAXIFS($A$2:$A$5001,$B$2:$B$5001,B859,$I$2:$I$5001,I859),1,0))</f>
        <v/>
      </c>
    </row>
    <row r="860" customFormat="false" ht="15" hidden="false" customHeight="false" outlineLevel="0" collapsed="false">
      <c r="I860" s="15" t="str">
        <f aca="false">IF(A860="","",INT(A860))</f>
        <v/>
      </c>
      <c r="J860" s="16" t="str">
        <f aca="false">IF(B860="","",IF(A860=_xlfn.MINIFS($A$2:$A$5001,$B$2:$B$5001,B860),1,0))</f>
        <v/>
      </c>
      <c r="K860" s="16" t="str">
        <f aca="false">IF(B860="","",IF(AND(D860="Formalização",E860="Concluído"),IF(COUNTIFS($B$2:$B$5001,B860,$E$2:$E$5001,"Em ajustes",$A$2:$A$5001,"&lt;"&amp;I860)&gt;0,1,0),0))</f>
        <v/>
      </c>
      <c r="L860" s="16" t="str">
        <f aca="false">IF(B860="","",IF(A860=_xlfn.MAXIFS($A$2:$A$5001,$B$2:$B$5001,B860,$I$2:$I$5001,I860),1,0))</f>
        <v/>
      </c>
    </row>
    <row r="861" customFormat="false" ht="15" hidden="false" customHeight="false" outlineLevel="0" collapsed="false">
      <c r="I861" s="15" t="str">
        <f aca="false">IF(A861="","",INT(A861))</f>
        <v/>
      </c>
      <c r="J861" s="16" t="str">
        <f aca="false">IF(B861="","",IF(A861=_xlfn.MINIFS($A$2:$A$5001,$B$2:$B$5001,B861),1,0))</f>
        <v/>
      </c>
      <c r="K861" s="16" t="str">
        <f aca="false">IF(B861="","",IF(AND(D861="Formalização",E861="Concluído"),IF(COUNTIFS($B$2:$B$5001,B861,$E$2:$E$5001,"Em ajustes",$A$2:$A$5001,"&lt;"&amp;I861)&gt;0,1,0),0))</f>
        <v/>
      </c>
      <c r="L861" s="16" t="str">
        <f aca="false">IF(B861="","",IF(A861=_xlfn.MAXIFS($A$2:$A$5001,$B$2:$B$5001,B861,$I$2:$I$5001,I861),1,0))</f>
        <v/>
      </c>
    </row>
    <row r="862" customFormat="false" ht="15" hidden="false" customHeight="false" outlineLevel="0" collapsed="false">
      <c r="I862" s="15" t="str">
        <f aca="false">IF(A862="","",INT(A862))</f>
        <v/>
      </c>
      <c r="J862" s="16" t="str">
        <f aca="false">IF(B862="","",IF(A862=_xlfn.MINIFS($A$2:$A$5001,$B$2:$B$5001,B862),1,0))</f>
        <v/>
      </c>
      <c r="K862" s="16" t="str">
        <f aca="false">IF(B862="","",IF(AND(D862="Formalização",E862="Concluído"),IF(COUNTIFS($B$2:$B$5001,B862,$E$2:$E$5001,"Em ajustes",$A$2:$A$5001,"&lt;"&amp;I862)&gt;0,1,0),0))</f>
        <v/>
      </c>
      <c r="L862" s="16" t="str">
        <f aca="false">IF(B862="","",IF(A862=_xlfn.MAXIFS($A$2:$A$5001,$B$2:$B$5001,B862,$I$2:$I$5001,I862),1,0))</f>
        <v/>
      </c>
    </row>
    <row r="863" customFormat="false" ht="15" hidden="false" customHeight="false" outlineLevel="0" collapsed="false">
      <c r="I863" s="15" t="str">
        <f aca="false">IF(A863="","",INT(A863))</f>
        <v/>
      </c>
      <c r="J863" s="16" t="str">
        <f aca="false">IF(B863="","",IF(A863=_xlfn.MINIFS($A$2:$A$5001,$B$2:$B$5001,B863),1,0))</f>
        <v/>
      </c>
      <c r="K863" s="16" t="str">
        <f aca="false">IF(B863="","",IF(AND(D863="Formalização",E863="Concluído"),IF(COUNTIFS($B$2:$B$5001,B863,$E$2:$E$5001,"Em ajustes",$A$2:$A$5001,"&lt;"&amp;I863)&gt;0,1,0),0))</f>
        <v/>
      </c>
      <c r="L863" s="16" t="str">
        <f aca="false">IF(B863="","",IF(A863=_xlfn.MAXIFS($A$2:$A$5001,$B$2:$B$5001,B863,$I$2:$I$5001,I863),1,0))</f>
        <v/>
      </c>
    </row>
    <row r="864" customFormat="false" ht="15" hidden="false" customHeight="false" outlineLevel="0" collapsed="false">
      <c r="I864" s="15" t="str">
        <f aca="false">IF(A864="","",INT(A864))</f>
        <v/>
      </c>
      <c r="J864" s="16" t="str">
        <f aca="false">IF(B864="","",IF(A864=_xlfn.MINIFS($A$2:$A$5001,$B$2:$B$5001,B864),1,0))</f>
        <v/>
      </c>
      <c r="K864" s="16" t="str">
        <f aca="false">IF(B864="","",IF(AND(D864="Formalização",E864="Concluído"),IF(COUNTIFS($B$2:$B$5001,B864,$E$2:$E$5001,"Em ajustes",$A$2:$A$5001,"&lt;"&amp;I864)&gt;0,1,0),0))</f>
        <v/>
      </c>
      <c r="L864" s="16" t="str">
        <f aca="false">IF(B864="","",IF(A864=_xlfn.MAXIFS($A$2:$A$5001,$B$2:$B$5001,B864,$I$2:$I$5001,I864),1,0))</f>
        <v/>
      </c>
    </row>
    <row r="865" customFormat="false" ht="15" hidden="false" customHeight="false" outlineLevel="0" collapsed="false">
      <c r="I865" s="15" t="str">
        <f aca="false">IF(A865="","",INT(A865))</f>
        <v/>
      </c>
      <c r="J865" s="16" t="str">
        <f aca="false">IF(B865="","",IF(A865=_xlfn.MINIFS($A$2:$A$5001,$B$2:$B$5001,B865),1,0))</f>
        <v/>
      </c>
      <c r="K865" s="16" t="str">
        <f aca="false">IF(B865="","",IF(AND(D865="Formalização",E865="Concluído"),IF(COUNTIFS($B$2:$B$5001,B865,$E$2:$E$5001,"Em ajustes",$A$2:$A$5001,"&lt;"&amp;I865)&gt;0,1,0),0))</f>
        <v/>
      </c>
      <c r="L865" s="16" t="str">
        <f aca="false">IF(B865="","",IF(A865=_xlfn.MAXIFS($A$2:$A$5001,$B$2:$B$5001,B865,$I$2:$I$5001,I865),1,0))</f>
        <v/>
      </c>
    </row>
    <row r="866" customFormat="false" ht="15" hidden="false" customHeight="false" outlineLevel="0" collapsed="false">
      <c r="I866" s="15" t="str">
        <f aca="false">IF(A866="","",INT(A866))</f>
        <v/>
      </c>
      <c r="J866" s="16" t="str">
        <f aca="false">IF(B866="","",IF(A866=_xlfn.MINIFS($A$2:$A$5001,$B$2:$B$5001,B866),1,0))</f>
        <v/>
      </c>
      <c r="K866" s="16" t="str">
        <f aca="false">IF(B866="","",IF(AND(D866="Formalização",E866="Concluído"),IF(COUNTIFS($B$2:$B$5001,B866,$E$2:$E$5001,"Em ajustes",$A$2:$A$5001,"&lt;"&amp;I866)&gt;0,1,0),0))</f>
        <v/>
      </c>
      <c r="L866" s="16" t="str">
        <f aca="false">IF(B866="","",IF(A866=_xlfn.MAXIFS($A$2:$A$5001,$B$2:$B$5001,B866,$I$2:$I$5001,I866),1,0))</f>
        <v/>
      </c>
    </row>
    <row r="867" customFormat="false" ht="15" hidden="false" customHeight="false" outlineLevel="0" collapsed="false">
      <c r="I867" s="15" t="str">
        <f aca="false">IF(A867="","",INT(A867))</f>
        <v/>
      </c>
      <c r="J867" s="16" t="str">
        <f aca="false">IF(B867="","",IF(A867=_xlfn.MINIFS($A$2:$A$5001,$B$2:$B$5001,B867),1,0))</f>
        <v/>
      </c>
      <c r="K867" s="16" t="str">
        <f aca="false">IF(B867="","",IF(AND(D867="Formalização",E867="Concluído"),IF(COUNTIFS($B$2:$B$5001,B867,$E$2:$E$5001,"Em ajustes",$A$2:$A$5001,"&lt;"&amp;I867)&gt;0,1,0),0))</f>
        <v/>
      </c>
      <c r="L867" s="16" t="str">
        <f aca="false">IF(B867="","",IF(A867=_xlfn.MAXIFS($A$2:$A$5001,$B$2:$B$5001,B867,$I$2:$I$5001,I867),1,0))</f>
        <v/>
      </c>
    </row>
    <row r="868" customFormat="false" ht="15" hidden="false" customHeight="false" outlineLevel="0" collapsed="false">
      <c r="I868" s="15" t="str">
        <f aca="false">IF(A868="","",INT(A868))</f>
        <v/>
      </c>
      <c r="J868" s="16" t="str">
        <f aca="false">IF(B868="","",IF(A868=_xlfn.MINIFS($A$2:$A$5001,$B$2:$B$5001,B868),1,0))</f>
        <v/>
      </c>
      <c r="K868" s="16" t="str">
        <f aca="false">IF(B868="","",IF(AND(D868="Formalização",E868="Concluído"),IF(COUNTIFS($B$2:$B$5001,B868,$E$2:$E$5001,"Em ajustes",$A$2:$A$5001,"&lt;"&amp;I868)&gt;0,1,0),0))</f>
        <v/>
      </c>
      <c r="L868" s="16" t="str">
        <f aca="false">IF(B868="","",IF(A868=_xlfn.MAXIFS($A$2:$A$5001,$B$2:$B$5001,B868,$I$2:$I$5001,I868),1,0))</f>
        <v/>
      </c>
    </row>
    <row r="869" customFormat="false" ht="15" hidden="false" customHeight="false" outlineLevel="0" collapsed="false">
      <c r="I869" s="15" t="str">
        <f aca="false">IF(A869="","",INT(A869))</f>
        <v/>
      </c>
      <c r="J869" s="16" t="str">
        <f aca="false">IF(B869="","",IF(A869=_xlfn.MINIFS($A$2:$A$5001,$B$2:$B$5001,B869),1,0))</f>
        <v/>
      </c>
      <c r="K869" s="16" t="str">
        <f aca="false">IF(B869="","",IF(AND(D869="Formalização",E869="Concluído"),IF(COUNTIFS($B$2:$B$5001,B869,$E$2:$E$5001,"Em ajustes",$A$2:$A$5001,"&lt;"&amp;I869)&gt;0,1,0),0))</f>
        <v/>
      </c>
      <c r="L869" s="16" t="str">
        <f aca="false">IF(B869="","",IF(A869=_xlfn.MAXIFS($A$2:$A$5001,$B$2:$B$5001,B869,$I$2:$I$5001,I869),1,0))</f>
        <v/>
      </c>
    </row>
    <row r="870" customFormat="false" ht="15" hidden="false" customHeight="false" outlineLevel="0" collapsed="false">
      <c r="I870" s="15" t="str">
        <f aca="false">IF(A870="","",INT(A870))</f>
        <v/>
      </c>
      <c r="J870" s="16" t="str">
        <f aca="false">IF(B870="","",IF(A870=_xlfn.MINIFS($A$2:$A$5001,$B$2:$B$5001,B870),1,0))</f>
        <v/>
      </c>
      <c r="K870" s="16" t="str">
        <f aca="false">IF(B870="","",IF(AND(D870="Formalização",E870="Concluído"),IF(COUNTIFS($B$2:$B$5001,B870,$E$2:$E$5001,"Em ajustes",$A$2:$A$5001,"&lt;"&amp;I870)&gt;0,1,0),0))</f>
        <v/>
      </c>
      <c r="L870" s="16" t="str">
        <f aca="false">IF(B870="","",IF(A870=_xlfn.MAXIFS($A$2:$A$5001,$B$2:$B$5001,B870,$I$2:$I$5001,I870),1,0))</f>
        <v/>
      </c>
    </row>
    <row r="871" customFormat="false" ht="15" hidden="false" customHeight="false" outlineLevel="0" collapsed="false">
      <c r="I871" s="15" t="str">
        <f aca="false">IF(A871="","",INT(A871))</f>
        <v/>
      </c>
      <c r="J871" s="16" t="str">
        <f aca="false">IF(B871="","",IF(A871=_xlfn.MINIFS($A$2:$A$5001,$B$2:$B$5001,B871),1,0))</f>
        <v/>
      </c>
      <c r="K871" s="16" t="str">
        <f aca="false">IF(B871="","",IF(AND(D871="Formalização",E871="Concluído"),IF(COUNTIFS($B$2:$B$5001,B871,$E$2:$E$5001,"Em ajustes",$A$2:$A$5001,"&lt;"&amp;I871)&gt;0,1,0),0))</f>
        <v/>
      </c>
      <c r="L871" s="16" t="str">
        <f aca="false">IF(B871="","",IF(A871=_xlfn.MAXIFS($A$2:$A$5001,$B$2:$B$5001,B871,$I$2:$I$5001,I871),1,0))</f>
        <v/>
      </c>
    </row>
    <row r="872" customFormat="false" ht="15" hidden="false" customHeight="false" outlineLevel="0" collapsed="false">
      <c r="I872" s="15" t="str">
        <f aca="false">IF(A872="","",INT(A872))</f>
        <v/>
      </c>
      <c r="J872" s="16" t="str">
        <f aca="false">IF(B872="","",IF(A872=_xlfn.MINIFS($A$2:$A$5001,$B$2:$B$5001,B872),1,0))</f>
        <v/>
      </c>
      <c r="K872" s="16" t="str">
        <f aca="false">IF(B872="","",IF(AND(D872="Formalização",E872="Concluído"),IF(COUNTIFS($B$2:$B$5001,B872,$E$2:$E$5001,"Em ajustes",$A$2:$A$5001,"&lt;"&amp;I872)&gt;0,1,0),0))</f>
        <v/>
      </c>
      <c r="L872" s="16" t="str">
        <f aca="false">IF(B872="","",IF(A872=_xlfn.MAXIFS($A$2:$A$5001,$B$2:$B$5001,B872,$I$2:$I$5001,I872),1,0))</f>
        <v/>
      </c>
    </row>
    <row r="873" customFormat="false" ht="15" hidden="false" customHeight="false" outlineLevel="0" collapsed="false">
      <c r="I873" s="15" t="str">
        <f aca="false">IF(A873="","",INT(A873))</f>
        <v/>
      </c>
      <c r="J873" s="16" t="str">
        <f aca="false">IF(B873="","",IF(A873=_xlfn.MINIFS($A$2:$A$5001,$B$2:$B$5001,B873),1,0))</f>
        <v/>
      </c>
      <c r="K873" s="16" t="str">
        <f aca="false">IF(B873="","",IF(AND(D873="Formalização",E873="Concluído"),IF(COUNTIFS($B$2:$B$5001,B873,$E$2:$E$5001,"Em ajustes",$A$2:$A$5001,"&lt;"&amp;I873)&gt;0,1,0),0))</f>
        <v/>
      </c>
      <c r="L873" s="16" t="str">
        <f aca="false">IF(B873="","",IF(A873=_xlfn.MAXIFS($A$2:$A$5001,$B$2:$B$5001,B873,$I$2:$I$5001,I873),1,0))</f>
        <v/>
      </c>
    </row>
    <row r="874" customFormat="false" ht="15" hidden="false" customHeight="false" outlineLevel="0" collapsed="false">
      <c r="I874" s="15" t="str">
        <f aca="false">IF(A874="","",INT(A874))</f>
        <v/>
      </c>
      <c r="J874" s="16" t="str">
        <f aca="false">IF(B874="","",IF(A874=_xlfn.MINIFS($A$2:$A$5001,$B$2:$B$5001,B874),1,0))</f>
        <v/>
      </c>
      <c r="K874" s="16" t="str">
        <f aca="false">IF(B874="","",IF(AND(D874="Formalização",E874="Concluído"),IF(COUNTIFS($B$2:$B$5001,B874,$E$2:$E$5001,"Em ajustes",$A$2:$A$5001,"&lt;"&amp;I874)&gt;0,1,0),0))</f>
        <v/>
      </c>
      <c r="L874" s="16" t="str">
        <f aca="false">IF(B874="","",IF(A874=_xlfn.MAXIFS($A$2:$A$5001,$B$2:$B$5001,B874,$I$2:$I$5001,I874),1,0))</f>
        <v/>
      </c>
    </row>
    <row r="875" customFormat="false" ht="15" hidden="false" customHeight="false" outlineLevel="0" collapsed="false">
      <c r="I875" s="15" t="str">
        <f aca="false">IF(A875="","",INT(A875))</f>
        <v/>
      </c>
      <c r="J875" s="16" t="str">
        <f aca="false">IF(B875="","",IF(A875=_xlfn.MINIFS($A$2:$A$5001,$B$2:$B$5001,B875),1,0))</f>
        <v/>
      </c>
      <c r="K875" s="16" t="str">
        <f aca="false">IF(B875="","",IF(AND(D875="Formalização",E875="Concluído"),IF(COUNTIFS($B$2:$B$5001,B875,$E$2:$E$5001,"Em ajustes",$A$2:$A$5001,"&lt;"&amp;I875)&gt;0,1,0),0))</f>
        <v/>
      </c>
      <c r="L875" s="16" t="str">
        <f aca="false">IF(B875="","",IF(A875=_xlfn.MAXIFS($A$2:$A$5001,$B$2:$B$5001,B875,$I$2:$I$5001,I875),1,0))</f>
        <v/>
      </c>
    </row>
    <row r="876" customFormat="false" ht="15" hidden="false" customHeight="false" outlineLevel="0" collapsed="false">
      <c r="I876" s="15" t="str">
        <f aca="false">IF(A876="","",INT(A876))</f>
        <v/>
      </c>
      <c r="J876" s="16" t="str">
        <f aca="false">IF(B876="","",IF(A876=_xlfn.MINIFS($A$2:$A$5001,$B$2:$B$5001,B876),1,0))</f>
        <v/>
      </c>
      <c r="K876" s="16" t="str">
        <f aca="false">IF(B876="","",IF(AND(D876="Formalização",E876="Concluído"),IF(COUNTIFS($B$2:$B$5001,B876,$E$2:$E$5001,"Em ajustes",$A$2:$A$5001,"&lt;"&amp;I876)&gt;0,1,0),0))</f>
        <v/>
      </c>
      <c r="L876" s="16" t="str">
        <f aca="false">IF(B876="","",IF(A876=_xlfn.MAXIFS($A$2:$A$5001,$B$2:$B$5001,B876,$I$2:$I$5001,I876),1,0))</f>
        <v/>
      </c>
    </row>
    <row r="877" customFormat="false" ht="15" hidden="false" customHeight="false" outlineLevel="0" collapsed="false">
      <c r="I877" s="15" t="str">
        <f aca="false">IF(A877="","",INT(A877))</f>
        <v/>
      </c>
      <c r="J877" s="16" t="str">
        <f aca="false">IF(B877="","",IF(A877=_xlfn.MINIFS($A$2:$A$5001,$B$2:$B$5001,B877),1,0))</f>
        <v/>
      </c>
      <c r="K877" s="16" t="str">
        <f aca="false">IF(B877="","",IF(AND(D877="Formalização",E877="Concluído"),IF(COUNTIFS($B$2:$B$5001,B877,$E$2:$E$5001,"Em ajustes",$A$2:$A$5001,"&lt;"&amp;I877)&gt;0,1,0),0))</f>
        <v/>
      </c>
      <c r="L877" s="16" t="str">
        <f aca="false">IF(B877="","",IF(A877=_xlfn.MAXIFS($A$2:$A$5001,$B$2:$B$5001,B877,$I$2:$I$5001,I877),1,0))</f>
        <v/>
      </c>
    </row>
    <row r="878" customFormat="false" ht="15" hidden="false" customHeight="false" outlineLevel="0" collapsed="false">
      <c r="I878" s="15" t="str">
        <f aca="false">IF(A878="","",INT(A878))</f>
        <v/>
      </c>
      <c r="J878" s="16" t="str">
        <f aca="false">IF(B878="","",IF(A878=_xlfn.MINIFS($A$2:$A$5001,$B$2:$B$5001,B878),1,0))</f>
        <v/>
      </c>
      <c r="K878" s="16" t="str">
        <f aca="false">IF(B878="","",IF(AND(D878="Formalização",E878="Concluído"),IF(COUNTIFS($B$2:$B$5001,B878,$E$2:$E$5001,"Em ajustes",$A$2:$A$5001,"&lt;"&amp;I878)&gt;0,1,0),0))</f>
        <v/>
      </c>
      <c r="L878" s="16" t="str">
        <f aca="false">IF(B878="","",IF(A878=_xlfn.MAXIFS($A$2:$A$5001,$B$2:$B$5001,B878,$I$2:$I$5001,I878),1,0))</f>
        <v/>
      </c>
    </row>
    <row r="879" customFormat="false" ht="15" hidden="false" customHeight="false" outlineLevel="0" collapsed="false">
      <c r="I879" s="15" t="str">
        <f aca="false">IF(A879="","",INT(A879))</f>
        <v/>
      </c>
      <c r="J879" s="16" t="str">
        <f aca="false">IF(B879="","",IF(A879=_xlfn.MINIFS($A$2:$A$5001,$B$2:$B$5001,B879),1,0))</f>
        <v/>
      </c>
      <c r="K879" s="16" t="str">
        <f aca="false">IF(B879="","",IF(AND(D879="Formalização",E879="Concluído"),IF(COUNTIFS($B$2:$B$5001,B879,$E$2:$E$5001,"Em ajustes",$A$2:$A$5001,"&lt;"&amp;I879)&gt;0,1,0),0))</f>
        <v/>
      </c>
      <c r="L879" s="16" t="str">
        <f aca="false">IF(B879="","",IF(A879=_xlfn.MAXIFS($A$2:$A$5001,$B$2:$B$5001,B879,$I$2:$I$5001,I879),1,0))</f>
        <v/>
      </c>
    </row>
    <row r="880" customFormat="false" ht="15" hidden="false" customHeight="false" outlineLevel="0" collapsed="false">
      <c r="I880" s="15" t="str">
        <f aca="false">IF(A880="","",INT(A880))</f>
        <v/>
      </c>
      <c r="J880" s="16" t="str">
        <f aca="false">IF(B880="","",IF(A880=_xlfn.MINIFS($A$2:$A$5001,$B$2:$B$5001,B880),1,0))</f>
        <v/>
      </c>
      <c r="K880" s="16" t="str">
        <f aca="false">IF(B880="","",IF(AND(D880="Formalização",E880="Concluído"),IF(COUNTIFS($B$2:$B$5001,B880,$E$2:$E$5001,"Em ajustes",$A$2:$A$5001,"&lt;"&amp;I880)&gt;0,1,0),0))</f>
        <v/>
      </c>
      <c r="L880" s="16" t="str">
        <f aca="false">IF(B880="","",IF(A880=_xlfn.MAXIFS($A$2:$A$5001,$B$2:$B$5001,B880,$I$2:$I$5001,I880),1,0))</f>
        <v/>
      </c>
    </row>
    <row r="881" customFormat="false" ht="15" hidden="false" customHeight="false" outlineLevel="0" collapsed="false">
      <c r="I881" s="15" t="str">
        <f aca="false">IF(A881="","",INT(A881))</f>
        <v/>
      </c>
      <c r="J881" s="16" t="str">
        <f aca="false">IF(B881="","",IF(A881=_xlfn.MINIFS($A$2:$A$5001,$B$2:$B$5001,B881),1,0))</f>
        <v/>
      </c>
      <c r="K881" s="16" t="str">
        <f aca="false">IF(B881="","",IF(AND(D881="Formalização",E881="Concluído"),IF(COUNTIFS($B$2:$B$5001,B881,$E$2:$E$5001,"Em ajustes",$A$2:$A$5001,"&lt;"&amp;I881)&gt;0,1,0),0))</f>
        <v/>
      </c>
      <c r="L881" s="16" t="str">
        <f aca="false">IF(B881="","",IF(A881=_xlfn.MAXIFS($A$2:$A$5001,$B$2:$B$5001,B881,$I$2:$I$5001,I881),1,0))</f>
        <v/>
      </c>
    </row>
    <row r="882" customFormat="false" ht="15" hidden="false" customHeight="false" outlineLevel="0" collapsed="false">
      <c r="I882" s="15" t="str">
        <f aca="false">IF(A882="","",INT(A882))</f>
        <v/>
      </c>
      <c r="J882" s="16" t="str">
        <f aca="false">IF(B882="","",IF(A882=_xlfn.MINIFS($A$2:$A$5001,$B$2:$B$5001,B882),1,0))</f>
        <v/>
      </c>
      <c r="K882" s="16" t="str">
        <f aca="false">IF(B882="","",IF(AND(D882="Formalização",E882="Concluído"),IF(COUNTIFS($B$2:$B$5001,B882,$E$2:$E$5001,"Em ajustes",$A$2:$A$5001,"&lt;"&amp;I882)&gt;0,1,0),0))</f>
        <v/>
      </c>
      <c r="L882" s="16" t="str">
        <f aca="false">IF(B882="","",IF(A882=_xlfn.MAXIFS($A$2:$A$5001,$B$2:$B$5001,B882,$I$2:$I$5001,I882),1,0))</f>
        <v/>
      </c>
    </row>
    <row r="883" customFormat="false" ht="15" hidden="false" customHeight="false" outlineLevel="0" collapsed="false">
      <c r="I883" s="15" t="str">
        <f aca="false">IF(A883="","",INT(A883))</f>
        <v/>
      </c>
      <c r="J883" s="16" t="str">
        <f aca="false">IF(B883="","",IF(A883=_xlfn.MINIFS($A$2:$A$5001,$B$2:$B$5001,B883),1,0))</f>
        <v/>
      </c>
      <c r="K883" s="16" t="str">
        <f aca="false">IF(B883="","",IF(AND(D883="Formalização",E883="Concluído"),IF(COUNTIFS($B$2:$B$5001,B883,$E$2:$E$5001,"Em ajustes",$A$2:$A$5001,"&lt;"&amp;I883)&gt;0,1,0),0))</f>
        <v/>
      </c>
      <c r="L883" s="16" t="str">
        <f aca="false">IF(B883="","",IF(A883=_xlfn.MAXIFS($A$2:$A$5001,$B$2:$B$5001,B883,$I$2:$I$5001,I883),1,0))</f>
        <v/>
      </c>
    </row>
    <row r="884" customFormat="false" ht="15" hidden="false" customHeight="false" outlineLevel="0" collapsed="false">
      <c r="I884" s="15" t="str">
        <f aca="false">IF(A884="","",INT(A884))</f>
        <v/>
      </c>
      <c r="J884" s="16" t="str">
        <f aca="false">IF(B884="","",IF(A884=_xlfn.MINIFS($A$2:$A$5001,$B$2:$B$5001,B884),1,0))</f>
        <v/>
      </c>
      <c r="K884" s="16" t="str">
        <f aca="false">IF(B884="","",IF(AND(D884="Formalização",E884="Concluído"),IF(COUNTIFS($B$2:$B$5001,B884,$E$2:$E$5001,"Em ajustes",$A$2:$A$5001,"&lt;"&amp;I884)&gt;0,1,0),0))</f>
        <v/>
      </c>
      <c r="L884" s="16" t="str">
        <f aca="false">IF(B884="","",IF(A884=_xlfn.MAXIFS($A$2:$A$5001,$B$2:$B$5001,B884,$I$2:$I$5001,I884),1,0))</f>
        <v/>
      </c>
    </row>
    <row r="885" customFormat="false" ht="15" hidden="false" customHeight="false" outlineLevel="0" collapsed="false">
      <c r="I885" s="15" t="str">
        <f aca="false">IF(A885="","",INT(A885))</f>
        <v/>
      </c>
      <c r="J885" s="16" t="str">
        <f aca="false">IF(B885="","",IF(A885=_xlfn.MINIFS($A$2:$A$5001,$B$2:$B$5001,B885),1,0))</f>
        <v/>
      </c>
      <c r="K885" s="16" t="str">
        <f aca="false">IF(B885="","",IF(AND(D885="Formalização",E885="Concluído"),IF(COUNTIFS($B$2:$B$5001,B885,$E$2:$E$5001,"Em ajustes",$A$2:$A$5001,"&lt;"&amp;I885)&gt;0,1,0),0))</f>
        <v/>
      </c>
      <c r="L885" s="16" t="str">
        <f aca="false">IF(B885="","",IF(A885=_xlfn.MAXIFS($A$2:$A$5001,$B$2:$B$5001,B885,$I$2:$I$5001,I885),1,0))</f>
        <v/>
      </c>
    </row>
    <row r="886" customFormat="false" ht="15" hidden="false" customHeight="false" outlineLevel="0" collapsed="false">
      <c r="I886" s="15" t="str">
        <f aca="false">IF(A886="","",INT(A886))</f>
        <v/>
      </c>
      <c r="J886" s="16" t="str">
        <f aca="false">IF(B886="","",IF(A886=_xlfn.MINIFS($A$2:$A$5001,$B$2:$B$5001,B886),1,0))</f>
        <v/>
      </c>
      <c r="K886" s="16" t="str">
        <f aca="false">IF(B886="","",IF(AND(D886="Formalização",E886="Concluído"),IF(COUNTIFS($B$2:$B$5001,B886,$E$2:$E$5001,"Em ajustes",$A$2:$A$5001,"&lt;"&amp;I886)&gt;0,1,0),0))</f>
        <v/>
      </c>
      <c r="L886" s="16" t="str">
        <f aca="false">IF(B886="","",IF(A886=_xlfn.MAXIFS($A$2:$A$5001,$B$2:$B$5001,B886,$I$2:$I$5001,I886),1,0))</f>
        <v/>
      </c>
    </row>
    <row r="887" customFormat="false" ht="15" hidden="false" customHeight="false" outlineLevel="0" collapsed="false">
      <c r="I887" s="15" t="str">
        <f aca="false">IF(A887="","",INT(A887))</f>
        <v/>
      </c>
      <c r="J887" s="16" t="str">
        <f aca="false">IF(B887="","",IF(A887=_xlfn.MINIFS($A$2:$A$5001,$B$2:$B$5001,B887),1,0))</f>
        <v/>
      </c>
      <c r="K887" s="16" t="str">
        <f aca="false">IF(B887="","",IF(AND(D887="Formalização",E887="Concluído"),IF(COUNTIFS($B$2:$B$5001,B887,$E$2:$E$5001,"Em ajustes",$A$2:$A$5001,"&lt;"&amp;I887)&gt;0,1,0),0))</f>
        <v/>
      </c>
      <c r="L887" s="16" t="str">
        <f aca="false">IF(B887="","",IF(A887=_xlfn.MAXIFS($A$2:$A$5001,$B$2:$B$5001,B887,$I$2:$I$5001,I887),1,0))</f>
        <v/>
      </c>
    </row>
    <row r="888" customFormat="false" ht="15" hidden="false" customHeight="false" outlineLevel="0" collapsed="false">
      <c r="I888" s="15" t="str">
        <f aca="false">IF(A888="","",INT(A888))</f>
        <v/>
      </c>
      <c r="J888" s="16" t="str">
        <f aca="false">IF(B888="","",IF(A888=_xlfn.MINIFS($A$2:$A$5001,$B$2:$B$5001,B888),1,0))</f>
        <v/>
      </c>
      <c r="K888" s="16" t="str">
        <f aca="false">IF(B888="","",IF(AND(D888="Formalização",E888="Concluído"),IF(COUNTIFS($B$2:$B$5001,B888,$E$2:$E$5001,"Em ajustes",$A$2:$A$5001,"&lt;"&amp;I888)&gt;0,1,0),0))</f>
        <v/>
      </c>
      <c r="L888" s="16" t="str">
        <f aca="false">IF(B888="","",IF(A888=_xlfn.MAXIFS($A$2:$A$5001,$B$2:$B$5001,B888,$I$2:$I$5001,I888),1,0))</f>
        <v/>
      </c>
    </row>
    <row r="889" customFormat="false" ht="15" hidden="false" customHeight="false" outlineLevel="0" collapsed="false">
      <c r="I889" s="15" t="str">
        <f aca="false">IF(A889="","",INT(A889))</f>
        <v/>
      </c>
      <c r="J889" s="16" t="str">
        <f aca="false">IF(B889="","",IF(A889=_xlfn.MINIFS($A$2:$A$5001,$B$2:$B$5001,B889),1,0))</f>
        <v/>
      </c>
      <c r="K889" s="16" t="str">
        <f aca="false">IF(B889="","",IF(AND(D889="Formalização",E889="Concluído"),IF(COUNTIFS($B$2:$B$5001,B889,$E$2:$E$5001,"Em ajustes",$A$2:$A$5001,"&lt;"&amp;I889)&gt;0,1,0),0))</f>
        <v/>
      </c>
      <c r="L889" s="16" t="str">
        <f aca="false">IF(B889="","",IF(A889=_xlfn.MAXIFS($A$2:$A$5001,$B$2:$B$5001,B889,$I$2:$I$5001,I889),1,0))</f>
        <v/>
      </c>
    </row>
    <row r="890" customFormat="false" ht="15" hidden="false" customHeight="false" outlineLevel="0" collapsed="false">
      <c r="I890" s="15" t="str">
        <f aca="false">IF(A890="","",INT(A890))</f>
        <v/>
      </c>
      <c r="J890" s="16" t="str">
        <f aca="false">IF(B890="","",IF(A890=_xlfn.MINIFS($A$2:$A$5001,$B$2:$B$5001,B890),1,0))</f>
        <v/>
      </c>
      <c r="K890" s="16" t="str">
        <f aca="false">IF(B890="","",IF(AND(D890="Formalização",E890="Concluído"),IF(COUNTIFS($B$2:$B$5001,B890,$E$2:$E$5001,"Em ajustes",$A$2:$A$5001,"&lt;"&amp;I890)&gt;0,1,0),0))</f>
        <v/>
      </c>
      <c r="L890" s="16" t="str">
        <f aca="false">IF(B890="","",IF(A890=_xlfn.MAXIFS($A$2:$A$5001,$B$2:$B$5001,B890,$I$2:$I$5001,I890),1,0))</f>
        <v/>
      </c>
    </row>
    <row r="891" customFormat="false" ht="15" hidden="false" customHeight="false" outlineLevel="0" collapsed="false">
      <c r="I891" s="15" t="str">
        <f aca="false">IF(A891="","",INT(A891))</f>
        <v/>
      </c>
      <c r="J891" s="16" t="str">
        <f aca="false">IF(B891="","",IF(A891=_xlfn.MINIFS($A$2:$A$5001,$B$2:$B$5001,B891),1,0))</f>
        <v/>
      </c>
      <c r="K891" s="16" t="str">
        <f aca="false">IF(B891="","",IF(AND(D891="Formalização",E891="Concluído"),IF(COUNTIFS($B$2:$B$5001,B891,$E$2:$E$5001,"Em ajustes",$A$2:$A$5001,"&lt;"&amp;I891)&gt;0,1,0),0))</f>
        <v/>
      </c>
      <c r="L891" s="16" t="str">
        <f aca="false">IF(B891="","",IF(A891=_xlfn.MAXIFS($A$2:$A$5001,$B$2:$B$5001,B891,$I$2:$I$5001,I891),1,0))</f>
        <v/>
      </c>
    </row>
    <row r="892" customFormat="false" ht="15" hidden="false" customHeight="false" outlineLevel="0" collapsed="false">
      <c r="I892" s="15" t="str">
        <f aca="false">IF(A892="","",INT(A892))</f>
        <v/>
      </c>
      <c r="J892" s="16" t="str">
        <f aca="false">IF(B892="","",IF(A892=_xlfn.MINIFS($A$2:$A$5001,$B$2:$B$5001,B892),1,0))</f>
        <v/>
      </c>
      <c r="K892" s="16" t="str">
        <f aca="false">IF(B892="","",IF(AND(D892="Formalização",E892="Concluído"),IF(COUNTIFS($B$2:$B$5001,B892,$E$2:$E$5001,"Em ajustes",$A$2:$A$5001,"&lt;"&amp;I892)&gt;0,1,0),0))</f>
        <v/>
      </c>
      <c r="L892" s="16" t="str">
        <f aca="false">IF(B892="","",IF(A892=_xlfn.MAXIFS($A$2:$A$5001,$B$2:$B$5001,B892,$I$2:$I$5001,I892),1,0))</f>
        <v/>
      </c>
    </row>
    <row r="893" customFormat="false" ht="15" hidden="false" customHeight="false" outlineLevel="0" collapsed="false">
      <c r="I893" s="15" t="str">
        <f aca="false">IF(A893="","",INT(A893))</f>
        <v/>
      </c>
      <c r="J893" s="16" t="str">
        <f aca="false">IF(B893="","",IF(A893=_xlfn.MINIFS($A$2:$A$5001,$B$2:$B$5001,B893),1,0))</f>
        <v/>
      </c>
      <c r="K893" s="16" t="str">
        <f aca="false">IF(B893="","",IF(AND(D893="Formalização",E893="Concluído"),IF(COUNTIFS($B$2:$B$5001,B893,$E$2:$E$5001,"Em ajustes",$A$2:$A$5001,"&lt;"&amp;I893)&gt;0,1,0),0))</f>
        <v/>
      </c>
      <c r="L893" s="16" t="str">
        <f aca="false">IF(B893="","",IF(A893=_xlfn.MAXIFS($A$2:$A$5001,$B$2:$B$5001,B893,$I$2:$I$5001,I893),1,0))</f>
        <v/>
      </c>
    </row>
    <row r="894" customFormat="false" ht="15" hidden="false" customHeight="false" outlineLevel="0" collapsed="false">
      <c r="I894" s="15" t="str">
        <f aca="false">IF(A894="","",INT(A894))</f>
        <v/>
      </c>
      <c r="J894" s="16" t="str">
        <f aca="false">IF(B894="","",IF(A894=_xlfn.MINIFS($A$2:$A$5001,$B$2:$B$5001,B894),1,0))</f>
        <v/>
      </c>
      <c r="K894" s="16" t="str">
        <f aca="false">IF(B894="","",IF(AND(D894="Formalização",E894="Concluído"),IF(COUNTIFS($B$2:$B$5001,B894,$E$2:$E$5001,"Em ajustes",$A$2:$A$5001,"&lt;"&amp;I894)&gt;0,1,0),0))</f>
        <v/>
      </c>
      <c r="L894" s="16" t="str">
        <f aca="false">IF(B894="","",IF(A894=_xlfn.MAXIFS($A$2:$A$5001,$B$2:$B$5001,B894,$I$2:$I$5001,I894),1,0))</f>
        <v/>
      </c>
    </row>
    <row r="895" customFormat="false" ht="15" hidden="false" customHeight="false" outlineLevel="0" collapsed="false">
      <c r="I895" s="15" t="str">
        <f aca="false">IF(A895="","",INT(A895))</f>
        <v/>
      </c>
      <c r="J895" s="16" t="str">
        <f aca="false">IF(B895="","",IF(A895=_xlfn.MINIFS($A$2:$A$5001,$B$2:$B$5001,B895),1,0))</f>
        <v/>
      </c>
      <c r="K895" s="16" t="str">
        <f aca="false">IF(B895="","",IF(AND(D895="Formalização",E895="Concluído"),IF(COUNTIFS($B$2:$B$5001,B895,$E$2:$E$5001,"Em ajustes",$A$2:$A$5001,"&lt;"&amp;I895)&gt;0,1,0),0))</f>
        <v/>
      </c>
      <c r="L895" s="16" t="str">
        <f aca="false">IF(B895="","",IF(A895=_xlfn.MAXIFS($A$2:$A$5001,$B$2:$B$5001,B895,$I$2:$I$5001,I895),1,0))</f>
        <v/>
      </c>
    </row>
    <row r="896" customFormat="false" ht="15" hidden="false" customHeight="false" outlineLevel="0" collapsed="false">
      <c r="I896" s="15" t="str">
        <f aca="false">IF(A896="","",INT(A896))</f>
        <v/>
      </c>
      <c r="J896" s="16" t="str">
        <f aca="false">IF(B896="","",IF(A896=_xlfn.MINIFS($A$2:$A$5001,$B$2:$B$5001,B896),1,0))</f>
        <v/>
      </c>
      <c r="K896" s="16" t="str">
        <f aca="false">IF(B896="","",IF(AND(D896="Formalização",E896="Concluído"),IF(COUNTIFS($B$2:$B$5001,B896,$E$2:$E$5001,"Em ajustes",$A$2:$A$5001,"&lt;"&amp;I896)&gt;0,1,0),0))</f>
        <v/>
      </c>
      <c r="L896" s="16" t="str">
        <f aca="false">IF(B896="","",IF(A896=_xlfn.MAXIFS($A$2:$A$5001,$B$2:$B$5001,B896,$I$2:$I$5001,I896),1,0))</f>
        <v/>
      </c>
    </row>
    <row r="897" customFormat="false" ht="15" hidden="false" customHeight="false" outlineLevel="0" collapsed="false">
      <c r="I897" s="15" t="str">
        <f aca="false">IF(A897="","",INT(A897))</f>
        <v/>
      </c>
      <c r="J897" s="16" t="str">
        <f aca="false">IF(B897="","",IF(A897=_xlfn.MINIFS($A$2:$A$5001,$B$2:$B$5001,B897),1,0))</f>
        <v/>
      </c>
      <c r="K897" s="16" t="str">
        <f aca="false">IF(B897="","",IF(AND(D897="Formalização",E897="Concluído"),IF(COUNTIFS($B$2:$B$5001,B897,$E$2:$E$5001,"Em ajustes",$A$2:$A$5001,"&lt;"&amp;I897)&gt;0,1,0),0))</f>
        <v/>
      </c>
      <c r="L897" s="16" t="str">
        <f aca="false">IF(B897="","",IF(A897=_xlfn.MAXIFS($A$2:$A$5001,$B$2:$B$5001,B897,$I$2:$I$5001,I897),1,0))</f>
        <v/>
      </c>
    </row>
    <row r="898" customFormat="false" ht="15" hidden="false" customHeight="false" outlineLevel="0" collapsed="false">
      <c r="I898" s="15" t="str">
        <f aca="false">IF(A898="","",INT(A898))</f>
        <v/>
      </c>
      <c r="J898" s="16" t="str">
        <f aca="false">IF(B898="","",IF(A898=_xlfn.MINIFS($A$2:$A$5001,$B$2:$B$5001,B898),1,0))</f>
        <v/>
      </c>
      <c r="K898" s="16" t="str">
        <f aca="false">IF(B898="","",IF(AND(D898="Formalização",E898="Concluído"),IF(COUNTIFS($B$2:$B$5001,B898,$E$2:$E$5001,"Em ajustes",$A$2:$A$5001,"&lt;"&amp;I898)&gt;0,1,0),0))</f>
        <v/>
      </c>
      <c r="L898" s="16" t="str">
        <f aca="false">IF(B898="","",IF(A898=_xlfn.MAXIFS($A$2:$A$5001,$B$2:$B$5001,B898,$I$2:$I$5001,I898),1,0))</f>
        <v/>
      </c>
    </row>
    <row r="899" customFormat="false" ht="15" hidden="false" customHeight="false" outlineLevel="0" collapsed="false">
      <c r="I899" s="15" t="str">
        <f aca="false">IF(A899="","",INT(A899))</f>
        <v/>
      </c>
      <c r="J899" s="16" t="str">
        <f aca="false">IF(B899="","",IF(A899=_xlfn.MINIFS($A$2:$A$5001,$B$2:$B$5001,B899),1,0))</f>
        <v/>
      </c>
      <c r="K899" s="16" t="str">
        <f aca="false">IF(B899="","",IF(AND(D899="Formalização",E899="Concluído"),IF(COUNTIFS($B$2:$B$5001,B899,$E$2:$E$5001,"Em ajustes",$A$2:$A$5001,"&lt;"&amp;I899)&gt;0,1,0),0))</f>
        <v/>
      </c>
      <c r="L899" s="16" t="str">
        <f aca="false">IF(B899="","",IF(A899=_xlfn.MAXIFS($A$2:$A$5001,$B$2:$B$5001,B899,$I$2:$I$5001,I899),1,0))</f>
        <v/>
      </c>
    </row>
    <row r="900" customFormat="false" ht="15" hidden="false" customHeight="false" outlineLevel="0" collapsed="false">
      <c r="I900" s="15" t="str">
        <f aca="false">IF(A900="","",INT(A900))</f>
        <v/>
      </c>
      <c r="J900" s="16" t="str">
        <f aca="false">IF(B900="","",IF(A900=_xlfn.MINIFS($A$2:$A$5001,$B$2:$B$5001,B900),1,0))</f>
        <v/>
      </c>
      <c r="K900" s="16" t="str">
        <f aca="false">IF(B900="","",IF(AND(D900="Formalização",E900="Concluído"),IF(COUNTIFS($B$2:$B$5001,B900,$E$2:$E$5001,"Em ajustes",$A$2:$A$5001,"&lt;"&amp;I900)&gt;0,1,0),0))</f>
        <v/>
      </c>
      <c r="L900" s="16" t="str">
        <f aca="false">IF(B900="","",IF(A900=_xlfn.MAXIFS($A$2:$A$5001,$B$2:$B$5001,B900,$I$2:$I$5001,I900),1,0))</f>
        <v/>
      </c>
    </row>
    <row r="901" customFormat="false" ht="15" hidden="false" customHeight="false" outlineLevel="0" collapsed="false">
      <c r="I901" s="15" t="str">
        <f aca="false">IF(A901="","",INT(A901))</f>
        <v/>
      </c>
      <c r="J901" s="16" t="str">
        <f aca="false">IF(B901="","",IF(A901=_xlfn.MINIFS($A$2:$A$5001,$B$2:$B$5001,B901),1,0))</f>
        <v/>
      </c>
      <c r="K901" s="16" t="str">
        <f aca="false">IF(B901="","",IF(AND(D901="Formalização",E901="Concluído"),IF(COUNTIFS($B$2:$B$5001,B901,$E$2:$E$5001,"Em ajustes",$A$2:$A$5001,"&lt;"&amp;I901)&gt;0,1,0),0))</f>
        <v/>
      </c>
      <c r="L901" s="16" t="str">
        <f aca="false">IF(B901="","",IF(A901=_xlfn.MAXIFS($A$2:$A$5001,$B$2:$B$5001,B901,$I$2:$I$5001,I901),1,0))</f>
        <v/>
      </c>
    </row>
    <row r="902" customFormat="false" ht="15" hidden="false" customHeight="false" outlineLevel="0" collapsed="false">
      <c r="I902" s="15" t="str">
        <f aca="false">IF(A902="","",INT(A902))</f>
        <v/>
      </c>
      <c r="J902" s="16" t="str">
        <f aca="false">IF(B902="","",IF(A902=_xlfn.MINIFS($A$2:$A$5001,$B$2:$B$5001,B902),1,0))</f>
        <v/>
      </c>
      <c r="K902" s="16" t="str">
        <f aca="false">IF(B902="","",IF(AND(D902="Formalização",E902="Concluído"),IF(COUNTIFS($B$2:$B$5001,B902,$E$2:$E$5001,"Em ajustes",$A$2:$A$5001,"&lt;"&amp;I902)&gt;0,1,0),0))</f>
        <v/>
      </c>
      <c r="L902" s="16" t="str">
        <f aca="false">IF(B902="","",IF(A902=_xlfn.MAXIFS($A$2:$A$5001,$B$2:$B$5001,B902,$I$2:$I$5001,I902),1,0))</f>
        <v/>
      </c>
    </row>
    <row r="903" customFormat="false" ht="15" hidden="false" customHeight="false" outlineLevel="0" collapsed="false">
      <c r="I903" s="15" t="str">
        <f aca="false">IF(A903="","",INT(A903))</f>
        <v/>
      </c>
      <c r="J903" s="16" t="str">
        <f aca="false">IF(B903="","",IF(A903=_xlfn.MINIFS($A$2:$A$5001,$B$2:$B$5001,B903),1,0))</f>
        <v/>
      </c>
      <c r="K903" s="16" t="str">
        <f aca="false">IF(B903="","",IF(AND(D903="Formalização",E903="Concluído"),IF(COUNTIFS($B$2:$B$5001,B903,$E$2:$E$5001,"Em ajustes",$A$2:$A$5001,"&lt;"&amp;I903)&gt;0,1,0),0))</f>
        <v/>
      </c>
      <c r="L903" s="16" t="str">
        <f aca="false">IF(B903="","",IF(A903=_xlfn.MAXIFS($A$2:$A$5001,$B$2:$B$5001,B903,$I$2:$I$5001,I903),1,0))</f>
        <v/>
      </c>
    </row>
    <row r="904" customFormat="false" ht="15" hidden="false" customHeight="false" outlineLevel="0" collapsed="false">
      <c r="I904" s="15" t="str">
        <f aca="false">IF(A904="","",INT(A904))</f>
        <v/>
      </c>
      <c r="J904" s="16" t="str">
        <f aca="false">IF(B904="","",IF(A904=_xlfn.MINIFS($A$2:$A$5001,$B$2:$B$5001,B904),1,0))</f>
        <v/>
      </c>
      <c r="K904" s="16" t="str">
        <f aca="false">IF(B904="","",IF(AND(D904="Formalização",E904="Concluído"),IF(COUNTIFS($B$2:$B$5001,B904,$E$2:$E$5001,"Em ajustes",$A$2:$A$5001,"&lt;"&amp;I904)&gt;0,1,0),0))</f>
        <v/>
      </c>
      <c r="L904" s="16" t="str">
        <f aca="false">IF(B904="","",IF(A904=_xlfn.MAXIFS($A$2:$A$5001,$B$2:$B$5001,B904,$I$2:$I$5001,I904),1,0))</f>
        <v/>
      </c>
    </row>
    <row r="905" customFormat="false" ht="15" hidden="false" customHeight="false" outlineLevel="0" collapsed="false">
      <c r="I905" s="15" t="str">
        <f aca="false">IF(A905="","",INT(A905))</f>
        <v/>
      </c>
      <c r="J905" s="16" t="str">
        <f aca="false">IF(B905="","",IF(A905=_xlfn.MINIFS($A$2:$A$5001,$B$2:$B$5001,B905),1,0))</f>
        <v/>
      </c>
      <c r="K905" s="16" t="str">
        <f aca="false">IF(B905="","",IF(AND(D905="Formalização",E905="Concluído"),IF(COUNTIFS($B$2:$B$5001,B905,$E$2:$E$5001,"Em ajustes",$A$2:$A$5001,"&lt;"&amp;I905)&gt;0,1,0),0))</f>
        <v/>
      </c>
      <c r="L905" s="16" t="str">
        <f aca="false">IF(B905="","",IF(A905=_xlfn.MAXIFS($A$2:$A$5001,$B$2:$B$5001,B905,$I$2:$I$5001,I905),1,0))</f>
        <v/>
      </c>
    </row>
    <row r="906" customFormat="false" ht="15" hidden="false" customHeight="false" outlineLevel="0" collapsed="false">
      <c r="I906" s="15" t="str">
        <f aca="false">IF(A906="","",INT(A906))</f>
        <v/>
      </c>
      <c r="J906" s="16" t="str">
        <f aca="false">IF(B906="","",IF(A906=_xlfn.MINIFS($A$2:$A$5001,$B$2:$B$5001,B906),1,0))</f>
        <v/>
      </c>
      <c r="K906" s="16" t="str">
        <f aca="false">IF(B906="","",IF(AND(D906="Formalização",E906="Concluído"),IF(COUNTIFS($B$2:$B$5001,B906,$E$2:$E$5001,"Em ajustes",$A$2:$A$5001,"&lt;"&amp;I906)&gt;0,1,0),0))</f>
        <v/>
      </c>
      <c r="L906" s="16" t="str">
        <f aca="false">IF(B906="","",IF(A906=_xlfn.MAXIFS($A$2:$A$5001,$B$2:$B$5001,B906,$I$2:$I$5001,I906),1,0))</f>
        <v/>
      </c>
    </row>
    <row r="907" customFormat="false" ht="15" hidden="false" customHeight="false" outlineLevel="0" collapsed="false">
      <c r="I907" s="15" t="str">
        <f aca="false">IF(A907="","",INT(A907))</f>
        <v/>
      </c>
      <c r="J907" s="16" t="str">
        <f aca="false">IF(B907="","",IF(A907=_xlfn.MINIFS($A$2:$A$5001,$B$2:$B$5001,B907),1,0))</f>
        <v/>
      </c>
      <c r="K907" s="16" t="str">
        <f aca="false">IF(B907="","",IF(AND(D907="Formalização",E907="Concluído"),IF(COUNTIFS($B$2:$B$5001,B907,$E$2:$E$5001,"Em ajustes",$A$2:$A$5001,"&lt;"&amp;I907)&gt;0,1,0),0))</f>
        <v/>
      </c>
      <c r="L907" s="16" t="str">
        <f aca="false">IF(B907="","",IF(A907=_xlfn.MAXIFS($A$2:$A$5001,$B$2:$B$5001,B907,$I$2:$I$5001,I907),1,0))</f>
        <v/>
      </c>
    </row>
    <row r="908" customFormat="false" ht="15" hidden="false" customHeight="false" outlineLevel="0" collapsed="false">
      <c r="I908" s="15" t="str">
        <f aca="false">IF(A908="","",INT(A908))</f>
        <v/>
      </c>
      <c r="J908" s="16" t="str">
        <f aca="false">IF(B908="","",IF(A908=_xlfn.MINIFS($A$2:$A$5001,$B$2:$B$5001,B908),1,0))</f>
        <v/>
      </c>
      <c r="K908" s="16" t="str">
        <f aca="false">IF(B908="","",IF(AND(D908="Formalização",E908="Concluído"),IF(COUNTIFS($B$2:$B$5001,B908,$E$2:$E$5001,"Em ajustes",$A$2:$A$5001,"&lt;"&amp;I908)&gt;0,1,0),0))</f>
        <v/>
      </c>
      <c r="L908" s="16" t="str">
        <f aca="false">IF(B908="","",IF(A908=_xlfn.MAXIFS($A$2:$A$5001,$B$2:$B$5001,B908,$I$2:$I$5001,I908),1,0))</f>
        <v/>
      </c>
    </row>
    <row r="909" customFormat="false" ht="15" hidden="false" customHeight="false" outlineLevel="0" collapsed="false">
      <c r="I909" s="15" t="str">
        <f aca="false">IF(A909="","",INT(A909))</f>
        <v/>
      </c>
      <c r="J909" s="16" t="str">
        <f aca="false">IF(B909="","",IF(A909=_xlfn.MINIFS($A$2:$A$5001,$B$2:$B$5001,B909),1,0))</f>
        <v/>
      </c>
      <c r="K909" s="16" t="str">
        <f aca="false">IF(B909="","",IF(AND(D909="Formalização",E909="Concluído"),IF(COUNTIFS($B$2:$B$5001,B909,$E$2:$E$5001,"Em ajustes",$A$2:$A$5001,"&lt;"&amp;I909)&gt;0,1,0),0))</f>
        <v/>
      </c>
      <c r="L909" s="16" t="str">
        <f aca="false">IF(B909="","",IF(A909=_xlfn.MAXIFS($A$2:$A$5001,$B$2:$B$5001,B909,$I$2:$I$5001,I909),1,0))</f>
        <v/>
      </c>
    </row>
    <row r="910" customFormat="false" ht="15" hidden="false" customHeight="false" outlineLevel="0" collapsed="false">
      <c r="I910" s="15" t="str">
        <f aca="false">IF(A910="","",INT(A910))</f>
        <v/>
      </c>
      <c r="J910" s="16" t="str">
        <f aca="false">IF(B910="","",IF(A910=_xlfn.MINIFS($A$2:$A$5001,$B$2:$B$5001,B910),1,0))</f>
        <v/>
      </c>
      <c r="K910" s="16" t="str">
        <f aca="false">IF(B910="","",IF(AND(D910="Formalização",E910="Concluído"),IF(COUNTIFS($B$2:$B$5001,B910,$E$2:$E$5001,"Em ajustes",$A$2:$A$5001,"&lt;"&amp;I910)&gt;0,1,0),0))</f>
        <v/>
      </c>
      <c r="L910" s="16" t="str">
        <f aca="false">IF(B910="","",IF(A910=_xlfn.MAXIFS($A$2:$A$5001,$B$2:$B$5001,B910,$I$2:$I$5001,I910),1,0))</f>
        <v/>
      </c>
    </row>
    <row r="911" customFormat="false" ht="15" hidden="false" customHeight="false" outlineLevel="0" collapsed="false">
      <c r="I911" s="15" t="str">
        <f aca="false">IF(A911="","",INT(A911))</f>
        <v/>
      </c>
      <c r="J911" s="16" t="str">
        <f aca="false">IF(B911="","",IF(A911=_xlfn.MINIFS($A$2:$A$5001,$B$2:$B$5001,B911),1,0))</f>
        <v/>
      </c>
      <c r="K911" s="16" t="str">
        <f aca="false">IF(B911="","",IF(AND(D911="Formalização",E911="Concluído"),IF(COUNTIFS($B$2:$B$5001,B911,$E$2:$E$5001,"Em ajustes",$A$2:$A$5001,"&lt;"&amp;I911)&gt;0,1,0),0))</f>
        <v/>
      </c>
      <c r="L911" s="16" t="str">
        <f aca="false">IF(B911="","",IF(A911=_xlfn.MAXIFS($A$2:$A$5001,$B$2:$B$5001,B911,$I$2:$I$5001,I911),1,0))</f>
        <v/>
      </c>
    </row>
    <row r="912" customFormat="false" ht="15" hidden="false" customHeight="false" outlineLevel="0" collapsed="false">
      <c r="I912" s="15" t="str">
        <f aca="false">IF(A912="","",INT(A912))</f>
        <v/>
      </c>
      <c r="J912" s="16" t="str">
        <f aca="false">IF(B912="","",IF(A912=_xlfn.MINIFS($A$2:$A$5001,$B$2:$B$5001,B912),1,0))</f>
        <v/>
      </c>
      <c r="K912" s="16" t="str">
        <f aca="false">IF(B912="","",IF(AND(D912="Formalização",E912="Concluído"),IF(COUNTIFS($B$2:$B$5001,B912,$E$2:$E$5001,"Em ajustes",$A$2:$A$5001,"&lt;"&amp;I912)&gt;0,1,0),0))</f>
        <v/>
      </c>
      <c r="L912" s="16" t="str">
        <f aca="false">IF(B912="","",IF(A912=_xlfn.MAXIFS($A$2:$A$5001,$B$2:$B$5001,B912,$I$2:$I$5001,I912),1,0))</f>
        <v/>
      </c>
    </row>
    <row r="913" customFormat="false" ht="15" hidden="false" customHeight="false" outlineLevel="0" collapsed="false">
      <c r="I913" s="15" t="str">
        <f aca="false">IF(A913="","",INT(A913))</f>
        <v/>
      </c>
      <c r="J913" s="16" t="str">
        <f aca="false">IF(B913="","",IF(A913=_xlfn.MINIFS($A$2:$A$5001,$B$2:$B$5001,B913),1,0))</f>
        <v/>
      </c>
      <c r="K913" s="16" t="str">
        <f aca="false">IF(B913="","",IF(AND(D913="Formalização",E913="Concluído"),IF(COUNTIFS($B$2:$B$5001,B913,$E$2:$E$5001,"Em ajustes",$A$2:$A$5001,"&lt;"&amp;I913)&gt;0,1,0),0))</f>
        <v/>
      </c>
      <c r="L913" s="16" t="str">
        <f aca="false">IF(B913="","",IF(A913=_xlfn.MAXIFS($A$2:$A$5001,$B$2:$B$5001,B913,$I$2:$I$5001,I913),1,0))</f>
        <v/>
      </c>
    </row>
    <row r="914" customFormat="false" ht="15" hidden="false" customHeight="false" outlineLevel="0" collapsed="false">
      <c r="I914" s="15" t="str">
        <f aca="false">IF(A914="","",INT(A914))</f>
        <v/>
      </c>
      <c r="J914" s="16" t="str">
        <f aca="false">IF(B914="","",IF(A914=_xlfn.MINIFS($A$2:$A$5001,$B$2:$B$5001,B914),1,0))</f>
        <v/>
      </c>
      <c r="K914" s="16" t="str">
        <f aca="false">IF(B914="","",IF(AND(D914="Formalização",E914="Concluído"),IF(COUNTIFS($B$2:$B$5001,B914,$E$2:$E$5001,"Em ajustes",$A$2:$A$5001,"&lt;"&amp;I914)&gt;0,1,0),0))</f>
        <v/>
      </c>
      <c r="L914" s="16" t="str">
        <f aca="false">IF(B914="","",IF(A914=_xlfn.MAXIFS($A$2:$A$5001,$B$2:$B$5001,B914,$I$2:$I$5001,I914),1,0))</f>
        <v/>
      </c>
    </row>
    <row r="915" customFormat="false" ht="15" hidden="false" customHeight="false" outlineLevel="0" collapsed="false">
      <c r="I915" s="15" t="str">
        <f aca="false">IF(A915="","",INT(A915))</f>
        <v/>
      </c>
      <c r="J915" s="16" t="str">
        <f aca="false">IF(B915="","",IF(A915=_xlfn.MINIFS($A$2:$A$5001,$B$2:$B$5001,B915),1,0))</f>
        <v/>
      </c>
      <c r="K915" s="16" t="str">
        <f aca="false">IF(B915="","",IF(AND(D915="Formalização",E915="Concluído"),IF(COUNTIFS($B$2:$B$5001,B915,$E$2:$E$5001,"Em ajustes",$A$2:$A$5001,"&lt;"&amp;I915)&gt;0,1,0),0))</f>
        <v/>
      </c>
      <c r="L915" s="16" t="str">
        <f aca="false">IF(B915="","",IF(A915=_xlfn.MAXIFS($A$2:$A$5001,$B$2:$B$5001,B915,$I$2:$I$5001,I915),1,0))</f>
        <v/>
      </c>
    </row>
    <row r="916" customFormat="false" ht="15" hidden="false" customHeight="false" outlineLevel="0" collapsed="false">
      <c r="I916" s="15" t="str">
        <f aca="false">IF(A916="","",INT(A916))</f>
        <v/>
      </c>
      <c r="J916" s="16" t="str">
        <f aca="false">IF(B916="","",IF(A916=_xlfn.MINIFS($A$2:$A$5001,$B$2:$B$5001,B916),1,0))</f>
        <v/>
      </c>
      <c r="K916" s="16" t="str">
        <f aca="false">IF(B916="","",IF(AND(D916="Formalização",E916="Concluído"),IF(COUNTIFS($B$2:$B$5001,B916,$E$2:$E$5001,"Em ajustes",$A$2:$A$5001,"&lt;"&amp;I916)&gt;0,1,0),0))</f>
        <v/>
      </c>
      <c r="L916" s="16" t="str">
        <f aca="false">IF(B916="","",IF(A916=_xlfn.MAXIFS($A$2:$A$5001,$B$2:$B$5001,B916,$I$2:$I$5001,I916),1,0))</f>
        <v/>
      </c>
    </row>
    <row r="917" customFormat="false" ht="15" hidden="false" customHeight="false" outlineLevel="0" collapsed="false">
      <c r="I917" s="15" t="str">
        <f aca="false">IF(A917="","",INT(A917))</f>
        <v/>
      </c>
      <c r="J917" s="16" t="str">
        <f aca="false">IF(B917="","",IF(A917=_xlfn.MINIFS($A$2:$A$5001,$B$2:$B$5001,B917),1,0))</f>
        <v/>
      </c>
      <c r="K917" s="16" t="str">
        <f aca="false">IF(B917="","",IF(AND(D917="Formalização",E917="Concluído"),IF(COUNTIFS($B$2:$B$5001,B917,$E$2:$E$5001,"Em ajustes",$A$2:$A$5001,"&lt;"&amp;I917)&gt;0,1,0),0))</f>
        <v/>
      </c>
      <c r="L917" s="16" t="str">
        <f aca="false">IF(B917="","",IF(A917=_xlfn.MAXIFS($A$2:$A$5001,$B$2:$B$5001,B917,$I$2:$I$5001,I917),1,0))</f>
        <v/>
      </c>
    </row>
    <row r="918" customFormat="false" ht="15" hidden="false" customHeight="false" outlineLevel="0" collapsed="false">
      <c r="I918" s="15" t="str">
        <f aca="false">IF(A918="","",INT(A918))</f>
        <v/>
      </c>
      <c r="J918" s="16" t="str">
        <f aca="false">IF(B918="","",IF(A918=_xlfn.MINIFS($A$2:$A$5001,$B$2:$B$5001,B918),1,0))</f>
        <v/>
      </c>
      <c r="K918" s="16" t="str">
        <f aca="false">IF(B918="","",IF(AND(D918="Formalização",E918="Concluído"),IF(COUNTIFS($B$2:$B$5001,B918,$E$2:$E$5001,"Em ajustes",$A$2:$A$5001,"&lt;"&amp;I918)&gt;0,1,0),0))</f>
        <v/>
      </c>
      <c r="L918" s="16" t="str">
        <f aca="false">IF(B918="","",IF(A918=_xlfn.MAXIFS($A$2:$A$5001,$B$2:$B$5001,B918,$I$2:$I$5001,I918),1,0))</f>
        <v/>
      </c>
    </row>
    <row r="919" customFormat="false" ht="15" hidden="false" customHeight="false" outlineLevel="0" collapsed="false">
      <c r="I919" s="15" t="str">
        <f aca="false">IF(A919="","",INT(A919))</f>
        <v/>
      </c>
      <c r="J919" s="16" t="str">
        <f aca="false">IF(B919="","",IF(A919=_xlfn.MINIFS($A$2:$A$5001,$B$2:$B$5001,B919),1,0))</f>
        <v/>
      </c>
      <c r="K919" s="16" t="str">
        <f aca="false">IF(B919="","",IF(AND(D919="Formalização",E919="Concluído"),IF(COUNTIFS($B$2:$B$5001,B919,$E$2:$E$5001,"Em ajustes",$A$2:$A$5001,"&lt;"&amp;I919)&gt;0,1,0),0))</f>
        <v/>
      </c>
      <c r="L919" s="16" t="str">
        <f aca="false">IF(B919="","",IF(A919=_xlfn.MAXIFS($A$2:$A$5001,$B$2:$B$5001,B919,$I$2:$I$5001,I919),1,0))</f>
        <v/>
      </c>
    </row>
    <row r="920" customFormat="false" ht="15" hidden="false" customHeight="false" outlineLevel="0" collapsed="false">
      <c r="I920" s="15" t="str">
        <f aca="false">IF(A920="","",INT(A920))</f>
        <v/>
      </c>
      <c r="J920" s="16" t="str">
        <f aca="false">IF(B920="","",IF(A920=_xlfn.MINIFS($A$2:$A$5001,$B$2:$B$5001,B920),1,0))</f>
        <v/>
      </c>
      <c r="K920" s="16" t="str">
        <f aca="false">IF(B920="","",IF(AND(D920="Formalização",E920="Concluído"),IF(COUNTIFS($B$2:$B$5001,B920,$E$2:$E$5001,"Em ajustes",$A$2:$A$5001,"&lt;"&amp;I920)&gt;0,1,0),0))</f>
        <v/>
      </c>
      <c r="L920" s="16" t="str">
        <f aca="false">IF(B920="","",IF(A920=_xlfn.MAXIFS($A$2:$A$5001,$B$2:$B$5001,B920,$I$2:$I$5001,I920),1,0))</f>
        <v/>
      </c>
    </row>
    <row r="921" customFormat="false" ht="15" hidden="false" customHeight="false" outlineLevel="0" collapsed="false">
      <c r="I921" s="15" t="str">
        <f aca="false">IF(A921="","",INT(A921))</f>
        <v/>
      </c>
      <c r="J921" s="16" t="str">
        <f aca="false">IF(B921="","",IF(A921=_xlfn.MINIFS($A$2:$A$5001,$B$2:$B$5001,B921),1,0))</f>
        <v/>
      </c>
      <c r="K921" s="16" t="str">
        <f aca="false">IF(B921="","",IF(AND(D921="Formalização",E921="Concluído"),IF(COUNTIFS($B$2:$B$5001,B921,$E$2:$E$5001,"Em ajustes",$A$2:$A$5001,"&lt;"&amp;I921)&gt;0,1,0),0))</f>
        <v/>
      </c>
      <c r="L921" s="16" t="str">
        <f aca="false">IF(B921="","",IF(A921=_xlfn.MAXIFS($A$2:$A$5001,$B$2:$B$5001,B921,$I$2:$I$5001,I921),1,0))</f>
        <v/>
      </c>
    </row>
    <row r="922" customFormat="false" ht="15" hidden="false" customHeight="false" outlineLevel="0" collapsed="false">
      <c r="I922" s="15" t="str">
        <f aca="false">IF(A922="","",INT(A922))</f>
        <v/>
      </c>
      <c r="J922" s="16" t="str">
        <f aca="false">IF(B922="","",IF(A922=_xlfn.MINIFS($A$2:$A$5001,$B$2:$B$5001,B922),1,0))</f>
        <v/>
      </c>
      <c r="K922" s="16" t="str">
        <f aca="false">IF(B922="","",IF(AND(D922="Formalização",E922="Concluído"),IF(COUNTIFS($B$2:$B$5001,B922,$E$2:$E$5001,"Em ajustes",$A$2:$A$5001,"&lt;"&amp;I922)&gt;0,1,0),0))</f>
        <v/>
      </c>
      <c r="L922" s="16" t="str">
        <f aca="false">IF(B922="","",IF(A922=_xlfn.MAXIFS($A$2:$A$5001,$B$2:$B$5001,B922,$I$2:$I$5001,I922),1,0))</f>
        <v/>
      </c>
    </row>
    <row r="923" customFormat="false" ht="15" hidden="false" customHeight="false" outlineLevel="0" collapsed="false">
      <c r="I923" s="15" t="str">
        <f aca="false">IF(A923="","",INT(A923))</f>
        <v/>
      </c>
      <c r="J923" s="16" t="str">
        <f aca="false">IF(B923="","",IF(A923=_xlfn.MINIFS($A$2:$A$5001,$B$2:$B$5001,B923),1,0))</f>
        <v/>
      </c>
      <c r="K923" s="16" t="str">
        <f aca="false">IF(B923="","",IF(AND(D923="Formalização",E923="Concluído"),IF(COUNTIFS($B$2:$B$5001,B923,$E$2:$E$5001,"Em ajustes",$A$2:$A$5001,"&lt;"&amp;I923)&gt;0,1,0),0))</f>
        <v/>
      </c>
      <c r="L923" s="16" t="str">
        <f aca="false">IF(B923="","",IF(A923=_xlfn.MAXIFS($A$2:$A$5001,$B$2:$B$5001,B923,$I$2:$I$5001,I923),1,0))</f>
        <v/>
      </c>
    </row>
    <row r="924" customFormat="false" ht="15" hidden="false" customHeight="false" outlineLevel="0" collapsed="false">
      <c r="I924" s="15" t="str">
        <f aca="false">IF(A924="","",INT(A924))</f>
        <v/>
      </c>
      <c r="J924" s="16" t="str">
        <f aca="false">IF(B924="","",IF(A924=_xlfn.MINIFS($A$2:$A$5001,$B$2:$B$5001,B924),1,0))</f>
        <v/>
      </c>
      <c r="K924" s="16" t="str">
        <f aca="false">IF(B924="","",IF(AND(D924="Formalização",E924="Concluído"),IF(COUNTIFS($B$2:$B$5001,B924,$E$2:$E$5001,"Em ajustes",$A$2:$A$5001,"&lt;"&amp;I924)&gt;0,1,0),0))</f>
        <v/>
      </c>
      <c r="L924" s="16" t="str">
        <f aca="false">IF(B924="","",IF(A924=_xlfn.MAXIFS($A$2:$A$5001,$B$2:$B$5001,B924,$I$2:$I$5001,I924),1,0))</f>
        <v/>
      </c>
    </row>
    <row r="925" customFormat="false" ht="15" hidden="false" customHeight="false" outlineLevel="0" collapsed="false">
      <c r="I925" s="15" t="str">
        <f aca="false">IF(A925="","",INT(A925))</f>
        <v/>
      </c>
      <c r="J925" s="16" t="str">
        <f aca="false">IF(B925="","",IF(A925=_xlfn.MINIFS($A$2:$A$5001,$B$2:$B$5001,B925),1,0))</f>
        <v/>
      </c>
      <c r="K925" s="16" t="str">
        <f aca="false">IF(B925="","",IF(AND(D925="Formalização",E925="Concluído"),IF(COUNTIFS($B$2:$B$5001,B925,$E$2:$E$5001,"Em ajustes",$A$2:$A$5001,"&lt;"&amp;I925)&gt;0,1,0),0))</f>
        <v/>
      </c>
      <c r="L925" s="16" t="str">
        <f aca="false">IF(B925="","",IF(A925=_xlfn.MAXIFS($A$2:$A$5001,$B$2:$B$5001,B925,$I$2:$I$5001,I925),1,0))</f>
        <v/>
      </c>
    </row>
    <row r="926" customFormat="false" ht="15" hidden="false" customHeight="false" outlineLevel="0" collapsed="false">
      <c r="I926" s="15" t="str">
        <f aca="false">IF(A926="","",INT(A926))</f>
        <v/>
      </c>
      <c r="J926" s="16" t="str">
        <f aca="false">IF(B926="","",IF(A926=_xlfn.MINIFS($A$2:$A$5001,$B$2:$B$5001,B926),1,0))</f>
        <v/>
      </c>
      <c r="K926" s="16" t="str">
        <f aca="false">IF(B926="","",IF(AND(D926="Formalização",E926="Concluído"),IF(COUNTIFS($B$2:$B$5001,B926,$E$2:$E$5001,"Em ajustes",$A$2:$A$5001,"&lt;"&amp;I926)&gt;0,1,0),0))</f>
        <v/>
      </c>
      <c r="L926" s="16" t="str">
        <f aca="false">IF(B926="","",IF(A926=_xlfn.MAXIFS($A$2:$A$5001,$B$2:$B$5001,B926,$I$2:$I$5001,I926),1,0))</f>
        <v/>
      </c>
    </row>
    <row r="927" customFormat="false" ht="15" hidden="false" customHeight="false" outlineLevel="0" collapsed="false">
      <c r="I927" s="15" t="str">
        <f aca="false">IF(A927="","",INT(A927))</f>
        <v/>
      </c>
      <c r="J927" s="16" t="str">
        <f aca="false">IF(B927="","",IF(A927=_xlfn.MINIFS($A$2:$A$5001,$B$2:$B$5001,B927),1,0))</f>
        <v/>
      </c>
      <c r="K927" s="16" t="str">
        <f aca="false">IF(B927="","",IF(AND(D927="Formalização",E927="Concluído"),IF(COUNTIFS($B$2:$B$5001,B927,$E$2:$E$5001,"Em ajustes",$A$2:$A$5001,"&lt;"&amp;I927)&gt;0,1,0),0))</f>
        <v/>
      </c>
      <c r="L927" s="16" t="str">
        <f aca="false">IF(B927="","",IF(A927=_xlfn.MAXIFS($A$2:$A$5001,$B$2:$B$5001,B927,$I$2:$I$5001,I927),1,0))</f>
        <v/>
      </c>
    </row>
    <row r="928" customFormat="false" ht="15" hidden="false" customHeight="false" outlineLevel="0" collapsed="false">
      <c r="I928" s="15" t="str">
        <f aca="false">IF(A928="","",INT(A928))</f>
        <v/>
      </c>
      <c r="J928" s="16" t="str">
        <f aca="false">IF(B928="","",IF(A928=_xlfn.MINIFS($A$2:$A$5001,$B$2:$B$5001,B928),1,0))</f>
        <v/>
      </c>
      <c r="K928" s="16" t="str">
        <f aca="false">IF(B928="","",IF(AND(D928="Formalização",E928="Concluído"),IF(COUNTIFS($B$2:$B$5001,B928,$E$2:$E$5001,"Em ajustes",$A$2:$A$5001,"&lt;"&amp;I928)&gt;0,1,0),0))</f>
        <v/>
      </c>
      <c r="L928" s="16" t="str">
        <f aca="false">IF(B928="","",IF(A928=_xlfn.MAXIFS($A$2:$A$5001,$B$2:$B$5001,B928,$I$2:$I$5001,I928),1,0))</f>
        <v/>
      </c>
    </row>
    <row r="929" customFormat="false" ht="15" hidden="false" customHeight="false" outlineLevel="0" collapsed="false">
      <c r="I929" s="15" t="str">
        <f aca="false">IF(A929="","",INT(A929))</f>
        <v/>
      </c>
      <c r="J929" s="16" t="str">
        <f aca="false">IF(B929="","",IF(A929=_xlfn.MINIFS($A$2:$A$5001,$B$2:$B$5001,B929),1,0))</f>
        <v/>
      </c>
      <c r="K929" s="16" t="str">
        <f aca="false">IF(B929="","",IF(AND(D929="Formalização",E929="Concluído"),IF(COUNTIFS($B$2:$B$5001,B929,$E$2:$E$5001,"Em ajustes",$A$2:$A$5001,"&lt;"&amp;I929)&gt;0,1,0),0))</f>
        <v/>
      </c>
      <c r="L929" s="16" t="str">
        <f aca="false">IF(B929="","",IF(A929=_xlfn.MAXIFS($A$2:$A$5001,$B$2:$B$5001,B929,$I$2:$I$5001,I929),1,0))</f>
        <v/>
      </c>
    </row>
    <row r="930" customFormat="false" ht="15" hidden="false" customHeight="false" outlineLevel="0" collapsed="false">
      <c r="I930" s="15" t="str">
        <f aca="false">IF(A930="","",INT(A930))</f>
        <v/>
      </c>
      <c r="J930" s="16" t="str">
        <f aca="false">IF(B930="","",IF(A930=_xlfn.MINIFS($A$2:$A$5001,$B$2:$B$5001,B930),1,0))</f>
        <v/>
      </c>
      <c r="K930" s="16" t="str">
        <f aca="false">IF(B930="","",IF(AND(D930="Formalização",E930="Concluído"),IF(COUNTIFS($B$2:$B$5001,B930,$E$2:$E$5001,"Em ajustes",$A$2:$A$5001,"&lt;"&amp;I930)&gt;0,1,0),0))</f>
        <v/>
      </c>
      <c r="L930" s="16" t="str">
        <f aca="false">IF(B930="","",IF(A930=_xlfn.MAXIFS($A$2:$A$5001,$B$2:$B$5001,B930,$I$2:$I$5001,I930),1,0))</f>
        <v/>
      </c>
    </row>
    <row r="931" customFormat="false" ht="15" hidden="false" customHeight="false" outlineLevel="0" collapsed="false">
      <c r="I931" s="15" t="str">
        <f aca="false">IF(A931="","",INT(A931))</f>
        <v/>
      </c>
      <c r="J931" s="16" t="str">
        <f aca="false">IF(B931="","",IF(A931=_xlfn.MINIFS($A$2:$A$5001,$B$2:$B$5001,B931),1,0))</f>
        <v/>
      </c>
      <c r="K931" s="16" t="str">
        <f aca="false">IF(B931="","",IF(AND(D931="Formalização",E931="Concluído"),IF(COUNTIFS($B$2:$B$5001,B931,$E$2:$E$5001,"Em ajustes",$A$2:$A$5001,"&lt;"&amp;I931)&gt;0,1,0),0))</f>
        <v/>
      </c>
      <c r="L931" s="16" t="str">
        <f aca="false">IF(B931="","",IF(A931=_xlfn.MAXIFS($A$2:$A$5001,$B$2:$B$5001,B931,$I$2:$I$5001,I931),1,0))</f>
        <v/>
      </c>
    </row>
    <row r="932" customFormat="false" ht="15" hidden="false" customHeight="false" outlineLevel="0" collapsed="false">
      <c r="I932" s="15" t="str">
        <f aca="false">IF(A932="","",INT(A932))</f>
        <v/>
      </c>
      <c r="J932" s="16" t="str">
        <f aca="false">IF(B932="","",IF(A932=_xlfn.MINIFS($A$2:$A$5001,$B$2:$B$5001,B932),1,0))</f>
        <v/>
      </c>
      <c r="K932" s="16" t="str">
        <f aca="false">IF(B932="","",IF(AND(D932="Formalização",E932="Concluído"),IF(COUNTIFS($B$2:$B$5001,B932,$E$2:$E$5001,"Em ajustes",$A$2:$A$5001,"&lt;"&amp;I932)&gt;0,1,0),0))</f>
        <v/>
      </c>
      <c r="L932" s="16" t="str">
        <f aca="false">IF(B932="","",IF(A932=_xlfn.MAXIFS($A$2:$A$5001,$B$2:$B$5001,B932,$I$2:$I$5001,I932),1,0))</f>
        <v/>
      </c>
    </row>
    <row r="933" customFormat="false" ht="15" hidden="false" customHeight="false" outlineLevel="0" collapsed="false">
      <c r="I933" s="15" t="str">
        <f aca="false">IF(A933="","",INT(A933))</f>
        <v/>
      </c>
      <c r="J933" s="16" t="str">
        <f aca="false">IF(B933="","",IF(A933=_xlfn.MINIFS($A$2:$A$5001,$B$2:$B$5001,B933),1,0))</f>
        <v/>
      </c>
      <c r="K933" s="16" t="str">
        <f aca="false">IF(B933="","",IF(AND(D933="Formalização",E933="Concluído"),IF(COUNTIFS($B$2:$B$5001,B933,$E$2:$E$5001,"Em ajustes",$A$2:$A$5001,"&lt;"&amp;I933)&gt;0,1,0),0))</f>
        <v/>
      </c>
      <c r="L933" s="16" t="str">
        <f aca="false">IF(B933="","",IF(A933=_xlfn.MAXIFS($A$2:$A$5001,$B$2:$B$5001,B933,$I$2:$I$5001,I933),1,0))</f>
        <v/>
      </c>
    </row>
    <row r="934" customFormat="false" ht="15" hidden="false" customHeight="false" outlineLevel="0" collapsed="false">
      <c r="I934" s="15" t="str">
        <f aca="false">IF(A934="","",INT(A934))</f>
        <v/>
      </c>
      <c r="J934" s="16" t="str">
        <f aca="false">IF(B934="","",IF(A934=_xlfn.MINIFS($A$2:$A$5001,$B$2:$B$5001,B934),1,0))</f>
        <v/>
      </c>
      <c r="K934" s="16" t="str">
        <f aca="false">IF(B934="","",IF(AND(D934="Formalização",E934="Concluído"),IF(COUNTIFS($B$2:$B$5001,B934,$E$2:$E$5001,"Em ajustes",$A$2:$A$5001,"&lt;"&amp;I934)&gt;0,1,0),0))</f>
        <v/>
      </c>
      <c r="L934" s="16" t="str">
        <f aca="false">IF(B934="","",IF(A934=_xlfn.MAXIFS($A$2:$A$5001,$B$2:$B$5001,B934,$I$2:$I$5001,I934),1,0))</f>
        <v/>
      </c>
    </row>
    <row r="935" customFormat="false" ht="15" hidden="false" customHeight="false" outlineLevel="0" collapsed="false">
      <c r="I935" s="15" t="str">
        <f aca="false">IF(A935="","",INT(A935))</f>
        <v/>
      </c>
      <c r="J935" s="16" t="str">
        <f aca="false">IF(B935="","",IF(A935=_xlfn.MINIFS($A$2:$A$5001,$B$2:$B$5001,B935),1,0))</f>
        <v/>
      </c>
      <c r="K935" s="16" t="str">
        <f aca="false">IF(B935="","",IF(AND(D935="Formalização",E935="Concluído"),IF(COUNTIFS($B$2:$B$5001,B935,$E$2:$E$5001,"Em ajustes",$A$2:$A$5001,"&lt;"&amp;I935)&gt;0,1,0),0))</f>
        <v/>
      </c>
      <c r="L935" s="16" t="str">
        <f aca="false">IF(B935="","",IF(A935=_xlfn.MAXIFS($A$2:$A$5001,$B$2:$B$5001,B935,$I$2:$I$5001,I935),1,0))</f>
        <v/>
      </c>
    </row>
    <row r="936" customFormat="false" ht="15" hidden="false" customHeight="false" outlineLevel="0" collapsed="false">
      <c r="I936" s="15" t="str">
        <f aca="false">IF(A936="","",INT(A936))</f>
        <v/>
      </c>
      <c r="J936" s="16" t="str">
        <f aca="false">IF(B936="","",IF(A936=_xlfn.MINIFS($A$2:$A$5001,$B$2:$B$5001,B936),1,0))</f>
        <v/>
      </c>
      <c r="K936" s="16" t="str">
        <f aca="false">IF(B936="","",IF(AND(D936="Formalização",E936="Concluído"),IF(COUNTIFS($B$2:$B$5001,B936,$E$2:$E$5001,"Em ajustes",$A$2:$A$5001,"&lt;"&amp;I936)&gt;0,1,0),0))</f>
        <v/>
      </c>
      <c r="L936" s="16" t="str">
        <f aca="false">IF(B936="","",IF(A936=_xlfn.MAXIFS($A$2:$A$5001,$B$2:$B$5001,B936,$I$2:$I$5001,I936),1,0))</f>
        <v/>
      </c>
    </row>
    <row r="937" customFormat="false" ht="15" hidden="false" customHeight="false" outlineLevel="0" collapsed="false">
      <c r="I937" s="15" t="str">
        <f aca="false">IF(A937="","",INT(A937))</f>
        <v/>
      </c>
      <c r="J937" s="16" t="str">
        <f aca="false">IF(B937="","",IF(A937=_xlfn.MINIFS($A$2:$A$5001,$B$2:$B$5001,B937),1,0))</f>
        <v/>
      </c>
      <c r="K937" s="16" t="str">
        <f aca="false">IF(B937="","",IF(AND(D937="Formalização",E937="Concluído"),IF(COUNTIFS($B$2:$B$5001,B937,$E$2:$E$5001,"Em ajustes",$A$2:$A$5001,"&lt;"&amp;I937)&gt;0,1,0),0))</f>
        <v/>
      </c>
      <c r="L937" s="16" t="str">
        <f aca="false">IF(B937="","",IF(A937=_xlfn.MAXIFS($A$2:$A$5001,$B$2:$B$5001,B937,$I$2:$I$5001,I937),1,0))</f>
        <v/>
      </c>
    </row>
    <row r="938" customFormat="false" ht="15" hidden="false" customHeight="false" outlineLevel="0" collapsed="false">
      <c r="I938" s="15" t="str">
        <f aca="false">IF(A938="","",INT(A938))</f>
        <v/>
      </c>
      <c r="J938" s="16" t="str">
        <f aca="false">IF(B938="","",IF(A938=_xlfn.MINIFS($A$2:$A$5001,$B$2:$B$5001,B938),1,0))</f>
        <v/>
      </c>
      <c r="K938" s="16" t="str">
        <f aca="false">IF(B938="","",IF(AND(D938="Formalização",E938="Concluído"),IF(COUNTIFS($B$2:$B$5001,B938,$E$2:$E$5001,"Em ajustes",$A$2:$A$5001,"&lt;"&amp;I938)&gt;0,1,0),0))</f>
        <v/>
      </c>
      <c r="L938" s="16" t="str">
        <f aca="false">IF(B938="","",IF(A938=_xlfn.MAXIFS($A$2:$A$5001,$B$2:$B$5001,B938,$I$2:$I$5001,I938),1,0))</f>
        <v/>
      </c>
    </row>
    <row r="939" customFormat="false" ht="15" hidden="false" customHeight="false" outlineLevel="0" collapsed="false">
      <c r="I939" s="15" t="str">
        <f aca="false">IF(A939="","",INT(A939))</f>
        <v/>
      </c>
      <c r="J939" s="16" t="str">
        <f aca="false">IF(B939="","",IF(A939=_xlfn.MINIFS($A$2:$A$5001,$B$2:$B$5001,B939),1,0))</f>
        <v/>
      </c>
      <c r="K939" s="16" t="str">
        <f aca="false">IF(B939="","",IF(AND(D939="Formalização",E939="Concluído"),IF(COUNTIFS($B$2:$B$5001,B939,$E$2:$E$5001,"Em ajustes",$A$2:$A$5001,"&lt;"&amp;I939)&gt;0,1,0),0))</f>
        <v/>
      </c>
      <c r="L939" s="16" t="str">
        <f aca="false">IF(B939="","",IF(A939=_xlfn.MAXIFS($A$2:$A$5001,$B$2:$B$5001,B939,$I$2:$I$5001,I939),1,0))</f>
        <v/>
      </c>
    </row>
    <row r="940" customFormat="false" ht="15" hidden="false" customHeight="false" outlineLevel="0" collapsed="false">
      <c r="I940" s="15" t="str">
        <f aca="false">IF(A940="","",INT(A940))</f>
        <v/>
      </c>
      <c r="J940" s="16" t="str">
        <f aca="false">IF(B940="","",IF(A940=_xlfn.MINIFS($A$2:$A$5001,$B$2:$B$5001,B940),1,0))</f>
        <v/>
      </c>
      <c r="K940" s="16" t="str">
        <f aca="false">IF(B940="","",IF(AND(D940="Formalização",E940="Concluído"),IF(COUNTIFS($B$2:$B$5001,B940,$E$2:$E$5001,"Em ajustes",$A$2:$A$5001,"&lt;"&amp;I940)&gt;0,1,0),0))</f>
        <v/>
      </c>
      <c r="L940" s="16" t="str">
        <f aca="false">IF(B940="","",IF(A940=_xlfn.MAXIFS($A$2:$A$5001,$B$2:$B$5001,B940,$I$2:$I$5001,I940),1,0))</f>
        <v/>
      </c>
    </row>
    <row r="941" customFormat="false" ht="15" hidden="false" customHeight="false" outlineLevel="0" collapsed="false">
      <c r="I941" s="15" t="str">
        <f aca="false">IF(A941="","",INT(A941))</f>
        <v/>
      </c>
      <c r="J941" s="16" t="str">
        <f aca="false">IF(B941="","",IF(A941=_xlfn.MINIFS($A$2:$A$5001,$B$2:$B$5001,B941),1,0))</f>
        <v/>
      </c>
      <c r="K941" s="16" t="str">
        <f aca="false">IF(B941="","",IF(AND(D941="Formalização",E941="Concluído"),IF(COUNTIFS($B$2:$B$5001,B941,$E$2:$E$5001,"Em ajustes",$A$2:$A$5001,"&lt;"&amp;I941)&gt;0,1,0),0))</f>
        <v/>
      </c>
      <c r="L941" s="16" t="str">
        <f aca="false">IF(B941="","",IF(A941=_xlfn.MAXIFS($A$2:$A$5001,$B$2:$B$5001,B941,$I$2:$I$5001,I941),1,0))</f>
        <v/>
      </c>
    </row>
    <row r="942" customFormat="false" ht="15" hidden="false" customHeight="false" outlineLevel="0" collapsed="false">
      <c r="I942" s="15" t="str">
        <f aca="false">IF(A942="","",INT(A942))</f>
        <v/>
      </c>
      <c r="J942" s="16" t="str">
        <f aca="false">IF(B942="","",IF(A942=_xlfn.MINIFS($A$2:$A$5001,$B$2:$B$5001,B942),1,0))</f>
        <v/>
      </c>
      <c r="K942" s="16" t="str">
        <f aca="false">IF(B942="","",IF(AND(D942="Formalização",E942="Concluído"),IF(COUNTIFS($B$2:$B$5001,B942,$E$2:$E$5001,"Em ajustes",$A$2:$A$5001,"&lt;"&amp;I942)&gt;0,1,0),0))</f>
        <v/>
      </c>
      <c r="L942" s="16" t="str">
        <f aca="false">IF(B942="","",IF(A942=_xlfn.MAXIFS($A$2:$A$5001,$B$2:$B$5001,B942,$I$2:$I$5001,I942),1,0))</f>
        <v/>
      </c>
    </row>
    <row r="943" customFormat="false" ht="15" hidden="false" customHeight="false" outlineLevel="0" collapsed="false">
      <c r="I943" s="15" t="str">
        <f aca="false">IF(A943="","",INT(A943))</f>
        <v/>
      </c>
      <c r="J943" s="16" t="str">
        <f aca="false">IF(B943="","",IF(A943=_xlfn.MINIFS($A$2:$A$5001,$B$2:$B$5001,B943),1,0))</f>
        <v/>
      </c>
      <c r="K943" s="16" t="str">
        <f aca="false">IF(B943="","",IF(AND(D943="Formalização",E943="Concluído"),IF(COUNTIFS($B$2:$B$5001,B943,$E$2:$E$5001,"Em ajustes",$A$2:$A$5001,"&lt;"&amp;I943)&gt;0,1,0),0))</f>
        <v/>
      </c>
      <c r="L943" s="16" t="str">
        <f aca="false">IF(B943="","",IF(A943=_xlfn.MAXIFS($A$2:$A$5001,$B$2:$B$5001,B943,$I$2:$I$5001,I943),1,0))</f>
        <v/>
      </c>
    </row>
    <row r="944" customFormat="false" ht="15" hidden="false" customHeight="false" outlineLevel="0" collapsed="false">
      <c r="I944" s="15" t="str">
        <f aca="false">IF(A944="","",INT(A944))</f>
        <v/>
      </c>
      <c r="J944" s="16" t="str">
        <f aca="false">IF(B944="","",IF(A944=_xlfn.MINIFS($A$2:$A$5001,$B$2:$B$5001,B944),1,0))</f>
        <v/>
      </c>
      <c r="K944" s="16" t="str">
        <f aca="false">IF(B944="","",IF(AND(D944="Formalização",E944="Concluído"),IF(COUNTIFS($B$2:$B$5001,B944,$E$2:$E$5001,"Em ajustes",$A$2:$A$5001,"&lt;"&amp;I944)&gt;0,1,0),0))</f>
        <v/>
      </c>
      <c r="L944" s="16" t="str">
        <f aca="false">IF(B944="","",IF(A944=_xlfn.MAXIFS($A$2:$A$5001,$B$2:$B$5001,B944,$I$2:$I$5001,I944),1,0))</f>
        <v/>
      </c>
    </row>
    <row r="945" customFormat="false" ht="15" hidden="false" customHeight="false" outlineLevel="0" collapsed="false">
      <c r="I945" s="15" t="str">
        <f aca="false">IF(A945="","",INT(A945))</f>
        <v/>
      </c>
      <c r="J945" s="16" t="str">
        <f aca="false">IF(B945="","",IF(A945=_xlfn.MINIFS($A$2:$A$5001,$B$2:$B$5001,B945),1,0))</f>
        <v/>
      </c>
      <c r="K945" s="16" t="str">
        <f aca="false">IF(B945="","",IF(AND(D945="Formalização",E945="Concluído"),IF(COUNTIFS($B$2:$B$5001,B945,$E$2:$E$5001,"Em ajustes",$A$2:$A$5001,"&lt;"&amp;I945)&gt;0,1,0),0))</f>
        <v/>
      </c>
      <c r="L945" s="16" t="str">
        <f aca="false">IF(B945="","",IF(A945=_xlfn.MAXIFS($A$2:$A$5001,$B$2:$B$5001,B945,$I$2:$I$5001,I945),1,0))</f>
        <v/>
      </c>
    </row>
    <row r="946" customFormat="false" ht="15" hidden="false" customHeight="false" outlineLevel="0" collapsed="false">
      <c r="I946" s="15" t="str">
        <f aca="false">IF(A946="","",INT(A946))</f>
        <v/>
      </c>
      <c r="J946" s="16" t="str">
        <f aca="false">IF(B946="","",IF(A946=_xlfn.MINIFS($A$2:$A$5001,$B$2:$B$5001,B946),1,0))</f>
        <v/>
      </c>
      <c r="K946" s="16" t="str">
        <f aca="false">IF(B946="","",IF(AND(D946="Formalização",E946="Concluído"),IF(COUNTIFS($B$2:$B$5001,B946,$E$2:$E$5001,"Em ajustes",$A$2:$A$5001,"&lt;"&amp;I946)&gt;0,1,0),0))</f>
        <v/>
      </c>
      <c r="L946" s="16" t="str">
        <f aca="false">IF(B946="","",IF(A946=_xlfn.MAXIFS($A$2:$A$5001,$B$2:$B$5001,B946,$I$2:$I$5001,I946),1,0))</f>
        <v/>
      </c>
    </row>
    <row r="947" customFormat="false" ht="15" hidden="false" customHeight="false" outlineLevel="0" collapsed="false">
      <c r="I947" s="15" t="str">
        <f aca="false">IF(A947="","",INT(A947))</f>
        <v/>
      </c>
      <c r="J947" s="16" t="str">
        <f aca="false">IF(B947="","",IF(A947=_xlfn.MINIFS($A$2:$A$5001,$B$2:$B$5001,B947),1,0))</f>
        <v/>
      </c>
      <c r="K947" s="16" t="str">
        <f aca="false">IF(B947="","",IF(AND(D947="Formalização",E947="Concluído"),IF(COUNTIFS($B$2:$B$5001,B947,$E$2:$E$5001,"Em ajustes",$A$2:$A$5001,"&lt;"&amp;I947)&gt;0,1,0),0))</f>
        <v/>
      </c>
      <c r="L947" s="16" t="str">
        <f aca="false">IF(B947="","",IF(A947=_xlfn.MAXIFS($A$2:$A$5001,$B$2:$B$5001,B947,$I$2:$I$5001,I947),1,0))</f>
        <v/>
      </c>
    </row>
    <row r="948" customFormat="false" ht="15" hidden="false" customHeight="false" outlineLevel="0" collapsed="false">
      <c r="I948" s="15" t="str">
        <f aca="false">IF(A948="","",INT(A948))</f>
        <v/>
      </c>
      <c r="J948" s="16" t="str">
        <f aca="false">IF(B948="","",IF(A948=_xlfn.MINIFS($A$2:$A$5001,$B$2:$B$5001,B948),1,0))</f>
        <v/>
      </c>
      <c r="K948" s="16" t="str">
        <f aca="false">IF(B948="","",IF(AND(D948="Formalização",E948="Concluído"),IF(COUNTIFS($B$2:$B$5001,B948,$E$2:$E$5001,"Em ajustes",$A$2:$A$5001,"&lt;"&amp;I948)&gt;0,1,0),0))</f>
        <v/>
      </c>
      <c r="L948" s="16" t="str">
        <f aca="false">IF(B948="","",IF(A948=_xlfn.MAXIFS($A$2:$A$5001,$B$2:$B$5001,B948,$I$2:$I$5001,I948),1,0))</f>
        <v/>
      </c>
    </row>
    <row r="949" customFormat="false" ht="15" hidden="false" customHeight="false" outlineLevel="0" collapsed="false">
      <c r="I949" s="15" t="str">
        <f aca="false">IF(A949="","",INT(A949))</f>
        <v/>
      </c>
      <c r="J949" s="16" t="str">
        <f aca="false">IF(B949="","",IF(A949=_xlfn.MINIFS($A$2:$A$5001,$B$2:$B$5001,B949),1,0))</f>
        <v/>
      </c>
      <c r="K949" s="16" t="str">
        <f aca="false">IF(B949="","",IF(AND(D949="Formalização",E949="Concluído"),IF(COUNTIFS($B$2:$B$5001,B949,$E$2:$E$5001,"Em ajustes",$A$2:$A$5001,"&lt;"&amp;I949)&gt;0,1,0),0))</f>
        <v/>
      </c>
      <c r="L949" s="16" t="str">
        <f aca="false">IF(B949="","",IF(A949=_xlfn.MAXIFS($A$2:$A$5001,$B$2:$B$5001,B949,$I$2:$I$5001,I949),1,0))</f>
        <v/>
      </c>
    </row>
    <row r="950" customFormat="false" ht="15" hidden="false" customHeight="false" outlineLevel="0" collapsed="false">
      <c r="I950" s="15" t="str">
        <f aca="false">IF(A950="","",INT(A950))</f>
        <v/>
      </c>
      <c r="J950" s="16" t="str">
        <f aca="false">IF(B950="","",IF(A950=_xlfn.MINIFS($A$2:$A$5001,$B$2:$B$5001,B950),1,0))</f>
        <v/>
      </c>
      <c r="K950" s="16" t="str">
        <f aca="false">IF(B950="","",IF(AND(D950="Formalização",E950="Concluído"),IF(COUNTIFS($B$2:$B$5001,B950,$E$2:$E$5001,"Em ajustes",$A$2:$A$5001,"&lt;"&amp;I950)&gt;0,1,0),0))</f>
        <v/>
      </c>
      <c r="L950" s="16" t="str">
        <f aca="false">IF(B950="","",IF(A950=_xlfn.MAXIFS($A$2:$A$5001,$B$2:$B$5001,B950,$I$2:$I$5001,I950),1,0))</f>
        <v/>
      </c>
    </row>
    <row r="951" customFormat="false" ht="15" hidden="false" customHeight="false" outlineLevel="0" collapsed="false">
      <c r="I951" s="15" t="str">
        <f aca="false">IF(A951="","",INT(A951))</f>
        <v/>
      </c>
      <c r="J951" s="16" t="str">
        <f aca="false">IF(B951="","",IF(A951=_xlfn.MINIFS($A$2:$A$5001,$B$2:$B$5001,B951),1,0))</f>
        <v/>
      </c>
      <c r="K951" s="16" t="str">
        <f aca="false">IF(B951="","",IF(AND(D951="Formalização",E951="Concluído"),IF(COUNTIFS($B$2:$B$5001,B951,$E$2:$E$5001,"Em ajustes",$A$2:$A$5001,"&lt;"&amp;I951)&gt;0,1,0),0))</f>
        <v/>
      </c>
      <c r="L951" s="16" t="str">
        <f aca="false">IF(B951="","",IF(A951=_xlfn.MAXIFS($A$2:$A$5001,$B$2:$B$5001,B951,$I$2:$I$5001,I951),1,0))</f>
        <v/>
      </c>
    </row>
    <row r="952" customFormat="false" ht="15" hidden="false" customHeight="false" outlineLevel="0" collapsed="false">
      <c r="I952" s="15" t="str">
        <f aca="false">IF(A952="","",INT(A952))</f>
        <v/>
      </c>
      <c r="J952" s="16" t="str">
        <f aca="false">IF(B952="","",IF(A952=_xlfn.MINIFS($A$2:$A$5001,$B$2:$B$5001,B952),1,0))</f>
        <v/>
      </c>
      <c r="K952" s="16" t="str">
        <f aca="false">IF(B952="","",IF(AND(D952="Formalização",E952="Concluído"),IF(COUNTIFS($B$2:$B$5001,B952,$E$2:$E$5001,"Em ajustes",$A$2:$A$5001,"&lt;"&amp;I952)&gt;0,1,0),0))</f>
        <v/>
      </c>
      <c r="L952" s="16" t="str">
        <f aca="false">IF(B952="","",IF(A952=_xlfn.MAXIFS($A$2:$A$5001,$B$2:$B$5001,B952,$I$2:$I$5001,I952),1,0))</f>
        <v/>
      </c>
    </row>
    <row r="953" customFormat="false" ht="15" hidden="false" customHeight="false" outlineLevel="0" collapsed="false">
      <c r="I953" s="15" t="str">
        <f aca="false">IF(A953="","",INT(A953))</f>
        <v/>
      </c>
      <c r="J953" s="16" t="str">
        <f aca="false">IF(B953="","",IF(A953=_xlfn.MINIFS($A$2:$A$5001,$B$2:$B$5001,B953),1,0))</f>
        <v/>
      </c>
      <c r="K953" s="16" t="str">
        <f aca="false">IF(B953="","",IF(AND(D953="Formalização",E953="Concluído"),IF(COUNTIFS($B$2:$B$5001,B953,$E$2:$E$5001,"Em ajustes",$A$2:$A$5001,"&lt;"&amp;I953)&gt;0,1,0),0))</f>
        <v/>
      </c>
      <c r="L953" s="16" t="str">
        <f aca="false">IF(B953="","",IF(A953=_xlfn.MAXIFS($A$2:$A$5001,$B$2:$B$5001,B953,$I$2:$I$5001,I953),1,0))</f>
        <v/>
      </c>
    </row>
    <row r="954" customFormat="false" ht="15" hidden="false" customHeight="false" outlineLevel="0" collapsed="false">
      <c r="I954" s="15" t="str">
        <f aca="false">IF(A954="","",INT(A954))</f>
        <v/>
      </c>
      <c r="J954" s="16" t="str">
        <f aca="false">IF(B954="","",IF(A954=_xlfn.MINIFS($A$2:$A$5001,$B$2:$B$5001,B954),1,0))</f>
        <v/>
      </c>
      <c r="K954" s="16" t="str">
        <f aca="false">IF(B954="","",IF(AND(D954="Formalização",E954="Concluído"),IF(COUNTIFS($B$2:$B$5001,B954,$E$2:$E$5001,"Em ajustes",$A$2:$A$5001,"&lt;"&amp;I954)&gt;0,1,0),0))</f>
        <v/>
      </c>
      <c r="L954" s="16" t="str">
        <f aca="false">IF(B954="","",IF(A954=_xlfn.MAXIFS($A$2:$A$5001,$B$2:$B$5001,B954,$I$2:$I$5001,I954),1,0))</f>
        <v/>
      </c>
    </row>
    <row r="955" customFormat="false" ht="15" hidden="false" customHeight="false" outlineLevel="0" collapsed="false">
      <c r="I955" s="15" t="str">
        <f aca="false">IF(A955="","",INT(A955))</f>
        <v/>
      </c>
      <c r="J955" s="16" t="str">
        <f aca="false">IF(B955="","",IF(A955=_xlfn.MINIFS($A$2:$A$5001,$B$2:$B$5001,B955),1,0))</f>
        <v/>
      </c>
      <c r="K955" s="16" t="str">
        <f aca="false">IF(B955="","",IF(AND(D955="Formalização",E955="Concluído"),IF(COUNTIFS($B$2:$B$5001,B955,$E$2:$E$5001,"Em ajustes",$A$2:$A$5001,"&lt;"&amp;I955)&gt;0,1,0),0))</f>
        <v/>
      </c>
      <c r="L955" s="16" t="str">
        <f aca="false">IF(B955="","",IF(A955=_xlfn.MAXIFS($A$2:$A$5001,$B$2:$B$5001,B955,$I$2:$I$5001,I955),1,0))</f>
        <v/>
      </c>
    </row>
    <row r="956" customFormat="false" ht="15" hidden="false" customHeight="false" outlineLevel="0" collapsed="false">
      <c r="I956" s="15" t="str">
        <f aca="false">IF(A956="","",INT(A956))</f>
        <v/>
      </c>
      <c r="J956" s="16" t="str">
        <f aca="false">IF(B956="","",IF(A956=_xlfn.MINIFS($A$2:$A$5001,$B$2:$B$5001,B956),1,0))</f>
        <v/>
      </c>
      <c r="K956" s="16" t="str">
        <f aca="false">IF(B956="","",IF(AND(D956="Formalização",E956="Concluído"),IF(COUNTIFS($B$2:$B$5001,B956,$E$2:$E$5001,"Em ajustes",$A$2:$A$5001,"&lt;"&amp;I956)&gt;0,1,0),0))</f>
        <v/>
      </c>
      <c r="L956" s="16" t="str">
        <f aca="false">IF(B956="","",IF(A956=_xlfn.MAXIFS($A$2:$A$5001,$B$2:$B$5001,B956,$I$2:$I$5001,I956),1,0))</f>
        <v/>
      </c>
    </row>
    <row r="957" customFormat="false" ht="15" hidden="false" customHeight="false" outlineLevel="0" collapsed="false">
      <c r="I957" s="15" t="str">
        <f aca="false">IF(A957="","",INT(A957))</f>
        <v/>
      </c>
      <c r="J957" s="16" t="str">
        <f aca="false">IF(B957="","",IF(A957=_xlfn.MINIFS($A$2:$A$5001,$B$2:$B$5001,B957),1,0))</f>
        <v/>
      </c>
      <c r="K957" s="16" t="str">
        <f aca="false">IF(B957="","",IF(AND(D957="Formalização",E957="Concluído"),IF(COUNTIFS($B$2:$B$5001,B957,$E$2:$E$5001,"Em ajustes",$A$2:$A$5001,"&lt;"&amp;I957)&gt;0,1,0),0))</f>
        <v/>
      </c>
      <c r="L957" s="16" t="str">
        <f aca="false">IF(B957="","",IF(A957=_xlfn.MAXIFS($A$2:$A$5001,$B$2:$B$5001,B957,$I$2:$I$5001,I957),1,0))</f>
        <v/>
      </c>
    </row>
    <row r="958" customFormat="false" ht="15" hidden="false" customHeight="false" outlineLevel="0" collapsed="false">
      <c r="I958" s="15" t="str">
        <f aca="false">IF(A958="","",INT(A958))</f>
        <v/>
      </c>
      <c r="J958" s="16" t="str">
        <f aca="false">IF(B958="","",IF(A958=_xlfn.MINIFS($A$2:$A$5001,$B$2:$B$5001,B958),1,0))</f>
        <v/>
      </c>
      <c r="K958" s="16" t="str">
        <f aca="false">IF(B958="","",IF(AND(D958="Formalização",E958="Concluído"),IF(COUNTIFS($B$2:$B$5001,B958,$E$2:$E$5001,"Em ajustes",$A$2:$A$5001,"&lt;"&amp;I958)&gt;0,1,0),0))</f>
        <v/>
      </c>
      <c r="L958" s="16" t="str">
        <f aca="false">IF(B958="","",IF(A958=_xlfn.MAXIFS($A$2:$A$5001,$B$2:$B$5001,B958,$I$2:$I$5001,I958),1,0))</f>
        <v/>
      </c>
    </row>
    <row r="959" customFormat="false" ht="15" hidden="false" customHeight="false" outlineLevel="0" collapsed="false">
      <c r="I959" s="15" t="str">
        <f aca="false">IF(A959="","",INT(A959))</f>
        <v/>
      </c>
      <c r="J959" s="16" t="str">
        <f aca="false">IF(B959="","",IF(A959=_xlfn.MINIFS($A$2:$A$5001,$B$2:$B$5001,B959),1,0))</f>
        <v/>
      </c>
      <c r="K959" s="16" t="str">
        <f aca="false">IF(B959="","",IF(AND(D959="Formalização",E959="Concluído"),IF(COUNTIFS($B$2:$B$5001,B959,$E$2:$E$5001,"Em ajustes",$A$2:$A$5001,"&lt;"&amp;I959)&gt;0,1,0),0))</f>
        <v/>
      </c>
      <c r="L959" s="16" t="str">
        <f aca="false">IF(B959="","",IF(A959=_xlfn.MAXIFS($A$2:$A$5001,$B$2:$B$5001,B959,$I$2:$I$5001,I959),1,0))</f>
        <v/>
      </c>
    </row>
    <row r="960" customFormat="false" ht="15" hidden="false" customHeight="false" outlineLevel="0" collapsed="false">
      <c r="I960" s="15" t="str">
        <f aca="false">IF(A960="","",INT(A960))</f>
        <v/>
      </c>
      <c r="J960" s="16" t="str">
        <f aca="false">IF(B960="","",IF(A960=_xlfn.MINIFS($A$2:$A$5001,$B$2:$B$5001,B960),1,0))</f>
        <v/>
      </c>
      <c r="K960" s="16" t="str">
        <f aca="false">IF(B960="","",IF(AND(D960="Formalização",E960="Concluído"),IF(COUNTIFS($B$2:$B$5001,B960,$E$2:$E$5001,"Em ajustes",$A$2:$A$5001,"&lt;"&amp;I960)&gt;0,1,0),0))</f>
        <v/>
      </c>
      <c r="L960" s="16" t="str">
        <f aca="false">IF(B960="","",IF(A960=_xlfn.MAXIFS($A$2:$A$5001,$B$2:$B$5001,B960,$I$2:$I$5001,I960),1,0))</f>
        <v/>
      </c>
    </row>
    <row r="961" customFormat="false" ht="15" hidden="false" customHeight="false" outlineLevel="0" collapsed="false">
      <c r="I961" s="15" t="str">
        <f aca="false">IF(A961="","",INT(A961))</f>
        <v/>
      </c>
      <c r="J961" s="16" t="str">
        <f aca="false">IF(B961="","",IF(A961=_xlfn.MINIFS($A$2:$A$5001,$B$2:$B$5001,B961),1,0))</f>
        <v/>
      </c>
      <c r="K961" s="16" t="str">
        <f aca="false">IF(B961="","",IF(AND(D961="Formalização",E961="Concluído"),IF(COUNTIFS($B$2:$B$5001,B961,$E$2:$E$5001,"Em ajustes",$A$2:$A$5001,"&lt;"&amp;I961)&gt;0,1,0),0))</f>
        <v/>
      </c>
      <c r="L961" s="16" t="str">
        <f aca="false">IF(B961="","",IF(A961=_xlfn.MAXIFS($A$2:$A$5001,$B$2:$B$5001,B961,$I$2:$I$5001,I961),1,0))</f>
        <v/>
      </c>
    </row>
    <row r="962" customFormat="false" ht="15" hidden="false" customHeight="false" outlineLevel="0" collapsed="false">
      <c r="I962" s="15" t="str">
        <f aca="false">IF(A962="","",INT(A962))</f>
        <v/>
      </c>
      <c r="J962" s="16" t="str">
        <f aca="false">IF(B962="","",IF(A962=_xlfn.MINIFS($A$2:$A$5001,$B$2:$B$5001,B962),1,0))</f>
        <v/>
      </c>
      <c r="K962" s="16" t="str">
        <f aca="false">IF(B962="","",IF(AND(D962="Formalização",E962="Concluído"),IF(COUNTIFS($B$2:$B$5001,B962,$E$2:$E$5001,"Em ajustes",$A$2:$A$5001,"&lt;"&amp;I962)&gt;0,1,0),0))</f>
        <v/>
      </c>
      <c r="L962" s="16" t="str">
        <f aca="false">IF(B962="","",IF(A962=_xlfn.MAXIFS($A$2:$A$5001,$B$2:$B$5001,B962,$I$2:$I$5001,I962),1,0))</f>
        <v/>
      </c>
    </row>
    <row r="963" customFormat="false" ht="15" hidden="false" customHeight="false" outlineLevel="0" collapsed="false">
      <c r="I963" s="15" t="str">
        <f aca="false">IF(A963="","",INT(A963))</f>
        <v/>
      </c>
      <c r="J963" s="16" t="str">
        <f aca="false">IF(B963="","",IF(A963=_xlfn.MINIFS($A$2:$A$5001,$B$2:$B$5001,B963),1,0))</f>
        <v/>
      </c>
      <c r="K963" s="16" t="str">
        <f aca="false">IF(B963="","",IF(AND(D963="Formalização",E963="Concluído"),IF(COUNTIFS($B$2:$B$5001,B963,$E$2:$E$5001,"Em ajustes",$A$2:$A$5001,"&lt;"&amp;I963)&gt;0,1,0),0))</f>
        <v/>
      </c>
      <c r="L963" s="16" t="str">
        <f aca="false">IF(B963="","",IF(A963=_xlfn.MAXIFS($A$2:$A$5001,$B$2:$B$5001,B963,$I$2:$I$5001,I963),1,0))</f>
        <v/>
      </c>
    </row>
    <row r="964" customFormat="false" ht="15" hidden="false" customHeight="false" outlineLevel="0" collapsed="false">
      <c r="I964" s="15" t="str">
        <f aca="false">IF(A964="","",INT(A964))</f>
        <v/>
      </c>
      <c r="J964" s="16" t="str">
        <f aca="false">IF(B964="","",IF(A964=_xlfn.MINIFS($A$2:$A$5001,$B$2:$B$5001,B964),1,0))</f>
        <v/>
      </c>
      <c r="K964" s="16" t="str">
        <f aca="false">IF(B964="","",IF(AND(D964="Formalização",E964="Concluído"),IF(COUNTIFS($B$2:$B$5001,B964,$E$2:$E$5001,"Em ajustes",$A$2:$A$5001,"&lt;"&amp;I964)&gt;0,1,0),0))</f>
        <v/>
      </c>
      <c r="L964" s="16" t="str">
        <f aca="false">IF(B964="","",IF(A964=_xlfn.MAXIFS($A$2:$A$5001,$B$2:$B$5001,B964,$I$2:$I$5001,I964),1,0))</f>
        <v/>
      </c>
    </row>
    <row r="965" customFormat="false" ht="15" hidden="false" customHeight="false" outlineLevel="0" collapsed="false">
      <c r="I965" s="15" t="str">
        <f aca="false">IF(A965="","",INT(A965))</f>
        <v/>
      </c>
      <c r="J965" s="16" t="str">
        <f aca="false">IF(B965="","",IF(A965=_xlfn.MINIFS($A$2:$A$5001,$B$2:$B$5001,B965),1,0))</f>
        <v/>
      </c>
      <c r="K965" s="16" t="str">
        <f aca="false">IF(B965="","",IF(AND(D965="Formalização",E965="Concluído"),IF(COUNTIFS($B$2:$B$5001,B965,$E$2:$E$5001,"Em ajustes",$A$2:$A$5001,"&lt;"&amp;I965)&gt;0,1,0),0))</f>
        <v/>
      </c>
      <c r="L965" s="16" t="str">
        <f aca="false">IF(B965="","",IF(A965=_xlfn.MAXIFS($A$2:$A$5001,$B$2:$B$5001,B965,$I$2:$I$5001,I965),1,0))</f>
        <v/>
      </c>
    </row>
    <row r="966" customFormat="false" ht="15" hidden="false" customHeight="false" outlineLevel="0" collapsed="false">
      <c r="I966" s="15" t="str">
        <f aca="false">IF(A966="","",INT(A966))</f>
        <v/>
      </c>
      <c r="J966" s="16" t="str">
        <f aca="false">IF(B966="","",IF(A966=_xlfn.MINIFS($A$2:$A$5001,$B$2:$B$5001,B966),1,0))</f>
        <v/>
      </c>
      <c r="K966" s="16" t="str">
        <f aca="false">IF(B966="","",IF(AND(D966="Formalização",E966="Concluído"),IF(COUNTIFS($B$2:$B$5001,B966,$E$2:$E$5001,"Em ajustes",$A$2:$A$5001,"&lt;"&amp;I966)&gt;0,1,0),0))</f>
        <v/>
      </c>
      <c r="L966" s="16" t="str">
        <f aca="false">IF(B966="","",IF(A966=_xlfn.MAXIFS($A$2:$A$5001,$B$2:$B$5001,B966,$I$2:$I$5001,I966),1,0))</f>
        <v/>
      </c>
    </row>
    <row r="967" customFormat="false" ht="15" hidden="false" customHeight="false" outlineLevel="0" collapsed="false">
      <c r="I967" s="15" t="str">
        <f aca="false">IF(A967="","",INT(A967))</f>
        <v/>
      </c>
      <c r="J967" s="16" t="str">
        <f aca="false">IF(B967="","",IF(A967=_xlfn.MINIFS($A$2:$A$5001,$B$2:$B$5001,B967),1,0))</f>
        <v/>
      </c>
      <c r="K967" s="16" t="str">
        <f aca="false">IF(B967="","",IF(AND(D967="Formalização",E967="Concluído"),IF(COUNTIFS($B$2:$B$5001,B967,$E$2:$E$5001,"Em ajustes",$A$2:$A$5001,"&lt;"&amp;I967)&gt;0,1,0),0))</f>
        <v/>
      </c>
      <c r="L967" s="16" t="str">
        <f aca="false">IF(B967="","",IF(A967=_xlfn.MAXIFS($A$2:$A$5001,$B$2:$B$5001,B967,$I$2:$I$5001,I967),1,0))</f>
        <v/>
      </c>
    </row>
    <row r="968" customFormat="false" ht="15" hidden="false" customHeight="false" outlineLevel="0" collapsed="false">
      <c r="I968" s="15" t="str">
        <f aca="false">IF(A968="","",INT(A968))</f>
        <v/>
      </c>
      <c r="J968" s="16" t="str">
        <f aca="false">IF(B968="","",IF(A968=_xlfn.MINIFS($A$2:$A$5001,$B$2:$B$5001,B968),1,0))</f>
        <v/>
      </c>
      <c r="K968" s="16" t="str">
        <f aca="false">IF(B968="","",IF(AND(D968="Formalização",E968="Concluído"),IF(COUNTIFS($B$2:$B$5001,B968,$E$2:$E$5001,"Em ajustes",$A$2:$A$5001,"&lt;"&amp;I968)&gt;0,1,0),0))</f>
        <v/>
      </c>
      <c r="L968" s="16" t="str">
        <f aca="false">IF(B968="","",IF(A968=_xlfn.MAXIFS($A$2:$A$5001,$B$2:$B$5001,B968,$I$2:$I$5001,I968),1,0))</f>
        <v/>
      </c>
    </row>
    <row r="969" customFormat="false" ht="15" hidden="false" customHeight="false" outlineLevel="0" collapsed="false">
      <c r="I969" s="15" t="str">
        <f aca="false">IF(A969="","",INT(A969))</f>
        <v/>
      </c>
      <c r="J969" s="16" t="str">
        <f aca="false">IF(B969="","",IF(A969=_xlfn.MINIFS($A$2:$A$5001,$B$2:$B$5001,B969),1,0))</f>
        <v/>
      </c>
      <c r="K969" s="16" t="str">
        <f aca="false">IF(B969="","",IF(AND(D969="Formalização",E969="Concluído"),IF(COUNTIFS($B$2:$B$5001,B969,$E$2:$E$5001,"Em ajustes",$A$2:$A$5001,"&lt;"&amp;I969)&gt;0,1,0),0))</f>
        <v/>
      </c>
      <c r="L969" s="16" t="str">
        <f aca="false">IF(B969="","",IF(A969=_xlfn.MAXIFS($A$2:$A$5001,$B$2:$B$5001,B969,$I$2:$I$5001,I969),1,0))</f>
        <v/>
      </c>
    </row>
    <row r="970" customFormat="false" ht="15" hidden="false" customHeight="false" outlineLevel="0" collapsed="false">
      <c r="I970" s="15" t="str">
        <f aca="false">IF(A970="","",INT(A970))</f>
        <v/>
      </c>
      <c r="J970" s="16" t="str">
        <f aca="false">IF(B970="","",IF(A970=_xlfn.MINIFS($A$2:$A$5001,$B$2:$B$5001,B970),1,0))</f>
        <v/>
      </c>
      <c r="K970" s="16" t="str">
        <f aca="false">IF(B970="","",IF(AND(D970="Formalização",E970="Concluído"),IF(COUNTIFS($B$2:$B$5001,B970,$E$2:$E$5001,"Em ajustes",$A$2:$A$5001,"&lt;"&amp;I970)&gt;0,1,0),0))</f>
        <v/>
      </c>
      <c r="L970" s="16" t="str">
        <f aca="false">IF(B970="","",IF(A970=_xlfn.MAXIFS($A$2:$A$5001,$B$2:$B$5001,B970,$I$2:$I$5001,I970),1,0))</f>
        <v/>
      </c>
    </row>
    <row r="971" customFormat="false" ht="15" hidden="false" customHeight="false" outlineLevel="0" collapsed="false">
      <c r="I971" s="15" t="str">
        <f aca="false">IF(A971="","",INT(A971))</f>
        <v/>
      </c>
      <c r="J971" s="16" t="str">
        <f aca="false">IF(B971="","",IF(A971=_xlfn.MINIFS($A$2:$A$5001,$B$2:$B$5001,B971),1,0))</f>
        <v/>
      </c>
      <c r="K971" s="16" t="str">
        <f aca="false">IF(B971="","",IF(AND(D971="Formalização",E971="Concluído"),IF(COUNTIFS($B$2:$B$5001,B971,$E$2:$E$5001,"Em ajustes",$A$2:$A$5001,"&lt;"&amp;I971)&gt;0,1,0),0))</f>
        <v/>
      </c>
      <c r="L971" s="16" t="str">
        <f aca="false">IF(B971="","",IF(A971=_xlfn.MAXIFS($A$2:$A$5001,$B$2:$B$5001,B971,$I$2:$I$5001,I971),1,0))</f>
        <v/>
      </c>
    </row>
    <row r="972" customFormat="false" ht="15" hidden="false" customHeight="false" outlineLevel="0" collapsed="false">
      <c r="I972" s="15" t="str">
        <f aca="false">IF(A972="","",INT(A972))</f>
        <v/>
      </c>
      <c r="J972" s="16" t="str">
        <f aca="false">IF(B972="","",IF(A972=_xlfn.MINIFS($A$2:$A$5001,$B$2:$B$5001,B972),1,0))</f>
        <v/>
      </c>
      <c r="K972" s="16" t="str">
        <f aca="false">IF(B972="","",IF(AND(D972="Formalização",E972="Concluído"),IF(COUNTIFS($B$2:$B$5001,B972,$E$2:$E$5001,"Em ajustes",$A$2:$A$5001,"&lt;"&amp;I972)&gt;0,1,0),0))</f>
        <v/>
      </c>
      <c r="L972" s="16" t="str">
        <f aca="false">IF(B972="","",IF(A972=_xlfn.MAXIFS($A$2:$A$5001,$B$2:$B$5001,B972,$I$2:$I$5001,I972),1,0))</f>
        <v/>
      </c>
    </row>
    <row r="973" customFormat="false" ht="15" hidden="false" customHeight="false" outlineLevel="0" collapsed="false">
      <c r="I973" s="15" t="str">
        <f aca="false">IF(A973="","",INT(A973))</f>
        <v/>
      </c>
      <c r="J973" s="16" t="str">
        <f aca="false">IF(B973="","",IF(A973=_xlfn.MINIFS($A$2:$A$5001,$B$2:$B$5001,B973),1,0))</f>
        <v/>
      </c>
      <c r="K973" s="16" t="str">
        <f aca="false">IF(B973="","",IF(AND(D973="Formalização",E973="Concluído"),IF(COUNTIFS($B$2:$B$5001,B973,$E$2:$E$5001,"Em ajustes",$A$2:$A$5001,"&lt;"&amp;I973)&gt;0,1,0),0))</f>
        <v/>
      </c>
      <c r="L973" s="16" t="str">
        <f aca="false">IF(B973="","",IF(A973=_xlfn.MAXIFS($A$2:$A$5001,$B$2:$B$5001,B973,$I$2:$I$5001,I973),1,0))</f>
        <v/>
      </c>
    </row>
    <row r="974" customFormat="false" ht="15" hidden="false" customHeight="false" outlineLevel="0" collapsed="false">
      <c r="I974" s="15" t="str">
        <f aca="false">IF(A974="","",INT(A974))</f>
        <v/>
      </c>
      <c r="J974" s="16" t="str">
        <f aca="false">IF(B974="","",IF(A974=_xlfn.MINIFS($A$2:$A$5001,$B$2:$B$5001,B974),1,0))</f>
        <v/>
      </c>
      <c r="K974" s="16" t="str">
        <f aca="false">IF(B974="","",IF(AND(D974="Formalização",E974="Concluído"),IF(COUNTIFS($B$2:$B$5001,B974,$E$2:$E$5001,"Em ajustes",$A$2:$A$5001,"&lt;"&amp;I974)&gt;0,1,0),0))</f>
        <v/>
      </c>
      <c r="L974" s="16" t="str">
        <f aca="false">IF(B974="","",IF(A974=_xlfn.MAXIFS($A$2:$A$5001,$B$2:$B$5001,B974,$I$2:$I$5001,I974),1,0))</f>
        <v/>
      </c>
    </row>
    <row r="975" customFormat="false" ht="15" hidden="false" customHeight="false" outlineLevel="0" collapsed="false">
      <c r="I975" s="15" t="str">
        <f aca="false">IF(A975="","",INT(A975))</f>
        <v/>
      </c>
      <c r="J975" s="16" t="str">
        <f aca="false">IF(B975="","",IF(A975=_xlfn.MINIFS($A$2:$A$5001,$B$2:$B$5001,B975),1,0))</f>
        <v/>
      </c>
      <c r="K975" s="16" t="str">
        <f aca="false">IF(B975="","",IF(AND(D975="Formalização",E975="Concluído"),IF(COUNTIFS($B$2:$B$5001,B975,$E$2:$E$5001,"Em ajustes",$A$2:$A$5001,"&lt;"&amp;I975)&gt;0,1,0),0))</f>
        <v/>
      </c>
      <c r="L975" s="16" t="str">
        <f aca="false">IF(B975="","",IF(A975=_xlfn.MAXIFS($A$2:$A$5001,$B$2:$B$5001,B975,$I$2:$I$5001,I975),1,0))</f>
        <v/>
      </c>
    </row>
    <row r="976" customFormat="false" ht="15" hidden="false" customHeight="false" outlineLevel="0" collapsed="false">
      <c r="I976" s="15" t="str">
        <f aca="false">IF(A976="","",INT(A976))</f>
        <v/>
      </c>
      <c r="J976" s="16" t="str">
        <f aca="false">IF(B976="","",IF(A976=_xlfn.MINIFS($A$2:$A$5001,$B$2:$B$5001,B976),1,0))</f>
        <v/>
      </c>
      <c r="K976" s="16" t="str">
        <f aca="false">IF(B976="","",IF(AND(D976="Formalização",E976="Concluído"),IF(COUNTIFS($B$2:$B$5001,B976,$E$2:$E$5001,"Em ajustes",$A$2:$A$5001,"&lt;"&amp;I976)&gt;0,1,0),0))</f>
        <v/>
      </c>
      <c r="L976" s="16" t="str">
        <f aca="false">IF(B976="","",IF(A976=_xlfn.MAXIFS($A$2:$A$5001,$B$2:$B$5001,B976,$I$2:$I$5001,I976),1,0))</f>
        <v/>
      </c>
    </row>
    <row r="977" customFormat="false" ht="15" hidden="false" customHeight="false" outlineLevel="0" collapsed="false">
      <c r="I977" s="15" t="str">
        <f aca="false">IF(A977="","",INT(A977))</f>
        <v/>
      </c>
      <c r="J977" s="16" t="str">
        <f aca="false">IF(B977="","",IF(A977=_xlfn.MINIFS($A$2:$A$5001,$B$2:$B$5001,B977),1,0))</f>
        <v/>
      </c>
      <c r="K977" s="16" t="str">
        <f aca="false">IF(B977="","",IF(AND(D977="Formalização",E977="Concluído"),IF(COUNTIFS($B$2:$B$5001,B977,$E$2:$E$5001,"Em ajustes",$A$2:$A$5001,"&lt;"&amp;I977)&gt;0,1,0),0))</f>
        <v/>
      </c>
      <c r="L977" s="16" t="str">
        <f aca="false">IF(B977="","",IF(A977=_xlfn.MAXIFS($A$2:$A$5001,$B$2:$B$5001,B977,$I$2:$I$5001,I977),1,0))</f>
        <v/>
      </c>
    </row>
    <row r="978" customFormat="false" ht="15" hidden="false" customHeight="false" outlineLevel="0" collapsed="false">
      <c r="I978" s="15" t="str">
        <f aca="false">IF(A978="","",INT(A978))</f>
        <v/>
      </c>
      <c r="J978" s="16" t="str">
        <f aca="false">IF(B978="","",IF(A978=_xlfn.MINIFS($A$2:$A$5001,$B$2:$B$5001,B978),1,0))</f>
        <v/>
      </c>
      <c r="K978" s="16" t="str">
        <f aca="false">IF(B978="","",IF(AND(D978="Formalização",E978="Concluído"),IF(COUNTIFS($B$2:$B$5001,B978,$E$2:$E$5001,"Em ajustes",$A$2:$A$5001,"&lt;"&amp;I978)&gt;0,1,0),0))</f>
        <v/>
      </c>
      <c r="L978" s="16" t="str">
        <f aca="false">IF(B978="","",IF(A978=_xlfn.MAXIFS($A$2:$A$5001,$B$2:$B$5001,B978,$I$2:$I$5001,I978),1,0))</f>
        <v/>
      </c>
    </row>
    <row r="979" customFormat="false" ht="15" hidden="false" customHeight="false" outlineLevel="0" collapsed="false">
      <c r="I979" s="15" t="str">
        <f aca="false">IF(A979="","",INT(A979))</f>
        <v/>
      </c>
      <c r="J979" s="16" t="str">
        <f aca="false">IF(B979="","",IF(A979=_xlfn.MINIFS($A$2:$A$5001,$B$2:$B$5001,B979),1,0))</f>
        <v/>
      </c>
      <c r="K979" s="16" t="str">
        <f aca="false">IF(B979="","",IF(AND(D979="Formalização",E979="Concluído"),IF(COUNTIFS($B$2:$B$5001,B979,$E$2:$E$5001,"Em ajustes",$A$2:$A$5001,"&lt;"&amp;I979)&gt;0,1,0),0))</f>
        <v/>
      </c>
      <c r="L979" s="16" t="str">
        <f aca="false">IF(B979="","",IF(A979=_xlfn.MAXIFS($A$2:$A$5001,$B$2:$B$5001,B979,$I$2:$I$5001,I979),1,0))</f>
        <v/>
      </c>
    </row>
    <row r="980" customFormat="false" ht="15" hidden="false" customHeight="false" outlineLevel="0" collapsed="false">
      <c r="I980" s="15" t="str">
        <f aca="false">IF(A980="","",INT(A980))</f>
        <v/>
      </c>
      <c r="J980" s="16" t="str">
        <f aca="false">IF(B980="","",IF(A980=_xlfn.MINIFS($A$2:$A$5001,$B$2:$B$5001,B980),1,0))</f>
        <v/>
      </c>
      <c r="K980" s="16" t="str">
        <f aca="false">IF(B980="","",IF(AND(D980="Formalização",E980="Concluído"),IF(COUNTIFS($B$2:$B$5001,B980,$E$2:$E$5001,"Em ajustes",$A$2:$A$5001,"&lt;"&amp;I980)&gt;0,1,0),0))</f>
        <v/>
      </c>
      <c r="L980" s="16" t="str">
        <f aca="false">IF(B980="","",IF(A980=_xlfn.MAXIFS($A$2:$A$5001,$B$2:$B$5001,B980,$I$2:$I$5001,I980),1,0))</f>
        <v/>
      </c>
    </row>
    <row r="981" customFormat="false" ht="15" hidden="false" customHeight="false" outlineLevel="0" collapsed="false">
      <c r="I981" s="15" t="str">
        <f aca="false">IF(A981="","",INT(A981))</f>
        <v/>
      </c>
      <c r="J981" s="16" t="str">
        <f aca="false">IF(B981="","",IF(A981=_xlfn.MINIFS($A$2:$A$5001,$B$2:$B$5001,B981),1,0))</f>
        <v/>
      </c>
      <c r="K981" s="16" t="str">
        <f aca="false">IF(B981="","",IF(AND(D981="Formalização",E981="Concluído"),IF(COUNTIFS($B$2:$B$5001,B981,$E$2:$E$5001,"Em ajustes",$A$2:$A$5001,"&lt;"&amp;I981)&gt;0,1,0),0))</f>
        <v/>
      </c>
      <c r="L981" s="16" t="str">
        <f aca="false">IF(B981="","",IF(A981=_xlfn.MAXIFS($A$2:$A$5001,$B$2:$B$5001,B981,$I$2:$I$5001,I981),1,0))</f>
        <v/>
      </c>
    </row>
    <row r="982" customFormat="false" ht="15" hidden="false" customHeight="false" outlineLevel="0" collapsed="false">
      <c r="I982" s="15" t="str">
        <f aca="false">IF(A982="","",INT(A982))</f>
        <v/>
      </c>
      <c r="J982" s="16" t="str">
        <f aca="false">IF(B982="","",IF(A982=_xlfn.MINIFS($A$2:$A$5001,$B$2:$B$5001,B982),1,0))</f>
        <v/>
      </c>
      <c r="K982" s="16" t="str">
        <f aca="false">IF(B982="","",IF(AND(D982="Formalização",E982="Concluído"),IF(COUNTIFS($B$2:$B$5001,B982,$E$2:$E$5001,"Em ajustes",$A$2:$A$5001,"&lt;"&amp;I982)&gt;0,1,0),0))</f>
        <v/>
      </c>
      <c r="L982" s="16" t="str">
        <f aca="false">IF(B982="","",IF(A982=_xlfn.MAXIFS($A$2:$A$5001,$B$2:$B$5001,B982,$I$2:$I$5001,I982),1,0))</f>
        <v/>
      </c>
    </row>
    <row r="983" customFormat="false" ht="15" hidden="false" customHeight="false" outlineLevel="0" collapsed="false">
      <c r="I983" s="15" t="str">
        <f aca="false">IF(A983="","",INT(A983))</f>
        <v/>
      </c>
      <c r="J983" s="16" t="str">
        <f aca="false">IF(B983="","",IF(A983=_xlfn.MINIFS($A$2:$A$5001,$B$2:$B$5001,B983),1,0))</f>
        <v/>
      </c>
      <c r="K983" s="16" t="str">
        <f aca="false">IF(B983="","",IF(AND(D983="Formalização",E983="Concluído"),IF(COUNTIFS($B$2:$B$5001,B983,$E$2:$E$5001,"Em ajustes",$A$2:$A$5001,"&lt;"&amp;I983)&gt;0,1,0),0))</f>
        <v/>
      </c>
      <c r="L983" s="16" t="str">
        <f aca="false">IF(B983="","",IF(A983=_xlfn.MAXIFS($A$2:$A$5001,$B$2:$B$5001,B983,$I$2:$I$5001,I983),1,0))</f>
        <v/>
      </c>
    </row>
    <row r="984" customFormat="false" ht="15" hidden="false" customHeight="false" outlineLevel="0" collapsed="false">
      <c r="I984" s="15" t="str">
        <f aca="false">IF(A984="","",INT(A984))</f>
        <v/>
      </c>
      <c r="J984" s="16" t="str">
        <f aca="false">IF(B984="","",IF(A984=_xlfn.MINIFS($A$2:$A$5001,$B$2:$B$5001,B984),1,0))</f>
        <v/>
      </c>
      <c r="K984" s="16" t="str">
        <f aca="false">IF(B984="","",IF(AND(D984="Formalização",E984="Concluído"),IF(COUNTIFS($B$2:$B$5001,B984,$E$2:$E$5001,"Em ajustes",$A$2:$A$5001,"&lt;"&amp;I984)&gt;0,1,0),0))</f>
        <v/>
      </c>
      <c r="L984" s="16" t="str">
        <f aca="false">IF(B984="","",IF(A984=_xlfn.MAXIFS($A$2:$A$5001,$B$2:$B$5001,B984,$I$2:$I$5001,I984),1,0))</f>
        <v/>
      </c>
    </row>
    <row r="985" customFormat="false" ht="15" hidden="false" customHeight="false" outlineLevel="0" collapsed="false">
      <c r="I985" s="15" t="str">
        <f aca="false">IF(A985="","",INT(A985))</f>
        <v/>
      </c>
      <c r="J985" s="16" t="str">
        <f aca="false">IF(B985="","",IF(A985=_xlfn.MINIFS($A$2:$A$5001,$B$2:$B$5001,B985),1,0))</f>
        <v/>
      </c>
      <c r="K985" s="16" t="str">
        <f aca="false">IF(B985="","",IF(AND(D985="Formalização",E985="Concluído"),IF(COUNTIFS($B$2:$B$5001,B985,$E$2:$E$5001,"Em ajustes",$A$2:$A$5001,"&lt;"&amp;I985)&gt;0,1,0),0))</f>
        <v/>
      </c>
      <c r="L985" s="16" t="str">
        <f aca="false">IF(B985="","",IF(A985=_xlfn.MAXIFS($A$2:$A$5001,$B$2:$B$5001,B985,$I$2:$I$5001,I985),1,0))</f>
        <v/>
      </c>
    </row>
    <row r="986" customFormat="false" ht="15" hidden="false" customHeight="false" outlineLevel="0" collapsed="false">
      <c r="I986" s="15" t="str">
        <f aca="false">IF(A986="","",INT(A986))</f>
        <v/>
      </c>
      <c r="J986" s="16" t="str">
        <f aca="false">IF(B986="","",IF(A986=_xlfn.MINIFS($A$2:$A$5001,$B$2:$B$5001,B986),1,0))</f>
        <v/>
      </c>
      <c r="K986" s="16" t="str">
        <f aca="false">IF(B986="","",IF(AND(D986="Formalização",E986="Concluído"),IF(COUNTIFS($B$2:$B$5001,B986,$E$2:$E$5001,"Em ajustes",$A$2:$A$5001,"&lt;"&amp;I986)&gt;0,1,0),0))</f>
        <v/>
      </c>
      <c r="L986" s="16" t="str">
        <f aca="false">IF(B986="","",IF(A986=_xlfn.MAXIFS($A$2:$A$5001,$B$2:$B$5001,B986,$I$2:$I$5001,I986),1,0))</f>
        <v/>
      </c>
    </row>
    <row r="987" customFormat="false" ht="15" hidden="false" customHeight="false" outlineLevel="0" collapsed="false">
      <c r="I987" s="15" t="str">
        <f aca="false">IF(A987="","",INT(A987))</f>
        <v/>
      </c>
      <c r="J987" s="16" t="str">
        <f aca="false">IF(B987="","",IF(A987=_xlfn.MINIFS($A$2:$A$5001,$B$2:$B$5001,B987),1,0))</f>
        <v/>
      </c>
      <c r="K987" s="16" t="str">
        <f aca="false">IF(B987="","",IF(AND(D987="Formalização",E987="Concluído"),IF(COUNTIFS($B$2:$B$5001,B987,$E$2:$E$5001,"Em ajustes",$A$2:$A$5001,"&lt;"&amp;I987)&gt;0,1,0),0))</f>
        <v/>
      </c>
      <c r="L987" s="16" t="str">
        <f aca="false">IF(B987="","",IF(A987=_xlfn.MAXIFS($A$2:$A$5001,$B$2:$B$5001,B987,$I$2:$I$5001,I987),1,0))</f>
        <v/>
      </c>
    </row>
    <row r="988" customFormat="false" ht="15" hidden="false" customHeight="false" outlineLevel="0" collapsed="false">
      <c r="I988" s="15" t="str">
        <f aca="false">IF(A988="","",INT(A988))</f>
        <v/>
      </c>
      <c r="J988" s="16" t="str">
        <f aca="false">IF(B988="","",IF(A988=_xlfn.MINIFS($A$2:$A$5001,$B$2:$B$5001,B988),1,0))</f>
        <v/>
      </c>
      <c r="K988" s="16" t="str">
        <f aca="false">IF(B988="","",IF(AND(D988="Formalização",E988="Concluído"),IF(COUNTIFS($B$2:$B$5001,B988,$E$2:$E$5001,"Em ajustes",$A$2:$A$5001,"&lt;"&amp;I988)&gt;0,1,0),0))</f>
        <v/>
      </c>
      <c r="L988" s="16" t="str">
        <f aca="false">IF(B988="","",IF(A988=_xlfn.MAXIFS($A$2:$A$5001,$B$2:$B$5001,B988,$I$2:$I$5001,I988),1,0))</f>
        <v/>
      </c>
    </row>
    <row r="989" customFormat="false" ht="15" hidden="false" customHeight="false" outlineLevel="0" collapsed="false">
      <c r="I989" s="15" t="str">
        <f aca="false">IF(A989="","",INT(A989))</f>
        <v/>
      </c>
      <c r="J989" s="16" t="str">
        <f aca="false">IF(B989="","",IF(A989=_xlfn.MINIFS($A$2:$A$5001,$B$2:$B$5001,B989),1,0))</f>
        <v/>
      </c>
      <c r="K989" s="16" t="str">
        <f aca="false">IF(B989="","",IF(AND(D989="Formalização",E989="Concluído"),IF(COUNTIFS($B$2:$B$5001,B989,$E$2:$E$5001,"Em ajustes",$A$2:$A$5001,"&lt;"&amp;I989)&gt;0,1,0),0))</f>
        <v/>
      </c>
      <c r="L989" s="16" t="str">
        <f aca="false">IF(B989="","",IF(A989=_xlfn.MAXIFS($A$2:$A$5001,$B$2:$B$5001,B989,$I$2:$I$5001,I989),1,0))</f>
        <v/>
      </c>
    </row>
    <row r="990" customFormat="false" ht="15" hidden="false" customHeight="false" outlineLevel="0" collapsed="false">
      <c r="I990" s="15" t="str">
        <f aca="false">IF(A990="","",INT(A990))</f>
        <v/>
      </c>
      <c r="J990" s="16" t="str">
        <f aca="false">IF(B990="","",IF(A990=_xlfn.MINIFS($A$2:$A$5001,$B$2:$B$5001,B990),1,0))</f>
        <v/>
      </c>
      <c r="K990" s="16" t="str">
        <f aca="false">IF(B990="","",IF(AND(D990="Formalização",E990="Concluído"),IF(COUNTIFS($B$2:$B$5001,B990,$E$2:$E$5001,"Em ajustes",$A$2:$A$5001,"&lt;"&amp;I990)&gt;0,1,0),0))</f>
        <v/>
      </c>
      <c r="L990" s="16" t="str">
        <f aca="false">IF(B990="","",IF(A990=_xlfn.MAXIFS($A$2:$A$5001,$B$2:$B$5001,B990,$I$2:$I$5001,I990),1,0))</f>
        <v/>
      </c>
    </row>
    <row r="991" customFormat="false" ht="15" hidden="false" customHeight="false" outlineLevel="0" collapsed="false">
      <c r="I991" s="15" t="str">
        <f aca="false">IF(A991="","",INT(A991))</f>
        <v/>
      </c>
      <c r="J991" s="16" t="str">
        <f aca="false">IF(B991="","",IF(A991=_xlfn.MINIFS($A$2:$A$5001,$B$2:$B$5001,B991),1,0))</f>
        <v/>
      </c>
      <c r="K991" s="16" t="str">
        <f aca="false">IF(B991="","",IF(AND(D991="Formalização",E991="Concluído"),IF(COUNTIFS($B$2:$B$5001,B991,$E$2:$E$5001,"Em ajustes",$A$2:$A$5001,"&lt;"&amp;I991)&gt;0,1,0),0))</f>
        <v/>
      </c>
      <c r="L991" s="16" t="str">
        <f aca="false">IF(B991="","",IF(A991=_xlfn.MAXIFS($A$2:$A$5001,$B$2:$B$5001,B991,$I$2:$I$5001,I991),1,0))</f>
        <v/>
      </c>
    </row>
    <row r="992" customFormat="false" ht="15" hidden="false" customHeight="false" outlineLevel="0" collapsed="false">
      <c r="I992" s="15" t="str">
        <f aca="false">IF(A992="","",INT(A992))</f>
        <v/>
      </c>
      <c r="J992" s="16" t="str">
        <f aca="false">IF(B992="","",IF(A992=_xlfn.MINIFS($A$2:$A$5001,$B$2:$B$5001,B992),1,0))</f>
        <v/>
      </c>
      <c r="K992" s="16" t="str">
        <f aca="false">IF(B992="","",IF(AND(D992="Formalização",E992="Concluído"),IF(COUNTIFS($B$2:$B$5001,B992,$E$2:$E$5001,"Em ajustes",$A$2:$A$5001,"&lt;"&amp;I992)&gt;0,1,0),0))</f>
        <v/>
      </c>
      <c r="L992" s="16" t="str">
        <f aca="false">IF(B992="","",IF(A992=_xlfn.MAXIFS($A$2:$A$5001,$B$2:$B$5001,B992,$I$2:$I$5001,I992),1,0))</f>
        <v/>
      </c>
    </row>
    <row r="993" customFormat="false" ht="15" hidden="false" customHeight="false" outlineLevel="0" collapsed="false">
      <c r="I993" s="15" t="str">
        <f aca="false">IF(A993="","",INT(A993))</f>
        <v/>
      </c>
      <c r="J993" s="16" t="str">
        <f aca="false">IF(B993="","",IF(A993=_xlfn.MINIFS($A$2:$A$5001,$B$2:$B$5001,B993),1,0))</f>
        <v/>
      </c>
      <c r="K993" s="16" t="str">
        <f aca="false">IF(B993="","",IF(AND(D993="Formalização",E993="Concluído"),IF(COUNTIFS($B$2:$B$5001,B993,$E$2:$E$5001,"Em ajustes",$A$2:$A$5001,"&lt;"&amp;I993)&gt;0,1,0),0))</f>
        <v/>
      </c>
      <c r="L993" s="16" t="str">
        <f aca="false">IF(B993="","",IF(A993=_xlfn.MAXIFS($A$2:$A$5001,$B$2:$B$5001,B993,$I$2:$I$5001,I993),1,0))</f>
        <v/>
      </c>
    </row>
    <row r="994" customFormat="false" ht="15" hidden="false" customHeight="false" outlineLevel="0" collapsed="false">
      <c r="I994" s="15" t="str">
        <f aca="false">IF(A994="","",INT(A994))</f>
        <v/>
      </c>
      <c r="J994" s="16" t="str">
        <f aca="false">IF(B994="","",IF(A994=_xlfn.MINIFS($A$2:$A$5001,$B$2:$B$5001,B994),1,0))</f>
        <v/>
      </c>
      <c r="K994" s="16" t="str">
        <f aca="false">IF(B994="","",IF(AND(D994="Formalização",E994="Concluído"),IF(COUNTIFS($B$2:$B$5001,B994,$E$2:$E$5001,"Em ajustes",$A$2:$A$5001,"&lt;"&amp;I994)&gt;0,1,0),0))</f>
        <v/>
      </c>
      <c r="L994" s="16" t="str">
        <f aca="false">IF(B994="","",IF(A994=_xlfn.MAXIFS($A$2:$A$5001,$B$2:$B$5001,B994,$I$2:$I$5001,I994),1,0))</f>
        <v/>
      </c>
    </row>
    <row r="995" customFormat="false" ht="15" hidden="false" customHeight="false" outlineLevel="0" collapsed="false">
      <c r="I995" s="15" t="str">
        <f aca="false">IF(A995="","",INT(A995))</f>
        <v/>
      </c>
      <c r="J995" s="16" t="str">
        <f aca="false">IF(B995="","",IF(A995=_xlfn.MINIFS($A$2:$A$5001,$B$2:$B$5001,B995),1,0))</f>
        <v/>
      </c>
      <c r="K995" s="16" t="str">
        <f aca="false">IF(B995="","",IF(AND(D995="Formalização",E995="Concluído"),IF(COUNTIFS($B$2:$B$5001,B995,$E$2:$E$5001,"Em ajustes",$A$2:$A$5001,"&lt;"&amp;I995)&gt;0,1,0),0))</f>
        <v/>
      </c>
      <c r="L995" s="16" t="str">
        <f aca="false">IF(B995="","",IF(A995=_xlfn.MAXIFS($A$2:$A$5001,$B$2:$B$5001,B995,$I$2:$I$5001,I995),1,0))</f>
        <v/>
      </c>
    </row>
    <row r="996" customFormat="false" ht="15" hidden="false" customHeight="false" outlineLevel="0" collapsed="false">
      <c r="I996" s="15" t="str">
        <f aca="false">IF(A996="","",INT(A996))</f>
        <v/>
      </c>
      <c r="J996" s="16" t="str">
        <f aca="false">IF(B996="","",IF(A996=_xlfn.MINIFS($A$2:$A$5001,$B$2:$B$5001,B996),1,0))</f>
        <v/>
      </c>
      <c r="K996" s="16" t="str">
        <f aca="false">IF(B996="","",IF(AND(D996="Formalização",E996="Concluído"),IF(COUNTIFS($B$2:$B$5001,B996,$E$2:$E$5001,"Em ajustes",$A$2:$A$5001,"&lt;"&amp;I996)&gt;0,1,0),0))</f>
        <v/>
      </c>
      <c r="L996" s="16" t="str">
        <f aca="false">IF(B996="","",IF(A996=_xlfn.MAXIFS($A$2:$A$5001,$B$2:$B$5001,B996,$I$2:$I$5001,I996),1,0))</f>
        <v/>
      </c>
    </row>
    <row r="997" customFormat="false" ht="15" hidden="false" customHeight="false" outlineLevel="0" collapsed="false">
      <c r="I997" s="15" t="str">
        <f aca="false">IF(A997="","",INT(A997))</f>
        <v/>
      </c>
      <c r="J997" s="16" t="str">
        <f aca="false">IF(B997="","",IF(A997=_xlfn.MINIFS($A$2:$A$5001,$B$2:$B$5001,B997),1,0))</f>
        <v/>
      </c>
      <c r="K997" s="16" t="str">
        <f aca="false">IF(B997="","",IF(AND(D997="Formalização",E997="Concluído"),IF(COUNTIFS($B$2:$B$5001,B997,$E$2:$E$5001,"Em ajustes",$A$2:$A$5001,"&lt;"&amp;I997)&gt;0,1,0),0))</f>
        <v/>
      </c>
      <c r="L997" s="16" t="str">
        <f aca="false">IF(B997="","",IF(A997=_xlfn.MAXIFS($A$2:$A$5001,$B$2:$B$5001,B997,$I$2:$I$5001,I997),1,0))</f>
        <v/>
      </c>
    </row>
    <row r="998" customFormat="false" ht="15" hidden="false" customHeight="false" outlineLevel="0" collapsed="false">
      <c r="I998" s="15" t="str">
        <f aca="false">IF(A998="","",INT(A998))</f>
        <v/>
      </c>
      <c r="J998" s="16" t="str">
        <f aca="false">IF(B998="","",IF(A998=_xlfn.MINIFS($A$2:$A$5001,$B$2:$B$5001,B998),1,0))</f>
        <v/>
      </c>
      <c r="K998" s="16" t="str">
        <f aca="false">IF(B998="","",IF(AND(D998="Formalização",E998="Concluído"),IF(COUNTIFS($B$2:$B$5001,B998,$E$2:$E$5001,"Em ajustes",$A$2:$A$5001,"&lt;"&amp;I998)&gt;0,1,0),0))</f>
        <v/>
      </c>
      <c r="L998" s="16" t="str">
        <f aca="false">IF(B998="","",IF(A998=_xlfn.MAXIFS($A$2:$A$5001,$B$2:$B$5001,B998,$I$2:$I$5001,I998),1,0))</f>
        <v/>
      </c>
    </row>
    <row r="999" customFormat="false" ht="15" hidden="false" customHeight="false" outlineLevel="0" collapsed="false">
      <c r="I999" s="15" t="str">
        <f aca="false">IF(A999="","",INT(A999))</f>
        <v/>
      </c>
      <c r="J999" s="16" t="str">
        <f aca="false">IF(B999="","",IF(A999=_xlfn.MINIFS($A$2:$A$5001,$B$2:$B$5001,B999),1,0))</f>
        <v/>
      </c>
      <c r="K999" s="16" t="str">
        <f aca="false">IF(B999="","",IF(AND(D999="Formalização",E999="Concluído"),IF(COUNTIFS($B$2:$B$5001,B999,$E$2:$E$5001,"Em ajustes",$A$2:$A$5001,"&lt;"&amp;I999)&gt;0,1,0),0))</f>
        <v/>
      </c>
      <c r="L999" s="16" t="str">
        <f aca="false">IF(B999="","",IF(A999=_xlfn.MAXIFS($A$2:$A$5001,$B$2:$B$5001,B999,$I$2:$I$5001,I999),1,0))</f>
        <v/>
      </c>
    </row>
    <row r="1000" customFormat="false" ht="15" hidden="false" customHeight="false" outlineLevel="0" collapsed="false">
      <c r="I1000" s="15" t="str">
        <f aca="false">IF(A1000="","",INT(A1000))</f>
        <v/>
      </c>
      <c r="J1000" s="16" t="str">
        <f aca="false">IF(B1000="","",IF(A1000=_xlfn.MINIFS($A$2:$A$5001,$B$2:$B$5001,B1000),1,0))</f>
        <v/>
      </c>
      <c r="K1000" s="16" t="str">
        <f aca="false">IF(B1000="","",IF(AND(D1000="Formalização",E1000="Concluído"),IF(COUNTIFS($B$2:$B$5001,B1000,$E$2:$E$5001,"Em ajustes",$A$2:$A$5001,"&lt;"&amp;I1000)&gt;0,1,0),0))</f>
        <v/>
      </c>
      <c r="L1000" s="16" t="str">
        <f aca="false">IF(B1000="","",IF(A1000=_xlfn.MAXIFS($A$2:$A$5001,$B$2:$B$5001,B1000,$I$2:$I$5001,I1000),1,0))</f>
        <v/>
      </c>
    </row>
    <row r="1001" customFormat="false" ht="15" hidden="false" customHeight="false" outlineLevel="0" collapsed="false">
      <c r="I1001" s="15" t="str">
        <f aca="false">IF(A1001="","",INT(A1001))</f>
        <v/>
      </c>
      <c r="J1001" s="16" t="str">
        <f aca="false">IF(B1001="","",IF(A1001=_xlfn.MINIFS($A$2:$A$5001,$B$2:$B$5001,B1001),1,0))</f>
        <v/>
      </c>
      <c r="K1001" s="16" t="str">
        <f aca="false">IF(B1001="","",IF(AND(D1001="Formalização",E1001="Concluído"),IF(COUNTIFS($B$2:$B$5001,B1001,$E$2:$E$5001,"Em ajustes",$A$2:$A$5001,"&lt;"&amp;I1001)&gt;0,1,0),0))</f>
        <v/>
      </c>
      <c r="L1001" s="16" t="str">
        <f aca="false">IF(B1001="","",IF(A1001=_xlfn.MAXIFS($A$2:$A$5001,$B$2:$B$5001,B1001,$I$2:$I$5001,I1001),1,0))</f>
        <v/>
      </c>
    </row>
    <row r="1002" customFormat="false" ht="15" hidden="false" customHeight="false" outlineLevel="0" collapsed="false">
      <c r="I1002" s="15" t="str">
        <f aca="false">IF(A1002="","",INT(A1002))</f>
        <v/>
      </c>
      <c r="J1002" s="16" t="str">
        <f aca="false">IF(B1002="","",IF(A1002=_xlfn.MINIFS($A$2:$A$5001,$B$2:$B$5001,B1002),1,0))</f>
        <v/>
      </c>
      <c r="K1002" s="16" t="str">
        <f aca="false">IF(B1002="","",IF(AND(D1002="Formalização",E1002="Concluído"),IF(COUNTIFS($B$2:$B$5001,B1002,$E$2:$E$5001,"Em ajustes",$A$2:$A$5001,"&lt;"&amp;I1002)&gt;0,1,0),0))</f>
        <v/>
      </c>
      <c r="L1002" s="16" t="str">
        <f aca="false">IF(B1002="","",IF(A1002=_xlfn.MAXIFS($A$2:$A$5001,$B$2:$B$5001,B1002,$I$2:$I$5001,I1002),1,0))</f>
        <v/>
      </c>
    </row>
    <row r="1003" customFormat="false" ht="15" hidden="false" customHeight="false" outlineLevel="0" collapsed="false">
      <c r="I1003" s="15" t="str">
        <f aca="false">IF(A1003="","",INT(A1003))</f>
        <v/>
      </c>
      <c r="J1003" s="16" t="str">
        <f aca="false">IF(B1003="","",IF(A1003=_xlfn.MINIFS($A$2:$A$5001,$B$2:$B$5001,B1003),1,0))</f>
        <v/>
      </c>
      <c r="K1003" s="16" t="str">
        <f aca="false">IF(B1003="","",IF(AND(D1003="Formalização",E1003="Concluído"),IF(COUNTIFS($B$2:$B$5001,B1003,$E$2:$E$5001,"Em ajustes",$A$2:$A$5001,"&lt;"&amp;I1003)&gt;0,1,0),0))</f>
        <v/>
      </c>
      <c r="L1003" s="16" t="str">
        <f aca="false">IF(B1003="","",IF(A1003=_xlfn.MAXIFS($A$2:$A$5001,$B$2:$B$5001,B1003,$I$2:$I$5001,I1003),1,0))</f>
        <v/>
      </c>
    </row>
    <row r="1004" customFormat="false" ht="15" hidden="false" customHeight="false" outlineLevel="0" collapsed="false">
      <c r="I1004" s="15" t="str">
        <f aca="false">IF(A1004="","",INT(A1004))</f>
        <v/>
      </c>
      <c r="J1004" s="16" t="str">
        <f aca="false">IF(B1004="","",IF(A1004=_xlfn.MINIFS($A$2:$A$5001,$B$2:$B$5001,B1004),1,0))</f>
        <v/>
      </c>
      <c r="K1004" s="16" t="str">
        <f aca="false">IF(B1004="","",IF(AND(D1004="Formalização",E1004="Concluído"),IF(COUNTIFS($B$2:$B$5001,B1004,$E$2:$E$5001,"Em ajustes",$A$2:$A$5001,"&lt;"&amp;I1004)&gt;0,1,0),0))</f>
        <v/>
      </c>
      <c r="L1004" s="16" t="str">
        <f aca="false">IF(B1004="","",IF(A1004=_xlfn.MAXIFS($A$2:$A$5001,$B$2:$B$5001,B1004,$I$2:$I$5001,I1004),1,0))</f>
        <v/>
      </c>
    </row>
    <row r="1005" customFormat="false" ht="15" hidden="false" customHeight="false" outlineLevel="0" collapsed="false">
      <c r="I1005" s="15" t="str">
        <f aca="false">IF(A1005="","",INT(A1005))</f>
        <v/>
      </c>
      <c r="J1005" s="16" t="str">
        <f aca="false">IF(B1005="","",IF(A1005=_xlfn.MINIFS($A$2:$A$5001,$B$2:$B$5001,B1005),1,0))</f>
        <v/>
      </c>
      <c r="K1005" s="16" t="str">
        <f aca="false">IF(B1005="","",IF(AND(D1005="Formalização",E1005="Concluído"),IF(COUNTIFS($B$2:$B$5001,B1005,$E$2:$E$5001,"Em ajustes",$A$2:$A$5001,"&lt;"&amp;I1005)&gt;0,1,0),0))</f>
        <v/>
      </c>
      <c r="L1005" s="16" t="str">
        <f aca="false">IF(B1005="","",IF(A1005=_xlfn.MAXIFS($A$2:$A$5001,$B$2:$B$5001,B1005,$I$2:$I$5001,I1005),1,0))</f>
        <v/>
      </c>
    </row>
    <row r="1006" customFormat="false" ht="15" hidden="false" customHeight="false" outlineLevel="0" collapsed="false">
      <c r="I1006" s="15" t="str">
        <f aca="false">IF(A1006="","",INT(A1006))</f>
        <v/>
      </c>
      <c r="J1006" s="16" t="str">
        <f aca="false">IF(B1006="","",IF(A1006=_xlfn.MINIFS($A$2:$A$5001,$B$2:$B$5001,B1006),1,0))</f>
        <v/>
      </c>
      <c r="K1006" s="16" t="str">
        <f aca="false">IF(B1006="","",IF(AND(D1006="Formalização",E1006="Concluído"),IF(COUNTIFS($B$2:$B$5001,B1006,$E$2:$E$5001,"Em ajustes",$A$2:$A$5001,"&lt;"&amp;I1006)&gt;0,1,0),0))</f>
        <v/>
      </c>
      <c r="L1006" s="16" t="str">
        <f aca="false">IF(B1006="","",IF(A1006=_xlfn.MAXIFS($A$2:$A$5001,$B$2:$B$5001,B1006,$I$2:$I$5001,I1006),1,0))</f>
        <v/>
      </c>
    </row>
    <row r="1007" customFormat="false" ht="15" hidden="false" customHeight="false" outlineLevel="0" collapsed="false">
      <c r="I1007" s="15" t="str">
        <f aca="false">IF(A1007="","",INT(A1007))</f>
        <v/>
      </c>
      <c r="J1007" s="16" t="str">
        <f aca="false">IF(B1007="","",IF(A1007=_xlfn.MINIFS($A$2:$A$5001,$B$2:$B$5001,B1007),1,0))</f>
        <v/>
      </c>
      <c r="K1007" s="16" t="str">
        <f aca="false">IF(B1007="","",IF(AND(D1007="Formalização",E1007="Concluído"),IF(COUNTIFS($B$2:$B$5001,B1007,$E$2:$E$5001,"Em ajustes",$A$2:$A$5001,"&lt;"&amp;I1007)&gt;0,1,0),0))</f>
        <v/>
      </c>
      <c r="L1007" s="16" t="str">
        <f aca="false">IF(B1007="","",IF(A1007=_xlfn.MAXIFS($A$2:$A$5001,$B$2:$B$5001,B1007,$I$2:$I$5001,I1007),1,0))</f>
        <v/>
      </c>
    </row>
    <row r="1008" customFormat="false" ht="15" hidden="false" customHeight="false" outlineLevel="0" collapsed="false">
      <c r="I1008" s="15" t="str">
        <f aca="false">IF(A1008="","",INT(A1008))</f>
        <v/>
      </c>
      <c r="J1008" s="16" t="str">
        <f aca="false">IF(B1008="","",IF(A1008=_xlfn.MINIFS($A$2:$A$5001,$B$2:$B$5001,B1008),1,0))</f>
        <v/>
      </c>
      <c r="K1008" s="16" t="str">
        <f aca="false">IF(B1008="","",IF(AND(D1008="Formalização",E1008="Concluído"),IF(COUNTIFS($B$2:$B$5001,B1008,$E$2:$E$5001,"Em ajustes",$A$2:$A$5001,"&lt;"&amp;I1008)&gt;0,1,0),0))</f>
        <v/>
      </c>
      <c r="L1008" s="16" t="str">
        <f aca="false">IF(B1008="","",IF(A1008=_xlfn.MAXIFS($A$2:$A$5001,$B$2:$B$5001,B1008,$I$2:$I$5001,I1008),1,0))</f>
        <v/>
      </c>
    </row>
    <row r="1009" customFormat="false" ht="15" hidden="false" customHeight="false" outlineLevel="0" collapsed="false">
      <c r="I1009" s="15" t="str">
        <f aca="false">IF(A1009="","",INT(A1009))</f>
        <v/>
      </c>
      <c r="J1009" s="16" t="str">
        <f aca="false">IF(B1009="","",IF(A1009=_xlfn.MINIFS($A$2:$A$5001,$B$2:$B$5001,B1009),1,0))</f>
        <v/>
      </c>
      <c r="K1009" s="16" t="str">
        <f aca="false">IF(B1009="","",IF(AND(D1009="Formalização",E1009="Concluído"),IF(COUNTIFS($B$2:$B$5001,B1009,$E$2:$E$5001,"Em ajustes",$A$2:$A$5001,"&lt;"&amp;I1009)&gt;0,1,0),0))</f>
        <v/>
      </c>
      <c r="L1009" s="16" t="str">
        <f aca="false">IF(B1009="","",IF(A1009=_xlfn.MAXIFS($A$2:$A$5001,$B$2:$B$5001,B1009,$I$2:$I$5001,I1009),1,0))</f>
        <v/>
      </c>
    </row>
    <row r="1010" customFormat="false" ht="15" hidden="false" customHeight="false" outlineLevel="0" collapsed="false">
      <c r="I1010" s="15" t="str">
        <f aca="false">IF(A1010="","",INT(A1010))</f>
        <v/>
      </c>
      <c r="J1010" s="16" t="str">
        <f aca="false">IF(B1010="","",IF(A1010=_xlfn.MINIFS($A$2:$A$5001,$B$2:$B$5001,B1010),1,0))</f>
        <v/>
      </c>
      <c r="K1010" s="16" t="str">
        <f aca="false">IF(B1010="","",IF(AND(D1010="Formalização",E1010="Concluído"),IF(COUNTIFS($B$2:$B$5001,B1010,$E$2:$E$5001,"Em ajustes",$A$2:$A$5001,"&lt;"&amp;I1010)&gt;0,1,0),0))</f>
        <v/>
      </c>
      <c r="L1010" s="16" t="str">
        <f aca="false">IF(B1010="","",IF(A1010=_xlfn.MAXIFS($A$2:$A$5001,$B$2:$B$5001,B1010,$I$2:$I$5001,I1010),1,0))</f>
        <v/>
      </c>
    </row>
    <row r="1011" customFormat="false" ht="15" hidden="false" customHeight="false" outlineLevel="0" collapsed="false">
      <c r="I1011" s="15" t="str">
        <f aca="false">IF(A1011="","",INT(A1011))</f>
        <v/>
      </c>
      <c r="J1011" s="16" t="str">
        <f aca="false">IF(B1011="","",IF(A1011=_xlfn.MINIFS($A$2:$A$5001,$B$2:$B$5001,B1011),1,0))</f>
        <v/>
      </c>
      <c r="K1011" s="16" t="str">
        <f aca="false">IF(B1011="","",IF(AND(D1011="Formalização",E1011="Concluído"),IF(COUNTIFS($B$2:$B$5001,B1011,$E$2:$E$5001,"Em ajustes",$A$2:$A$5001,"&lt;"&amp;I1011)&gt;0,1,0),0))</f>
        <v/>
      </c>
      <c r="L1011" s="16" t="str">
        <f aca="false">IF(B1011="","",IF(A1011=_xlfn.MAXIFS($A$2:$A$5001,$B$2:$B$5001,B1011,$I$2:$I$5001,I1011),1,0))</f>
        <v/>
      </c>
    </row>
    <row r="1012" customFormat="false" ht="15" hidden="false" customHeight="false" outlineLevel="0" collapsed="false">
      <c r="I1012" s="15" t="str">
        <f aca="false">IF(A1012="","",INT(A1012))</f>
        <v/>
      </c>
      <c r="J1012" s="16" t="str">
        <f aca="false">IF(B1012="","",IF(A1012=_xlfn.MINIFS($A$2:$A$5001,$B$2:$B$5001,B1012),1,0))</f>
        <v/>
      </c>
      <c r="K1012" s="16" t="str">
        <f aca="false">IF(B1012="","",IF(AND(D1012="Formalização",E1012="Concluído"),IF(COUNTIFS($B$2:$B$5001,B1012,$E$2:$E$5001,"Em ajustes",$A$2:$A$5001,"&lt;"&amp;I1012)&gt;0,1,0),0))</f>
        <v/>
      </c>
      <c r="L1012" s="16" t="str">
        <f aca="false">IF(B1012="","",IF(A1012=_xlfn.MAXIFS($A$2:$A$5001,$B$2:$B$5001,B1012,$I$2:$I$5001,I1012),1,0))</f>
        <v/>
      </c>
    </row>
    <row r="1013" customFormat="false" ht="15" hidden="false" customHeight="false" outlineLevel="0" collapsed="false">
      <c r="I1013" s="15" t="str">
        <f aca="false">IF(A1013="","",INT(A1013))</f>
        <v/>
      </c>
      <c r="J1013" s="16" t="str">
        <f aca="false">IF(B1013="","",IF(A1013=_xlfn.MINIFS($A$2:$A$5001,$B$2:$B$5001,B1013),1,0))</f>
        <v/>
      </c>
      <c r="K1013" s="16" t="str">
        <f aca="false">IF(B1013="","",IF(AND(D1013="Formalização",E1013="Concluído"),IF(COUNTIFS($B$2:$B$5001,B1013,$E$2:$E$5001,"Em ajustes",$A$2:$A$5001,"&lt;"&amp;I1013)&gt;0,1,0),0))</f>
        <v/>
      </c>
      <c r="L1013" s="16" t="str">
        <f aca="false">IF(B1013="","",IF(A1013=_xlfn.MAXIFS($A$2:$A$5001,$B$2:$B$5001,B1013,$I$2:$I$5001,I1013),1,0))</f>
        <v/>
      </c>
    </row>
    <row r="1014" customFormat="false" ht="15" hidden="false" customHeight="false" outlineLevel="0" collapsed="false">
      <c r="I1014" s="15" t="str">
        <f aca="false">IF(A1014="","",INT(A1014))</f>
        <v/>
      </c>
      <c r="J1014" s="16" t="str">
        <f aca="false">IF(B1014="","",IF(A1014=_xlfn.MINIFS($A$2:$A$5001,$B$2:$B$5001,B1014),1,0))</f>
        <v/>
      </c>
      <c r="K1014" s="16" t="str">
        <f aca="false">IF(B1014="","",IF(AND(D1014="Formalização",E1014="Concluído"),IF(COUNTIFS($B$2:$B$5001,B1014,$E$2:$E$5001,"Em ajustes",$A$2:$A$5001,"&lt;"&amp;I1014)&gt;0,1,0),0))</f>
        <v/>
      </c>
      <c r="L1014" s="16" t="str">
        <f aca="false">IF(B1014="","",IF(A1014=_xlfn.MAXIFS($A$2:$A$5001,$B$2:$B$5001,B1014,$I$2:$I$5001,I1014),1,0))</f>
        <v/>
      </c>
    </row>
    <row r="1015" customFormat="false" ht="15" hidden="false" customHeight="false" outlineLevel="0" collapsed="false">
      <c r="I1015" s="15" t="str">
        <f aca="false">IF(A1015="","",INT(A1015))</f>
        <v/>
      </c>
      <c r="J1015" s="16" t="str">
        <f aca="false">IF(B1015="","",IF(A1015=_xlfn.MINIFS($A$2:$A$5001,$B$2:$B$5001,B1015),1,0))</f>
        <v/>
      </c>
      <c r="K1015" s="16" t="str">
        <f aca="false">IF(B1015="","",IF(AND(D1015="Formalização",E1015="Concluído"),IF(COUNTIFS($B$2:$B$5001,B1015,$E$2:$E$5001,"Em ajustes",$A$2:$A$5001,"&lt;"&amp;I1015)&gt;0,1,0),0))</f>
        <v/>
      </c>
      <c r="L1015" s="16" t="str">
        <f aca="false">IF(B1015="","",IF(A1015=_xlfn.MAXIFS($A$2:$A$5001,$B$2:$B$5001,B1015,$I$2:$I$5001,I1015),1,0))</f>
        <v/>
      </c>
    </row>
    <row r="1016" customFormat="false" ht="15" hidden="false" customHeight="false" outlineLevel="0" collapsed="false">
      <c r="I1016" s="15" t="str">
        <f aca="false">IF(A1016="","",INT(A1016))</f>
        <v/>
      </c>
      <c r="J1016" s="16" t="str">
        <f aca="false">IF(B1016="","",IF(A1016=_xlfn.MINIFS($A$2:$A$5001,$B$2:$B$5001,B1016),1,0))</f>
        <v/>
      </c>
      <c r="K1016" s="16" t="str">
        <f aca="false">IF(B1016="","",IF(AND(D1016="Formalização",E1016="Concluído"),IF(COUNTIFS($B$2:$B$5001,B1016,$E$2:$E$5001,"Em ajustes",$A$2:$A$5001,"&lt;"&amp;I1016)&gt;0,1,0),0))</f>
        <v/>
      </c>
      <c r="L1016" s="16" t="str">
        <f aca="false">IF(B1016="","",IF(A1016=_xlfn.MAXIFS($A$2:$A$5001,$B$2:$B$5001,B1016,$I$2:$I$5001,I1016),1,0))</f>
        <v/>
      </c>
    </row>
    <row r="1017" customFormat="false" ht="15" hidden="false" customHeight="false" outlineLevel="0" collapsed="false">
      <c r="I1017" s="15" t="str">
        <f aca="false">IF(A1017="","",INT(A1017))</f>
        <v/>
      </c>
      <c r="J1017" s="16" t="str">
        <f aca="false">IF(B1017="","",IF(A1017=_xlfn.MINIFS($A$2:$A$5001,$B$2:$B$5001,B1017),1,0))</f>
        <v/>
      </c>
      <c r="K1017" s="16" t="str">
        <f aca="false">IF(B1017="","",IF(AND(D1017="Formalização",E1017="Concluído"),IF(COUNTIFS($B$2:$B$5001,B1017,$E$2:$E$5001,"Em ajustes",$A$2:$A$5001,"&lt;"&amp;I1017)&gt;0,1,0),0))</f>
        <v/>
      </c>
      <c r="L1017" s="16" t="str">
        <f aca="false">IF(B1017="","",IF(A1017=_xlfn.MAXIFS($A$2:$A$5001,$B$2:$B$5001,B1017,$I$2:$I$5001,I1017),1,0))</f>
        <v/>
      </c>
    </row>
    <row r="1018" customFormat="false" ht="15" hidden="false" customHeight="false" outlineLevel="0" collapsed="false">
      <c r="I1018" s="15" t="str">
        <f aca="false">IF(A1018="","",INT(A1018))</f>
        <v/>
      </c>
      <c r="J1018" s="16" t="str">
        <f aca="false">IF(B1018="","",IF(A1018=_xlfn.MINIFS($A$2:$A$5001,$B$2:$B$5001,B1018),1,0))</f>
        <v/>
      </c>
      <c r="K1018" s="16" t="str">
        <f aca="false">IF(B1018="","",IF(AND(D1018="Formalização",E1018="Concluído"),IF(COUNTIFS($B$2:$B$5001,B1018,$E$2:$E$5001,"Em ajustes",$A$2:$A$5001,"&lt;"&amp;I1018)&gt;0,1,0),0))</f>
        <v/>
      </c>
      <c r="L1018" s="16" t="str">
        <f aca="false">IF(B1018="","",IF(A1018=_xlfn.MAXIFS($A$2:$A$5001,$B$2:$B$5001,B1018,$I$2:$I$5001,I1018),1,0))</f>
        <v/>
      </c>
    </row>
    <row r="1019" customFormat="false" ht="15" hidden="false" customHeight="false" outlineLevel="0" collapsed="false">
      <c r="I1019" s="15" t="str">
        <f aca="false">IF(A1019="","",INT(A1019))</f>
        <v/>
      </c>
      <c r="J1019" s="16" t="str">
        <f aca="false">IF(B1019="","",IF(A1019=_xlfn.MINIFS($A$2:$A$5001,$B$2:$B$5001,B1019),1,0))</f>
        <v/>
      </c>
      <c r="K1019" s="16" t="str">
        <f aca="false">IF(B1019="","",IF(AND(D1019="Formalização",E1019="Concluído"),IF(COUNTIFS($B$2:$B$5001,B1019,$E$2:$E$5001,"Em ajustes",$A$2:$A$5001,"&lt;"&amp;I1019)&gt;0,1,0),0))</f>
        <v/>
      </c>
      <c r="L1019" s="16" t="str">
        <f aca="false">IF(B1019="","",IF(A1019=_xlfn.MAXIFS($A$2:$A$5001,$B$2:$B$5001,B1019,$I$2:$I$5001,I1019),1,0))</f>
        <v/>
      </c>
    </row>
    <row r="1020" customFormat="false" ht="15" hidden="false" customHeight="false" outlineLevel="0" collapsed="false">
      <c r="I1020" s="15" t="str">
        <f aca="false">IF(A1020="","",INT(A1020))</f>
        <v/>
      </c>
      <c r="J1020" s="16" t="str">
        <f aca="false">IF(B1020="","",IF(A1020=_xlfn.MINIFS($A$2:$A$5001,$B$2:$B$5001,B1020),1,0))</f>
        <v/>
      </c>
      <c r="K1020" s="16" t="str">
        <f aca="false">IF(B1020="","",IF(AND(D1020="Formalização",E1020="Concluído"),IF(COUNTIFS($B$2:$B$5001,B1020,$E$2:$E$5001,"Em ajustes",$A$2:$A$5001,"&lt;"&amp;I1020)&gt;0,1,0),0))</f>
        <v/>
      </c>
      <c r="L1020" s="16" t="str">
        <f aca="false">IF(B1020="","",IF(A1020=_xlfn.MAXIFS($A$2:$A$5001,$B$2:$B$5001,B1020,$I$2:$I$5001,I1020),1,0))</f>
        <v/>
      </c>
    </row>
    <row r="1021" customFormat="false" ht="15" hidden="false" customHeight="false" outlineLevel="0" collapsed="false">
      <c r="I1021" s="15" t="str">
        <f aca="false">IF(A1021="","",INT(A1021))</f>
        <v/>
      </c>
      <c r="J1021" s="16" t="str">
        <f aca="false">IF(B1021="","",IF(A1021=_xlfn.MINIFS($A$2:$A$5001,$B$2:$B$5001,B1021),1,0))</f>
        <v/>
      </c>
      <c r="K1021" s="16" t="str">
        <f aca="false">IF(B1021="","",IF(AND(D1021="Formalização",E1021="Concluído"),IF(COUNTIFS($B$2:$B$5001,B1021,$E$2:$E$5001,"Em ajustes",$A$2:$A$5001,"&lt;"&amp;I1021)&gt;0,1,0),0))</f>
        <v/>
      </c>
      <c r="L1021" s="16" t="str">
        <f aca="false">IF(B1021="","",IF(A1021=_xlfn.MAXIFS($A$2:$A$5001,$B$2:$B$5001,B1021,$I$2:$I$5001,I1021),1,0))</f>
        <v/>
      </c>
    </row>
    <row r="1022" customFormat="false" ht="15" hidden="false" customHeight="false" outlineLevel="0" collapsed="false">
      <c r="I1022" s="15" t="str">
        <f aca="false">IF(A1022="","",INT(A1022))</f>
        <v/>
      </c>
      <c r="J1022" s="16" t="str">
        <f aca="false">IF(B1022="","",IF(A1022=_xlfn.MINIFS($A$2:$A$5001,$B$2:$B$5001,B1022),1,0))</f>
        <v/>
      </c>
      <c r="K1022" s="16" t="str">
        <f aca="false">IF(B1022="","",IF(AND(D1022="Formalização",E1022="Concluído"),IF(COUNTIFS($B$2:$B$5001,B1022,$E$2:$E$5001,"Em ajustes",$A$2:$A$5001,"&lt;"&amp;I1022)&gt;0,1,0),0))</f>
        <v/>
      </c>
      <c r="L1022" s="16" t="str">
        <f aca="false">IF(B1022="","",IF(A1022=_xlfn.MAXIFS($A$2:$A$5001,$B$2:$B$5001,B1022,$I$2:$I$5001,I1022),1,0))</f>
        <v/>
      </c>
    </row>
    <row r="1023" customFormat="false" ht="15" hidden="false" customHeight="false" outlineLevel="0" collapsed="false">
      <c r="I1023" s="15" t="str">
        <f aca="false">IF(A1023="","",INT(A1023))</f>
        <v/>
      </c>
      <c r="J1023" s="16" t="str">
        <f aca="false">IF(B1023="","",IF(A1023=_xlfn.MINIFS($A$2:$A$5001,$B$2:$B$5001,B1023),1,0))</f>
        <v/>
      </c>
      <c r="K1023" s="16" t="str">
        <f aca="false">IF(B1023="","",IF(AND(D1023="Formalização",E1023="Concluído"),IF(COUNTIFS($B$2:$B$5001,B1023,$E$2:$E$5001,"Em ajustes",$A$2:$A$5001,"&lt;"&amp;I1023)&gt;0,1,0),0))</f>
        <v/>
      </c>
      <c r="L1023" s="16" t="str">
        <f aca="false">IF(B1023="","",IF(A1023=_xlfn.MAXIFS($A$2:$A$5001,$B$2:$B$5001,B1023,$I$2:$I$5001,I1023),1,0))</f>
        <v/>
      </c>
    </row>
    <row r="1024" customFormat="false" ht="15" hidden="false" customHeight="false" outlineLevel="0" collapsed="false">
      <c r="I1024" s="15" t="str">
        <f aca="false">IF(A1024="","",INT(A1024))</f>
        <v/>
      </c>
      <c r="J1024" s="16" t="str">
        <f aca="false">IF(B1024="","",IF(A1024=_xlfn.MINIFS($A$2:$A$5001,$B$2:$B$5001,B1024),1,0))</f>
        <v/>
      </c>
      <c r="K1024" s="16" t="str">
        <f aca="false">IF(B1024="","",IF(AND(D1024="Formalização",E1024="Concluído"),IF(COUNTIFS($B$2:$B$5001,B1024,$E$2:$E$5001,"Em ajustes",$A$2:$A$5001,"&lt;"&amp;I1024)&gt;0,1,0),0))</f>
        <v/>
      </c>
      <c r="L1024" s="16" t="str">
        <f aca="false">IF(B1024="","",IF(A1024=_xlfn.MAXIFS($A$2:$A$5001,$B$2:$B$5001,B1024,$I$2:$I$5001,I1024),1,0))</f>
        <v/>
      </c>
    </row>
    <row r="1025" customFormat="false" ht="15" hidden="false" customHeight="false" outlineLevel="0" collapsed="false">
      <c r="I1025" s="15" t="str">
        <f aca="false">IF(A1025="","",INT(A1025))</f>
        <v/>
      </c>
      <c r="J1025" s="16" t="str">
        <f aca="false">IF(B1025="","",IF(A1025=_xlfn.MINIFS($A$2:$A$5001,$B$2:$B$5001,B1025),1,0))</f>
        <v/>
      </c>
      <c r="K1025" s="16" t="str">
        <f aca="false">IF(B1025="","",IF(AND(D1025="Formalização",E1025="Concluído"),IF(COUNTIFS($B$2:$B$5001,B1025,$E$2:$E$5001,"Em ajustes",$A$2:$A$5001,"&lt;"&amp;I1025)&gt;0,1,0),0))</f>
        <v/>
      </c>
      <c r="L1025" s="16" t="str">
        <f aca="false">IF(B1025="","",IF(A1025=_xlfn.MAXIFS($A$2:$A$5001,$B$2:$B$5001,B1025,$I$2:$I$5001,I1025),1,0))</f>
        <v/>
      </c>
    </row>
    <row r="1026" customFormat="false" ht="15" hidden="false" customHeight="false" outlineLevel="0" collapsed="false">
      <c r="I1026" s="15" t="str">
        <f aca="false">IF(A1026="","",INT(A1026))</f>
        <v/>
      </c>
      <c r="J1026" s="16" t="str">
        <f aca="false">IF(B1026="","",IF(A1026=_xlfn.MINIFS($A$2:$A$5001,$B$2:$B$5001,B1026),1,0))</f>
        <v/>
      </c>
      <c r="K1026" s="16" t="str">
        <f aca="false">IF(B1026="","",IF(AND(D1026="Formalização",E1026="Concluído"),IF(COUNTIFS($B$2:$B$5001,B1026,$E$2:$E$5001,"Em ajustes",$A$2:$A$5001,"&lt;"&amp;I1026)&gt;0,1,0),0))</f>
        <v/>
      </c>
      <c r="L1026" s="16" t="str">
        <f aca="false">IF(B1026="","",IF(A1026=_xlfn.MAXIFS($A$2:$A$5001,$B$2:$B$5001,B1026,$I$2:$I$5001,I1026),1,0))</f>
        <v/>
      </c>
    </row>
    <row r="1027" customFormat="false" ht="15" hidden="false" customHeight="false" outlineLevel="0" collapsed="false">
      <c r="I1027" s="15" t="str">
        <f aca="false">IF(A1027="","",INT(A1027))</f>
        <v/>
      </c>
      <c r="J1027" s="16" t="str">
        <f aca="false">IF(B1027="","",IF(A1027=_xlfn.MINIFS($A$2:$A$5001,$B$2:$B$5001,B1027),1,0))</f>
        <v/>
      </c>
      <c r="K1027" s="16" t="str">
        <f aca="false">IF(B1027="","",IF(AND(D1027="Formalização",E1027="Concluído"),IF(COUNTIFS($B$2:$B$5001,B1027,$E$2:$E$5001,"Em ajustes",$A$2:$A$5001,"&lt;"&amp;I1027)&gt;0,1,0),0))</f>
        <v/>
      </c>
      <c r="L1027" s="16" t="str">
        <f aca="false">IF(B1027="","",IF(A1027=_xlfn.MAXIFS($A$2:$A$5001,$B$2:$B$5001,B1027,$I$2:$I$5001,I1027),1,0))</f>
        <v/>
      </c>
    </row>
    <row r="1028" customFormat="false" ht="15" hidden="false" customHeight="false" outlineLevel="0" collapsed="false">
      <c r="I1028" s="15" t="str">
        <f aca="false">IF(A1028="","",INT(A1028))</f>
        <v/>
      </c>
      <c r="J1028" s="16" t="str">
        <f aca="false">IF(B1028="","",IF(A1028=_xlfn.MINIFS($A$2:$A$5001,$B$2:$B$5001,B1028),1,0))</f>
        <v/>
      </c>
      <c r="K1028" s="16" t="str">
        <f aca="false">IF(B1028="","",IF(AND(D1028="Formalização",E1028="Concluído"),IF(COUNTIFS($B$2:$B$5001,B1028,$E$2:$E$5001,"Em ajustes",$A$2:$A$5001,"&lt;"&amp;I1028)&gt;0,1,0),0))</f>
        <v/>
      </c>
      <c r="L1028" s="16" t="str">
        <f aca="false">IF(B1028="","",IF(A1028=_xlfn.MAXIFS($A$2:$A$5001,$B$2:$B$5001,B1028,$I$2:$I$5001,I1028),1,0))</f>
        <v/>
      </c>
    </row>
    <row r="1029" customFormat="false" ht="15" hidden="false" customHeight="false" outlineLevel="0" collapsed="false">
      <c r="I1029" s="15" t="str">
        <f aca="false">IF(A1029="","",INT(A1029))</f>
        <v/>
      </c>
      <c r="J1029" s="16" t="str">
        <f aca="false">IF(B1029="","",IF(A1029=_xlfn.MINIFS($A$2:$A$5001,$B$2:$B$5001,B1029),1,0))</f>
        <v/>
      </c>
      <c r="K1029" s="16" t="str">
        <f aca="false">IF(B1029="","",IF(AND(D1029="Formalização",E1029="Concluído"),IF(COUNTIFS($B$2:$B$5001,B1029,$E$2:$E$5001,"Em ajustes",$A$2:$A$5001,"&lt;"&amp;I1029)&gt;0,1,0),0))</f>
        <v/>
      </c>
      <c r="L1029" s="16" t="str">
        <f aca="false">IF(B1029="","",IF(A1029=_xlfn.MAXIFS($A$2:$A$5001,$B$2:$B$5001,B1029,$I$2:$I$5001,I1029),1,0))</f>
        <v/>
      </c>
    </row>
    <row r="1030" customFormat="false" ht="15" hidden="false" customHeight="false" outlineLevel="0" collapsed="false">
      <c r="I1030" s="15" t="str">
        <f aca="false">IF(A1030="","",INT(A1030))</f>
        <v/>
      </c>
      <c r="J1030" s="16" t="str">
        <f aca="false">IF(B1030="","",IF(A1030=_xlfn.MINIFS($A$2:$A$5001,$B$2:$B$5001,B1030),1,0))</f>
        <v/>
      </c>
      <c r="K1030" s="16" t="str">
        <f aca="false">IF(B1030="","",IF(AND(D1030="Formalização",E1030="Concluído"),IF(COUNTIFS($B$2:$B$5001,B1030,$E$2:$E$5001,"Em ajustes",$A$2:$A$5001,"&lt;"&amp;I1030)&gt;0,1,0),0))</f>
        <v/>
      </c>
      <c r="L1030" s="16" t="str">
        <f aca="false">IF(B1030="","",IF(A1030=_xlfn.MAXIFS($A$2:$A$5001,$B$2:$B$5001,B1030,$I$2:$I$5001,I1030),1,0))</f>
        <v/>
      </c>
    </row>
    <row r="1031" customFormat="false" ht="15" hidden="false" customHeight="false" outlineLevel="0" collapsed="false">
      <c r="I1031" s="15" t="str">
        <f aca="false">IF(A1031="","",INT(A1031))</f>
        <v/>
      </c>
      <c r="J1031" s="16" t="str">
        <f aca="false">IF(B1031="","",IF(A1031=_xlfn.MINIFS($A$2:$A$5001,$B$2:$B$5001,B1031),1,0))</f>
        <v/>
      </c>
      <c r="K1031" s="16" t="str">
        <f aca="false">IF(B1031="","",IF(AND(D1031="Formalização",E1031="Concluído"),IF(COUNTIFS($B$2:$B$5001,B1031,$E$2:$E$5001,"Em ajustes",$A$2:$A$5001,"&lt;"&amp;I1031)&gt;0,1,0),0))</f>
        <v/>
      </c>
      <c r="L1031" s="16" t="str">
        <f aca="false">IF(B1031="","",IF(A1031=_xlfn.MAXIFS($A$2:$A$5001,$B$2:$B$5001,B1031,$I$2:$I$5001,I1031),1,0))</f>
        <v/>
      </c>
    </row>
    <row r="1032" customFormat="false" ht="15" hidden="false" customHeight="false" outlineLevel="0" collapsed="false">
      <c r="I1032" s="15" t="str">
        <f aca="false">IF(A1032="","",INT(A1032))</f>
        <v/>
      </c>
      <c r="J1032" s="16" t="str">
        <f aca="false">IF(B1032="","",IF(A1032=_xlfn.MINIFS($A$2:$A$5001,$B$2:$B$5001,B1032),1,0))</f>
        <v/>
      </c>
      <c r="K1032" s="16" t="str">
        <f aca="false">IF(B1032="","",IF(AND(D1032="Formalização",E1032="Concluído"),IF(COUNTIFS($B$2:$B$5001,B1032,$E$2:$E$5001,"Em ajustes",$A$2:$A$5001,"&lt;"&amp;I1032)&gt;0,1,0),0))</f>
        <v/>
      </c>
      <c r="L1032" s="16" t="str">
        <f aca="false">IF(B1032="","",IF(A1032=_xlfn.MAXIFS($A$2:$A$5001,$B$2:$B$5001,B1032,$I$2:$I$5001,I1032),1,0))</f>
        <v/>
      </c>
    </row>
    <row r="1033" customFormat="false" ht="15" hidden="false" customHeight="false" outlineLevel="0" collapsed="false">
      <c r="I1033" s="15" t="str">
        <f aca="false">IF(A1033="","",INT(A1033))</f>
        <v/>
      </c>
      <c r="J1033" s="16" t="str">
        <f aca="false">IF(B1033="","",IF(A1033=_xlfn.MINIFS($A$2:$A$5001,$B$2:$B$5001,B1033),1,0))</f>
        <v/>
      </c>
      <c r="K1033" s="16" t="str">
        <f aca="false">IF(B1033="","",IF(AND(D1033="Formalização",E1033="Concluído"),IF(COUNTIFS($B$2:$B$5001,B1033,$E$2:$E$5001,"Em ajustes",$A$2:$A$5001,"&lt;"&amp;I1033)&gt;0,1,0),0))</f>
        <v/>
      </c>
      <c r="L1033" s="16" t="str">
        <f aca="false">IF(B1033="","",IF(A1033=_xlfn.MAXIFS($A$2:$A$5001,$B$2:$B$5001,B1033,$I$2:$I$5001,I1033),1,0))</f>
        <v/>
      </c>
    </row>
    <row r="1034" customFormat="false" ht="15" hidden="false" customHeight="false" outlineLevel="0" collapsed="false">
      <c r="I1034" s="15" t="str">
        <f aca="false">IF(A1034="","",INT(A1034))</f>
        <v/>
      </c>
      <c r="J1034" s="16" t="str">
        <f aca="false">IF(B1034="","",IF(A1034=_xlfn.MINIFS($A$2:$A$5001,$B$2:$B$5001,B1034),1,0))</f>
        <v/>
      </c>
      <c r="K1034" s="16" t="str">
        <f aca="false">IF(B1034="","",IF(AND(D1034="Formalização",E1034="Concluído"),IF(COUNTIFS($B$2:$B$5001,B1034,$E$2:$E$5001,"Em ajustes",$A$2:$A$5001,"&lt;"&amp;I1034)&gt;0,1,0),0))</f>
        <v/>
      </c>
      <c r="L1034" s="16" t="str">
        <f aca="false">IF(B1034="","",IF(A1034=_xlfn.MAXIFS($A$2:$A$5001,$B$2:$B$5001,B1034,$I$2:$I$5001,I1034),1,0))</f>
        <v/>
      </c>
    </row>
    <row r="1035" customFormat="false" ht="15" hidden="false" customHeight="false" outlineLevel="0" collapsed="false">
      <c r="I1035" s="15" t="str">
        <f aca="false">IF(A1035="","",INT(A1035))</f>
        <v/>
      </c>
      <c r="J1035" s="16" t="str">
        <f aca="false">IF(B1035="","",IF(A1035=_xlfn.MINIFS($A$2:$A$5001,$B$2:$B$5001,B1035),1,0))</f>
        <v/>
      </c>
      <c r="K1035" s="16" t="str">
        <f aca="false">IF(B1035="","",IF(AND(D1035="Formalização",E1035="Concluído"),IF(COUNTIFS($B$2:$B$5001,B1035,$E$2:$E$5001,"Em ajustes",$A$2:$A$5001,"&lt;"&amp;I1035)&gt;0,1,0),0))</f>
        <v/>
      </c>
      <c r="L1035" s="16" t="str">
        <f aca="false">IF(B1035="","",IF(A1035=_xlfn.MAXIFS($A$2:$A$5001,$B$2:$B$5001,B1035,$I$2:$I$5001,I1035),1,0))</f>
        <v/>
      </c>
    </row>
    <row r="1036" customFormat="false" ht="15" hidden="false" customHeight="false" outlineLevel="0" collapsed="false">
      <c r="I1036" s="15" t="str">
        <f aca="false">IF(A1036="","",INT(A1036))</f>
        <v/>
      </c>
      <c r="J1036" s="16" t="str">
        <f aca="false">IF(B1036="","",IF(A1036=_xlfn.MINIFS($A$2:$A$5001,$B$2:$B$5001,B1036),1,0))</f>
        <v/>
      </c>
      <c r="K1036" s="16" t="str">
        <f aca="false">IF(B1036="","",IF(AND(D1036="Formalização",E1036="Concluído"),IF(COUNTIFS($B$2:$B$5001,B1036,$E$2:$E$5001,"Em ajustes",$A$2:$A$5001,"&lt;"&amp;I1036)&gt;0,1,0),0))</f>
        <v/>
      </c>
      <c r="L1036" s="16" t="str">
        <f aca="false">IF(B1036="","",IF(A1036=_xlfn.MAXIFS($A$2:$A$5001,$B$2:$B$5001,B1036,$I$2:$I$5001,I1036),1,0))</f>
        <v/>
      </c>
    </row>
    <row r="1037" customFormat="false" ht="15" hidden="false" customHeight="false" outlineLevel="0" collapsed="false">
      <c r="I1037" s="15" t="str">
        <f aca="false">IF(A1037="","",INT(A1037))</f>
        <v/>
      </c>
      <c r="J1037" s="16" t="str">
        <f aca="false">IF(B1037="","",IF(A1037=_xlfn.MINIFS($A$2:$A$5001,$B$2:$B$5001,B1037),1,0))</f>
        <v/>
      </c>
      <c r="K1037" s="16" t="str">
        <f aca="false">IF(B1037="","",IF(AND(D1037="Formalização",E1037="Concluído"),IF(COUNTIFS($B$2:$B$5001,B1037,$E$2:$E$5001,"Em ajustes",$A$2:$A$5001,"&lt;"&amp;I1037)&gt;0,1,0),0))</f>
        <v/>
      </c>
      <c r="L1037" s="16" t="str">
        <f aca="false">IF(B1037="","",IF(A1037=_xlfn.MAXIFS($A$2:$A$5001,$B$2:$B$5001,B1037,$I$2:$I$5001,I1037),1,0))</f>
        <v/>
      </c>
    </row>
    <row r="1038" customFormat="false" ht="15" hidden="false" customHeight="false" outlineLevel="0" collapsed="false">
      <c r="I1038" s="15" t="str">
        <f aca="false">IF(A1038="","",INT(A1038))</f>
        <v/>
      </c>
      <c r="J1038" s="16" t="str">
        <f aca="false">IF(B1038="","",IF(A1038=_xlfn.MINIFS($A$2:$A$5001,$B$2:$B$5001,B1038),1,0))</f>
        <v/>
      </c>
      <c r="K1038" s="16" t="str">
        <f aca="false">IF(B1038="","",IF(AND(D1038="Formalização",E1038="Concluído"),IF(COUNTIFS($B$2:$B$5001,B1038,$E$2:$E$5001,"Em ajustes",$A$2:$A$5001,"&lt;"&amp;I1038)&gt;0,1,0),0))</f>
        <v/>
      </c>
      <c r="L1038" s="16" t="str">
        <f aca="false">IF(B1038="","",IF(A1038=_xlfn.MAXIFS($A$2:$A$5001,$B$2:$B$5001,B1038,$I$2:$I$5001,I1038),1,0))</f>
        <v/>
      </c>
    </row>
    <row r="1039" customFormat="false" ht="15" hidden="false" customHeight="false" outlineLevel="0" collapsed="false">
      <c r="I1039" s="15" t="str">
        <f aca="false">IF(A1039="","",INT(A1039))</f>
        <v/>
      </c>
      <c r="J1039" s="16" t="str">
        <f aca="false">IF(B1039="","",IF(A1039=_xlfn.MINIFS($A$2:$A$5001,$B$2:$B$5001,B1039),1,0))</f>
        <v/>
      </c>
      <c r="K1039" s="16" t="str">
        <f aca="false">IF(B1039="","",IF(AND(D1039="Formalização",E1039="Concluído"),IF(COUNTIFS($B$2:$B$5001,B1039,$E$2:$E$5001,"Em ajustes",$A$2:$A$5001,"&lt;"&amp;I1039)&gt;0,1,0),0))</f>
        <v/>
      </c>
      <c r="L1039" s="16" t="str">
        <f aca="false">IF(B1039="","",IF(A1039=_xlfn.MAXIFS($A$2:$A$5001,$B$2:$B$5001,B1039,$I$2:$I$5001,I1039),1,0))</f>
        <v/>
      </c>
    </row>
    <row r="1040" customFormat="false" ht="15" hidden="false" customHeight="false" outlineLevel="0" collapsed="false">
      <c r="I1040" s="15" t="str">
        <f aca="false">IF(A1040="","",INT(A1040))</f>
        <v/>
      </c>
      <c r="J1040" s="16" t="str">
        <f aca="false">IF(B1040="","",IF(A1040=_xlfn.MINIFS($A$2:$A$5001,$B$2:$B$5001,B1040),1,0))</f>
        <v/>
      </c>
      <c r="K1040" s="16" t="str">
        <f aca="false">IF(B1040="","",IF(AND(D1040="Formalização",E1040="Concluído"),IF(COUNTIFS($B$2:$B$5001,B1040,$E$2:$E$5001,"Em ajustes",$A$2:$A$5001,"&lt;"&amp;I1040)&gt;0,1,0),0))</f>
        <v/>
      </c>
      <c r="L1040" s="16" t="str">
        <f aca="false">IF(B1040="","",IF(A1040=_xlfn.MAXIFS($A$2:$A$5001,$B$2:$B$5001,B1040,$I$2:$I$5001,I1040),1,0))</f>
        <v/>
      </c>
    </row>
    <row r="1041" customFormat="false" ht="15" hidden="false" customHeight="false" outlineLevel="0" collapsed="false">
      <c r="I1041" s="15" t="str">
        <f aca="false">IF(A1041="","",INT(A1041))</f>
        <v/>
      </c>
      <c r="J1041" s="16" t="str">
        <f aca="false">IF(B1041="","",IF(A1041=_xlfn.MINIFS($A$2:$A$5001,$B$2:$B$5001,B1041),1,0))</f>
        <v/>
      </c>
      <c r="K1041" s="16" t="str">
        <f aca="false">IF(B1041="","",IF(AND(D1041="Formalização",E1041="Concluído"),IF(COUNTIFS($B$2:$B$5001,B1041,$E$2:$E$5001,"Em ajustes",$A$2:$A$5001,"&lt;"&amp;I1041)&gt;0,1,0),0))</f>
        <v/>
      </c>
      <c r="L1041" s="16" t="str">
        <f aca="false">IF(B1041="","",IF(A1041=_xlfn.MAXIFS($A$2:$A$5001,$B$2:$B$5001,B1041,$I$2:$I$5001,I1041),1,0))</f>
        <v/>
      </c>
    </row>
    <row r="1042" customFormat="false" ht="15" hidden="false" customHeight="false" outlineLevel="0" collapsed="false">
      <c r="I1042" s="15" t="str">
        <f aca="false">IF(A1042="","",INT(A1042))</f>
        <v/>
      </c>
      <c r="J1042" s="16" t="str">
        <f aca="false">IF(B1042="","",IF(A1042=_xlfn.MINIFS($A$2:$A$5001,$B$2:$B$5001,B1042),1,0))</f>
        <v/>
      </c>
      <c r="K1042" s="16" t="str">
        <f aca="false">IF(B1042="","",IF(AND(D1042="Formalização",E1042="Concluído"),IF(COUNTIFS($B$2:$B$5001,B1042,$E$2:$E$5001,"Em ajustes",$A$2:$A$5001,"&lt;"&amp;I1042)&gt;0,1,0),0))</f>
        <v/>
      </c>
      <c r="L1042" s="16" t="str">
        <f aca="false">IF(B1042="","",IF(A1042=_xlfn.MAXIFS($A$2:$A$5001,$B$2:$B$5001,B1042,$I$2:$I$5001,I1042),1,0))</f>
        <v/>
      </c>
    </row>
    <row r="1043" customFormat="false" ht="15" hidden="false" customHeight="false" outlineLevel="0" collapsed="false">
      <c r="I1043" s="15" t="str">
        <f aca="false">IF(A1043="","",INT(A1043))</f>
        <v/>
      </c>
      <c r="J1043" s="16" t="str">
        <f aca="false">IF(B1043="","",IF(A1043=_xlfn.MINIFS($A$2:$A$5001,$B$2:$B$5001,B1043),1,0))</f>
        <v/>
      </c>
      <c r="K1043" s="16" t="str">
        <f aca="false">IF(B1043="","",IF(AND(D1043="Formalização",E1043="Concluído"),IF(COUNTIFS($B$2:$B$5001,B1043,$E$2:$E$5001,"Em ajustes",$A$2:$A$5001,"&lt;"&amp;I1043)&gt;0,1,0),0))</f>
        <v/>
      </c>
      <c r="L1043" s="16" t="str">
        <f aca="false">IF(B1043="","",IF(A1043=_xlfn.MAXIFS($A$2:$A$5001,$B$2:$B$5001,B1043,$I$2:$I$5001,I1043),1,0))</f>
        <v/>
      </c>
    </row>
    <row r="1044" customFormat="false" ht="15" hidden="false" customHeight="false" outlineLevel="0" collapsed="false">
      <c r="I1044" s="15" t="str">
        <f aca="false">IF(A1044="","",INT(A1044))</f>
        <v/>
      </c>
      <c r="J1044" s="16" t="str">
        <f aca="false">IF(B1044="","",IF(A1044=_xlfn.MINIFS($A$2:$A$5001,$B$2:$B$5001,B1044),1,0))</f>
        <v/>
      </c>
      <c r="K1044" s="16" t="str">
        <f aca="false">IF(B1044="","",IF(AND(D1044="Formalização",E1044="Concluído"),IF(COUNTIFS($B$2:$B$5001,B1044,$E$2:$E$5001,"Em ajustes",$A$2:$A$5001,"&lt;"&amp;I1044)&gt;0,1,0),0))</f>
        <v/>
      </c>
      <c r="L1044" s="16" t="str">
        <f aca="false">IF(B1044="","",IF(A1044=_xlfn.MAXIFS($A$2:$A$5001,$B$2:$B$5001,B1044,$I$2:$I$5001,I1044),1,0))</f>
        <v/>
      </c>
    </row>
    <row r="1045" customFormat="false" ht="15" hidden="false" customHeight="false" outlineLevel="0" collapsed="false">
      <c r="I1045" s="15" t="str">
        <f aca="false">IF(A1045="","",INT(A1045))</f>
        <v/>
      </c>
      <c r="J1045" s="16" t="str">
        <f aca="false">IF(B1045="","",IF(A1045=_xlfn.MINIFS($A$2:$A$5001,$B$2:$B$5001,B1045),1,0))</f>
        <v/>
      </c>
      <c r="K1045" s="16" t="str">
        <f aca="false">IF(B1045="","",IF(AND(D1045="Formalização",E1045="Concluído"),IF(COUNTIFS($B$2:$B$5001,B1045,$E$2:$E$5001,"Em ajustes",$A$2:$A$5001,"&lt;"&amp;I1045)&gt;0,1,0),0))</f>
        <v/>
      </c>
      <c r="L1045" s="16" t="str">
        <f aca="false">IF(B1045="","",IF(A1045=_xlfn.MAXIFS($A$2:$A$5001,$B$2:$B$5001,B1045,$I$2:$I$5001,I1045),1,0))</f>
        <v/>
      </c>
    </row>
    <row r="1046" customFormat="false" ht="15" hidden="false" customHeight="false" outlineLevel="0" collapsed="false">
      <c r="I1046" s="15" t="str">
        <f aca="false">IF(A1046="","",INT(A1046))</f>
        <v/>
      </c>
      <c r="J1046" s="16" t="str">
        <f aca="false">IF(B1046="","",IF(A1046=_xlfn.MINIFS($A$2:$A$5001,$B$2:$B$5001,B1046),1,0))</f>
        <v/>
      </c>
      <c r="K1046" s="16" t="str">
        <f aca="false">IF(B1046="","",IF(AND(D1046="Formalização",E1046="Concluído"),IF(COUNTIFS($B$2:$B$5001,B1046,$E$2:$E$5001,"Em ajustes",$A$2:$A$5001,"&lt;"&amp;I1046)&gt;0,1,0),0))</f>
        <v/>
      </c>
      <c r="L1046" s="16" t="str">
        <f aca="false">IF(B1046="","",IF(A1046=_xlfn.MAXIFS($A$2:$A$5001,$B$2:$B$5001,B1046,$I$2:$I$5001,I1046),1,0))</f>
        <v/>
      </c>
    </row>
    <row r="1047" customFormat="false" ht="15" hidden="false" customHeight="false" outlineLevel="0" collapsed="false">
      <c r="I1047" s="15" t="str">
        <f aca="false">IF(A1047="","",INT(A1047))</f>
        <v/>
      </c>
      <c r="J1047" s="16" t="str">
        <f aca="false">IF(B1047="","",IF(A1047=_xlfn.MINIFS($A$2:$A$5001,$B$2:$B$5001,B1047),1,0))</f>
        <v/>
      </c>
      <c r="K1047" s="16" t="str">
        <f aca="false">IF(B1047="","",IF(AND(D1047="Formalização",E1047="Concluído"),IF(COUNTIFS($B$2:$B$5001,B1047,$E$2:$E$5001,"Em ajustes",$A$2:$A$5001,"&lt;"&amp;I1047)&gt;0,1,0),0))</f>
        <v/>
      </c>
      <c r="L1047" s="16" t="str">
        <f aca="false">IF(B1047="","",IF(A1047=_xlfn.MAXIFS($A$2:$A$5001,$B$2:$B$5001,B1047,$I$2:$I$5001,I1047),1,0))</f>
        <v/>
      </c>
    </row>
    <row r="1048" customFormat="false" ht="15" hidden="false" customHeight="false" outlineLevel="0" collapsed="false">
      <c r="I1048" s="15" t="str">
        <f aca="false">IF(A1048="","",INT(A1048))</f>
        <v/>
      </c>
      <c r="J1048" s="16" t="str">
        <f aca="false">IF(B1048="","",IF(A1048=_xlfn.MINIFS($A$2:$A$5001,$B$2:$B$5001,B1048),1,0))</f>
        <v/>
      </c>
      <c r="K1048" s="16" t="str">
        <f aca="false">IF(B1048="","",IF(AND(D1048="Formalização",E1048="Concluído"),IF(COUNTIFS($B$2:$B$5001,B1048,$E$2:$E$5001,"Em ajustes",$A$2:$A$5001,"&lt;"&amp;I1048)&gt;0,1,0),0))</f>
        <v/>
      </c>
      <c r="L1048" s="16" t="str">
        <f aca="false">IF(B1048="","",IF(A1048=_xlfn.MAXIFS($A$2:$A$5001,$B$2:$B$5001,B1048,$I$2:$I$5001,I1048),1,0))</f>
        <v/>
      </c>
    </row>
    <row r="1049" customFormat="false" ht="15" hidden="false" customHeight="false" outlineLevel="0" collapsed="false">
      <c r="I1049" s="15" t="str">
        <f aca="false">IF(A1049="","",INT(A1049))</f>
        <v/>
      </c>
      <c r="J1049" s="16" t="str">
        <f aca="false">IF(B1049="","",IF(A1049=_xlfn.MINIFS($A$2:$A$5001,$B$2:$B$5001,B1049),1,0))</f>
        <v/>
      </c>
      <c r="K1049" s="16" t="str">
        <f aca="false">IF(B1049="","",IF(AND(D1049="Formalização",E1049="Concluído"),IF(COUNTIFS($B$2:$B$5001,B1049,$E$2:$E$5001,"Em ajustes",$A$2:$A$5001,"&lt;"&amp;I1049)&gt;0,1,0),0))</f>
        <v/>
      </c>
      <c r="L1049" s="16" t="str">
        <f aca="false">IF(B1049="","",IF(A1049=_xlfn.MAXIFS($A$2:$A$5001,$B$2:$B$5001,B1049,$I$2:$I$5001,I1049),1,0))</f>
        <v/>
      </c>
    </row>
    <row r="1050" customFormat="false" ht="15" hidden="false" customHeight="false" outlineLevel="0" collapsed="false">
      <c r="I1050" s="15" t="str">
        <f aca="false">IF(A1050="","",INT(A1050))</f>
        <v/>
      </c>
      <c r="J1050" s="16" t="str">
        <f aca="false">IF(B1050="","",IF(A1050=_xlfn.MINIFS($A$2:$A$5001,$B$2:$B$5001,B1050),1,0))</f>
        <v/>
      </c>
      <c r="K1050" s="16" t="str">
        <f aca="false">IF(B1050="","",IF(AND(D1050="Formalização",E1050="Concluído"),IF(COUNTIFS($B$2:$B$5001,B1050,$E$2:$E$5001,"Em ajustes",$A$2:$A$5001,"&lt;"&amp;I1050)&gt;0,1,0),0))</f>
        <v/>
      </c>
      <c r="L1050" s="16" t="str">
        <f aca="false">IF(B1050="","",IF(A1050=_xlfn.MAXIFS($A$2:$A$5001,$B$2:$B$5001,B1050,$I$2:$I$5001,I1050),1,0))</f>
        <v/>
      </c>
    </row>
    <row r="1051" customFormat="false" ht="15" hidden="false" customHeight="false" outlineLevel="0" collapsed="false">
      <c r="I1051" s="15" t="str">
        <f aca="false">IF(A1051="","",INT(A1051))</f>
        <v/>
      </c>
      <c r="J1051" s="16" t="str">
        <f aca="false">IF(B1051="","",IF(A1051=_xlfn.MINIFS($A$2:$A$5001,$B$2:$B$5001,B1051),1,0))</f>
        <v/>
      </c>
      <c r="K1051" s="16" t="str">
        <f aca="false">IF(B1051="","",IF(AND(D1051="Formalização",E1051="Concluído"),IF(COUNTIFS($B$2:$B$5001,B1051,$E$2:$E$5001,"Em ajustes",$A$2:$A$5001,"&lt;"&amp;I1051)&gt;0,1,0),0))</f>
        <v/>
      </c>
      <c r="L1051" s="16" t="str">
        <f aca="false">IF(B1051="","",IF(A1051=_xlfn.MAXIFS($A$2:$A$5001,$B$2:$B$5001,B1051,$I$2:$I$5001,I1051),1,0))</f>
        <v/>
      </c>
    </row>
    <row r="1052" customFormat="false" ht="15" hidden="false" customHeight="false" outlineLevel="0" collapsed="false">
      <c r="I1052" s="15" t="str">
        <f aca="false">IF(A1052="","",INT(A1052))</f>
        <v/>
      </c>
      <c r="J1052" s="16" t="str">
        <f aca="false">IF(B1052="","",IF(A1052=_xlfn.MINIFS($A$2:$A$5001,$B$2:$B$5001,B1052),1,0))</f>
        <v/>
      </c>
      <c r="K1052" s="16" t="str">
        <f aca="false">IF(B1052="","",IF(AND(D1052="Formalização",E1052="Concluído"),IF(COUNTIFS($B$2:$B$5001,B1052,$E$2:$E$5001,"Em ajustes",$A$2:$A$5001,"&lt;"&amp;I1052)&gt;0,1,0),0))</f>
        <v/>
      </c>
      <c r="L1052" s="16" t="str">
        <f aca="false">IF(B1052="","",IF(A1052=_xlfn.MAXIFS($A$2:$A$5001,$B$2:$B$5001,B1052,$I$2:$I$5001,I1052),1,0))</f>
        <v/>
      </c>
    </row>
    <row r="1053" customFormat="false" ht="15" hidden="false" customHeight="false" outlineLevel="0" collapsed="false">
      <c r="I1053" s="15" t="str">
        <f aca="false">IF(A1053="","",INT(A1053))</f>
        <v/>
      </c>
      <c r="J1053" s="16" t="str">
        <f aca="false">IF(B1053="","",IF(A1053=_xlfn.MINIFS($A$2:$A$5001,$B$2:$B$5001,B1053),1,0))</f>
        <v/>
      </c>
      <c r="K1053" s="16" t="str">
        <f aca="false">IF(B1053="","",IF(AND(D1053="Formalização",E1053="Concluído"),IF(COUNTIFS($B$2:$B$5001,B1053,$E$2:$E$5001,"Em ajustes",$A$2:$A$5001,"&lt;"&amp;I1053)&gt;0,1,0),0))</f>
        <v/>
      </c>
      <c r="L1053" s="16" t="str">
        <f aca="false">IF(B1053="","",IF(A1053=_xlfn.MAXIFS($A$2:$A$5001,$B$2:$B$5001,B1053,$I$2:$I$5001,I1053),1,0))</f>
        <v/>
      </c>
    </row>
    <row r="1054" customFormat="false" ht="15" hidden="false" customHeight="false" outlineLevel="0" collapsed="false">
      <c r="I1054" s="15" t="str">
        <f aca="false">IF(A1054="","",INT(A1054))</f>
        <v/>
      </c>
      <c r="J1054" s="16" t="str">
        <f aca="false">IF(B1054="","",IF(A1054=_xlfn.MINIFS($A$2:$A$5001,$B$2:$B$5001,B1054),1,0))</f>
        <v/>
      </c>
      <c r="K1054" s="16" t="str">
        <f aca="false">IF(B1054="","",IF(AND(D1054="Formalização",E1054="Concluído"),IF(COUNTIFS($B$2:$B$5001,B1054,$E$2:$E$5001,"Em ajustes",$A$2:$A$5001,"&lt;"&amp;I1054)&gt;0,1,0),0))</f>
        <v/>
      </c>
      <c r="L1054" s="16" t="str">
        <f aca="false">IF(B1054="","",IF(A1054=_xlfn.MAXIFS($A$2:$A$5001,$B$2:$B$5001,B1054,$I$2:$I$5001,I1054),1,0))</f>
        <v/>
      </c>
    </row>
    <row r="1055" customFormat="false" ht="15" hidden="false" customHeight="false" outlineLevel="0" collapsed="false">
      <c r="I1055" s="15" t="str">
        <f aca="false">IF(A1055="","",INT(A1055))</f>
        <v/>
      </c>
      <c r="J1055" s="16" t="str">
        <f aca="false">IF(B1055="","",IF(A1055=_xlfn.MINIFS($A$2:$A$5001,$B$2:$B$5001,B1055),1,0))</f>
        <v/>
      </c>
      <c r="K1055" s="16" t="str">
        <f aca="false">IF(B1055="","",IF(AND(D1055="Formalização",E1055="Concluído"),IF(COUNTIFS($B$2:$B$5001,B1055,$E$2:$E$5001,"Em ajustes",$A$2:$A$5001,"&lt;"&amp;I1055)&gt;0,1,0),0))</f>
        <v/>
      </c>
      <c r="L1055" s="16" t="str">
        <f aca="false">IF(B1055="","",IF(A1055=_xlfn.MAXIFS($A$2:$A$5001,$B$2:$B$5001,B1055,$I$2:$I$5001,I1055),1,0))</f>
        <v/>
      </c>
    </row>
    <row r="1056" customFormat="false" ht="15" hidden="false" customHeight="false" outlineLevel="0" collapsed="false">
      <c r="I1056" s="15" t="str">
        <f aca="false">IF(A1056="","",INT(A1056))</f>
        <v/>
      </c>
      <c r="J1056" s="16" t="str">
        <f aca="false">IF(B1056="","",IF(A1056=_xlfn.MINIFS($A$2:$A$5001,$B$2:$B$5001,B1056),1,0))</f>
        <v/>
      </c>
      <c r="K1056" s="16" t="str">
        <f aca="false">IF(B1056="","",IF(AND(D1056="Formalização",E1056="Concluído"),IF(COUNTIFS($B$2:$B$5001,B1056,$E$2:$E$5001,"Em ajustes",$A$2:$A$5001,"&lt;"&amp;I1056)&gt;0,1,0),0))</f>
        <v/>
      </c>
      <c r="L1056" s="16" t="str">
        <f aca="false">IF(B1056="","",IF(A1056=_xlfn.MAXIFS($A$2:$A$5001,$B$2:$B$5001,B1056,$I$2:$I$5001,I1056),1,0))</f>
        <v/>
      </c>
    </row>
    <row r="1057" customFormat="false" ht="15" hidden="false" customHeight="false" outlineLevel="0" collapsed="false">
      <c r="I1057" s="15" t="str">
        <f aca="false">IF(A1057="","",INT(A1057))</f>
        <v/>
      </c>
      <c r="J1057" s="16" t="str">
        <f aca="false">IF(B1057="","",IF(A1057=_xlfn.MINIFS($A$2:$A$5001,$B$2:$B$5001,B1057),1,0))</f>
        <v/>
      </c>
      <c r="K1057" s="16" t="str">
        <f aca="false">IF(B1057="","",IF(AND(D1057="Formalização",E1057="Concluído"),IF(COUNTIFS($B$2:$B$5001,B1057,$E$2:$E$5001,"Em ajustes",$A$2:$A$5001,"&lt;"&amp;I1057)&gt;0,1,0),0))</f>
        <v/>
      </c>
      <c r="L1057" s="16" t="str">
        <f aca="false">IF(B1057="","",IF(A1057=_xlfn.MAXIFS($A$2:$A$5001,$B$2:$B$5001,B1057,$I$2:$I$5001,I1057),1,0))</f>
        <v/>
      </c>
    </row>
    <row r="1058" customFormat="false" ht="15" hidden="false" customHeight="false" outlineLevel="0" collapsed="false">
      <c r="I1058" s="15" t="str">
        <f aca="false">IF(A1058="","",INT(A1058))</f>
        <v/>
      </c>
      <c r="J1058" s="16" t="str">
        <f aca="false">IF(B1058="","",IF(A1058=_xlfn.MINIFS($A$2:$A$5001,$B$2:$B$5001,B1058),1,0))</f>
        <v/>
      </c>
      <c r="K1058" s="16" t="str">
        <f aca="false">IF(B1058="","",IF(AND(D1058="Formalização",E1058="Concluído"),IF(COUNTIFS($B$2:$B$5001,B1058,$E$2:$E$5001,"Em ajustes",$A$2:$A$5001,"&lt;"&amp;I1058)&gt;0,1,0),0))</f>
        <v/>
      </c>
      <c r="L1058" s="16" t="str">
        <f aca="false">IF(B1058="","",IF(A1058=_xlfn.MAXIFS($A$2:$A$5001,$B$2:$B$5001,B1058,$I$2:$I$5001,I1058),1,0))</f>
        <v/>
      </c>
    </row>
    <row r="1059" customFormat="false" ht="15" hidden="false" customHeight="false" outlineLevel="0" collapsed="false">
      <c r="I1059" s="15" t="str">
        <f aca="false">IF(A1059="","",INT(A1059))</f>
        <v/>
      </c>
      <c r="J1059" s="16" t="str">
        <f aca="false">IF(B1059="","",IF(A1059=_xlfn.MINIFS($A$2:$A$5001,$B$2:$B$5001,B1059),1,0))</f>
        <v/>
      </c>
      <c r="K1059" s="16" t="str">
        <f aca="false">IF(B1059="","",IF(AND(D1059="Formalização",E1059="Concluído"),IF(COUNTIFS($B$2:$B$5001,B1059,$E$2:$E$5001,"Em ajustes",$A$2:$A$5001,"&lt;"&amp;I1059)&gt;0,1,0),0))</f>
        <v/>
      </c>
      <c r="L1059" s="16" t="str">
        <f aca="false">IF(B1059="","",IF(A1059=_xlfn.MAXIFS($A$2:$A$5001,$B$2:$B$5001,B1059,$I$2:$I$5001,I1059),1,0))</f>
        <v/>
      </c>
    </row>
    <row r="1060" customFormat="false" ht="15" hidden="false" customHeight="false" outlineLevel="0" collapsed="false">
      <c r="I1060" s="15" t="str">
        <f aca="false">IF(A1060="","",INT(A1060))</f>
        <v/>
      </c>
      <c r="J1060" s="16" t="str">
        <f aca="false">IF(B1060="","",IF(A1060=_xlfn.MINIFS($A$2:$A$5001,$B$2:$B$5001,B1060),1,0))</f>
        <v/>
      </c>
      <c r="K1060" s="16" t="str">
        <f aca="false">IF(B1060="","",IF(AND(D1060="Formalização",E1060="Concluído"),IF(COUNTIFS($B$2:$B$5001,B1060,$E$2:$E$5001,"Em ajustes",$A$2:$A$5001,"&lt;"&amp;I1060)&gt;0,1,0),0))</f>
        <v/>
      </c>
      <c r="L1060" s="16" t="str">
        <f aca="false">IF(B1060="","",IF(A1060=_xlfn.MAXIFS($A$2:$A$5001,$B$2:$B$5001,B1060,$I$2:$I$5001,I1060),1,0))</f>
        <v/>
      </c>
    </row>
    <row r="1061" customFormat="false" ht="15" hidden="false" customHeight="false" outlineLevel="0" collapsed="false">
      <c r="I1061" s="15" t="str">
        <f aca="false">IF(A1061="","",INT(A1061))</f>
        <v/>
      </c>
      <c r="J1061" s="16" t="str">
        <f aca="false">IF(B1061="","",IF(A1061=_xlfn.MINIFS($A$2:$A$5001,$B$2:$B$5001,B1061),1,0))</f>
        <v/>
      </c>
      <c r="K1061" s="16" t="str">
        <f aca="false">IF(B1061="","",IF(AND(D1061="Formalização",E1061="Concluído"),IF(COUNTIFS($B$2:$B$5001,B1061,$E$2:$E$5001,"Em ajustes",$A$2:$A$5001,"&lt;"&amp;I1061)&gt;0,1,0),0))</f>
        <v/>
      </c>
      <c r="L1061" s="16" t="str">
        <f aca="false">IF(B1061="","",IF(A1061=_xlfn.MAXIFS($A$2:$A$5001,$B$2:$B$5001,B1061,$I$2:$I$5001,I1061),1,0))</f>
        <v/>
      </c>
    </row>
    <row r="1062" customFormat="false" ht="15" hidden="false" customHeight="false" outlineLevel="0" collapsed="false">
      <c r="I1062" s="15" t="str">
        <f aca="false">IF(A1062="","",INT(A1062))</f>
        <v/>
      </c>
      <c r="J1062" s="16" t="str">
        <f aca="false">IF(B1062="","",IF(A1062=_xlfn.MINIFS($A$2:$A$5001,$B$2:$B$5001,B1062),1,0))</f>
        <v/>
      </c>
      <c r="K1062" s="16" t="str">
        <f aca="false">IF(B1062="","",IF(AND(D1062="Formalização",E1062="Concluído"),IF(COUNTIFS($B$2:$B$5001,B1062,$E$2:$E$5001,"Em ajustes",$A$2:$A$5001,"&lt;"&amp;I1062)&gt;0,1,0),0))</f>
        <v/>
      </c>
      <c r="L1062" s="16" t="str">
        <f aca="false">IF(B1062="","",IF(A1062=_xlfn.MAXIFS($A$2:$A$5001,$B$2:$B$5001,B1062,$I$2:$I$5001,I1062),1,0))</f>
        <v/>
      </c>
    </row>
    <row r="1063" customFormat="false" ht="15" hidden="false" customHeight="false" outlineLevel="0" collapsed="false">
      <c r="I1063" s="15" t="str">
        <f aca="false">IF(A1063="","",INT(A1063))</f>
        <v/>
      </c>
      <c r="J1063" s="16" t="str">
        <f aca="false">IF(B1063="","",IF(A1063=_xlfn.MINIFS($A$2:$A$5001,$B$2:$B$5001,B1063),1,0))</f>
        <v/>
      </c>
      <c r="K1063" s="16" t="str">
        <f aca="false">IF(B1063="","",IF(AND(D1063="Formalização",E1063="Concluído"),IF(COUNTIFS($B$2:$B$5001,B1063,$E$2:$E$5001,"Em ajustes",$A$2:$A$5001,"&lt;"&amp;I1063)&gt;0,1,0),0))</f>
        <v/>
      </c>
      <c r="L1063" s="16" t="str">
        <f aca="false">IF(B1063="","",IF(A1063=_xlfn.MAXIFS($A$2:$A$5001,$B$2:$B$5001,B1063,$I$2:$I$5001,I1063),1,0))</f>
        <v/>
      </c>
    </row>
    <row r="1064" customFormat="false" ht="15" hidden="false" customHeight="false" outlineLevel="0" collapsed="false">
      <c r="I1064" s="15" t="str">
        <f aca="false">IF(A1064="","",INT(A1064))</f>
        <v/>
      </c>
      <c r="J1064" s="16" t="str">
        <f aca="false">IF(B1064="","",IF(A1064=_xlfn.MINIFS($A$2:$A$5001,$B$2:$B$5001,B1064),1,0))</f>
        <v/>
      </c>
      <c r="K1064" s="16" t="str">
        <f aca="false">IF(B1064="","",IF(AND(D1064="Formalização",E1064="Concluído"),IF(COUNTIFS($B$2:$B$5001,B1064,$E$2:$E$5001,"Em ajustes",$A$2:$A$5001,"&lt;"&amp;I1064)&gt;0,1,0),0))</f>
        <v/>
      </c>
      <c r="L1064" s="16" t="str">
        <f aca="false">IF(B1064="","",IF(A1064=_xlfn.MAXIFS($A$2:$A$5001,$B$2:$B$5001,B1064,$I$2:$I$5001,I1064),1,0))</f>
        <v/>
      </c>
    </row>
    <row r="1065" customFormat="false" ht="15" hidden="false" customHeight="false" outlineLevel="0" collapsed="false">
      <c r="I1065" s="15" t="str">
        <f aca="false">IF(A1065="","",INT(A1065))</f>
        <v/>
      </c>
      <c r="J1065" s="16" t="str">
        <f aca="false">IF(B1065="","",IF(A1065=_xlfn.MINIFS($A$2:$A$5001,$B$2:$B$5001,B1065),1,0))</f>
        <v/>
      </c>
      <c r="K1065" s="16" t="str">
        <f aca="false">IF(B1065="","",IF(AND(D1065="Formalização",E1065="Concluído"),IF(COUNTIFS($B$2:$B$5001,B1065,$E$2:$E$5001,"Em ajustes",$A$2:$A$5001,"&lt;"&amp;I1065)&gt;0,1,0),0))</f>
        <v/>
      </c>
      <c r="L1065" s="16" t="str">
        <f aca="false">IF(B1065="","",IF(A1065=_xlfn.MAXIFS($A$2:$A$5001,$B$2:$B$5001,B1065,$I$2:$I$5001,I1065),1,0))</f>
        <v/>
      </c>
    </row>
    <row r="1066" customFormat="false" ht="15" hidden="false" customHeight="false" outlineLevel="0" collapsed="false">
      <c r="I1066" s="15" t="str">
        <f aca="false">IF(A1066="","",INT(A1066))</f>
        <v/>
      </c>
      <c r="J1066" s="16" t="str">
        <f aca="false">IF(B1066="","",IF(A1066=_xlfn.MINIFS($A$2:$A$5001,$B$2:$B$5001,B1066),1,0))</f>
        <v/>
      </c>
      <c r="K1066" s="16" t="str">
        <f aca="false">IF(B1066="","",IF(AND(D1066="Formalização",E1066="Concluído"),IF(COUNTIFS($B$2:$B$5001,B1066,$E$2:$E$5001,"Em ajustes",$A$2:$A$5001,"&lt;"&amp;I1066)&gt;0,1,0),0))</f>
        <v/>
      </c>
      <c r="L1066" s="16" t="str">
        <f aca="false">IF(B1066="","",IF(A1066=_xlfn.MAXIFS($A$2:$A$5001,$B$2:$B$5001,B1066,$I$2:$I$5001,I1066),1,0))</f>
        <v/>
      </c>
    </row>
    <row r="1067" customFormat="false" ht="15" hidden="false" customHeight="false" outlineLevel="0" collapsed="false">
      <c r="I1067" s="15" t="str">
        <f aca="false">IF(A1067="","",INT(A1067))</f>
        <v/>
      </c>
      <c r="J1067" s="16" t="str">
        <f aca="false">IF(B1067="","",IF(A1067=_xlfn.MINIFS($A$2:$A$5001,$B$2:$B$5001,B1067),1,0))</f>
        <v/>
      </c>
      <c r="K1067" s="16" t="str">
        <f aca="false">IF(B1067="","",IF(AND(D1067="Formalização",E1067="Concluído"),IF(COUNTIFS($B$2:$B$5001,B1067,$E$2:$E$5001,"Em ajustes",$A$2:$A$5001,"&lt;"&amp;I1067)&gt;0,1,0),0))</f>
        <v/>
      </c>
      <c r="L1067" s="16" t="str">
        <f aca="false">IF(B1067="","",IF(A1067=_xlfn.MAXIFS($A$2:$A$5001,$B$2:$B$5001,B1067,$I$2:$I$5001,I1067),1,0))</f>
        <v/>
      </c>
    </row>
    <row r="1068" customFormat="false" ht="15" hidden="false" customHeight="false" outlineLevel="0" collapsed="false">
      <c r="I1068" s="15" t="str">
        <f aca="false">IF(A1068="","",INT(A1068))</f>
        <v/>
      </c>
      <c r="J1068" s="16" t="str">
        <f aca="false">IF(B1068="","",IF(A1068=_xlfn.MINIFS($A$2:$A$5001,$B$2:$B$5001,B1068),1,0))</f>
        <v/>
      </c>
      <c r="K1068" s="16" t="str">
        <f aca="false">IF(B1068="","",IF(AND(D1068="Formalização",E1068="Concluído"),IF(COUNTIFS($B$2:$B$5001,B1068,$E$2:$E$5001,"Em ajustes",$A$2:$A$5001,"&lt;"&amp;I1068)&gt;0,1,0),0))</f>
        <v/>
      </c>
      <c r="L1068" s="16" t="str">
        <f aca="false">IF(B1068="","",IF(A1068=_xlfn.MAXIFS($A$2:$A$5001,$B$2:$B$5001,B1068,$I$2:$I$5001,I1068),1,0))</f>
        <v/>
      </c>
    </row>
    <row r="1069" customFormat="false" ht="15" hidden="false" customHeight="false" outlineLevel="0" collapsed="false">
      <c r="I1069" s="15" t="str">
        <f aca="false">IF(A1069="","",INT(A1069))</f>
        <v/>
      </c>
      <c r="J1069" s="16" t="str">
        <f aca="false">IF(B1069="","",IF(A1069=_xlfn.MINIFS($A$2:$A$5001,$B$2:$B$5001,B1069),1,0))</f>
        <v/>
      </c>
      <c r="K1069" s="16" t="str">
        <f aca="false">IF(B1069="","",IF(AND(D1069="Formalização",E1069="Concluído"),IF(COUNTIFS($B$2:$B$5001,B1069,$E$2:$E$5001,"Em ajustes",$A$2:$A$5001,"&lt;"&amp;I1069)&gt;0,1,0),0))</f>
        <v/>
      </c>
      <c r="L1069" s="16" t="str">
        <f aca="false">IF(B1069="","",IF(A1069=_xlfn.MAXIFS($A$2:$A$5001,$B$2:$B$5001,B1069,$I$2:$I$5001,I1069),1,0))</f>
        <v/>
      </c>
    </row>
    <row r="1070" customFormat="false" ht="15" hidden="false" customHeight="false" outlineLevel="0" collapsed="false">
      <c r="I1070" s="15" t="str">
        <f aca="false">IF(A1070="","",INT(A1070))</f>
        <v/>
      </c>
      <c r="J1070" s="16" t="str">
        <f aca="false">IF(B1070="","",IF(A1070=_xlfn.MINIFS($A$2:$A$5001,$B$2:$B$5001,B1070),1,0))</f>
        <v/>
      </c>
      <c r="K1070" s="16" t="str">
        <f aca="false">IF(B1070="","",IF(AND(D1070="Formalização",E1070="Concluído"),IF(COUNTIFS($B$2:$B$5001,B1070,$E$2:$E$5001,"Em ajustes",$A$2:$A$5001,"&lt;"&amp;I1070)&gt;0,1,0),0))</f>
        <v/>
      </c>
      <c r="L1070" s="16" t="str">
        <f aca="false">IF(B1070="","",IF(A1070=_xlfn.MAXIFS($A$2:$A$5001,$B$2:$B$5001,B1070,$I$2:$I$5001,I1070),1,0))</f>
        <v/>
      </c>
    </row>
    <row r="1071" customFormat="false" ht="15" hidden="false" customHeight="false" outlineLevel="0" collapsed="false">
      <c r="I1071" s="15" t="str">
        <f aca="false">IF(A1071="","",INT(A1071))</f>
        <v/>
      </c>
      <c r="J1071" s="16" t="str">
        <f aca="false">IF(B1071="","",IF(A1071=_xlfn.MINIFS($A$2:$A$5001,$B$2:$B$5001,B1071),1,0))</f>
        <v/>
      </c>
      <c r="K1071" s="16" t="str">
        <f aca="false">IF(B1071="","",IF(AND(D1071="Formalização",E1071="Concluído"),IF(COUNTIFS($B$2:$B$5001,B1071,$E$2:$E$5001,"Em ajustes",$A$2:$A$5001,"&lt;"&amp;I1071)&gt;0,1,0),0))</f>
        <v/>
      </c>
      <c r="L1071" s="16" t="str">
        <f aca="false">IF(B1071="","",IF(A1071=_xlfn.MAXIFS($A$2:$A$5001,$B$2:$B$5001,B1071,$I$2:$I$5001,I1071),1,0))</f>
        <v/>
      </c>
    </row>
    <row r="1072" customFormat="false" ht="15" hidden="false" customHeight="false" outlineLevel="0" collapsed="false">
      <c r="I1072" s="15" t="str">
        <f aca="false">IF(A1072="","",INT(A1072))</f>
        <v/>
      </c>
      <c r="J1072" s="16" t="str">
        <f aca="false">IF(B1072="","",IF(A1072=_xlfn.MINIFS($A$2:$A$5001,$B$2:$B$5001,B1072),1,0))</f>
        <v/>
      </c>
      <c r="K1072" s="16" t="str">
        <f aca="false">IF(B1072="","",IF(AND(D1072="Formalização",E1072="Concluído"),IF(COUNTIFS($B$2:$B$5001,B1072,$E$2:$E$5001,"Em ajustes",$A$2:$A$5001,"&lt;"&amp;I1072)&gt;0,1,0),0))</f>
        <v/>
      </c>
      <c r="L1072" s="16" t="str">
        <f aca="false">IF(B1072="","",IF(A1072=_xlfn.MAXIFS($A$2:$A$5001,$B$2:$B$5001,B1072,$I$2:$I$5001,I1072),1,0))</f>
        <v/>
      </c>
    </row>
    <row r="1073" customFormat="false" ht="15" hidden="false" customHeight="false" outlineLevel="0" collapsed="false">
      <c r="I1073" s="15" t="str">
        <f aca="false">IF(A1073="","",INT(A1073))</f>
        <v/>
      </c>
      <c r="J1073" s="16" t="str">
        <f aca="false">IF(B1073="","",IF(A1073=_xlfn.MINIFS($A$2:$A$5001,$B$2:$B$5001,B1073),1,0))</f>
        <v/>
      </c>
      <c r="K1073" s="16" t="str">
        <f aca="false">IF(B1073="","",IF(AND(D1073="Formalização",E1073="Concluído"),IF(COUNTIFS($B$2:$B$5001,B1073,$E$2:$E$5001,"Em ajustes",$A$2:$A$5001,"&lt;"&amp;I1073)&gt;0,1,0),0))</f>
        <v/>
      </c>
      <c r="L1073" s="16" t="str">
        <f aca="false">IF(B1073="","",IF(A1073=_xlfn.MAXIFS($A$2:$A$5001,$B$2:$B$5001,B1073,$I$2:$I$5001,I1073),1,0))</f>
        <v/>
      </c>
    </row>
    <row r="1074" customFormat="false" ht="15" hidden="false" customHeight="false" outlineLevel="0" collapsed="false">
      <c r="I1074" s="15" t="str">
        <f aca="false">IF(A1074="","",INT(A1074))</f>
        <v/>
      </c>
      <c r="J1074" s="16" t="str">
        <f aca="false">IF(B1074="","",IF(A1074=_xlfn.MINIFS($A$2:$A$5001,$B$2:$B$5001,B1074),1,0))</f>
        <v/>
      </c>
      <c r="K1074" s="16" t="str">
        <f aca="false">IF(B1074="","",IF(AND(D1074="Formalização",E1074="Concluído"),IF(COUNTIFS($B$2:$B$5001,B1074,$E$2:$E$5001,"Em ajustes",$A$2:$A$5001,"&lt;"&amp;I1074)&gt;0,1,0),0))</f>
        <v/>
      </c>
      <c r="L1074" s="16" t="str">
        <f aca="false">IF(B1074="","",IF(A1074=_xlfn.MAXIFS($A$2:$A$5001,$B$2:$B$5001,B1074,$I$2:$I$5001,I1074),1,0))</f>
        <v/>
      </c>
    </row>
    <row r="1075" customFormat="false" ht="15" hidden="false" customHeight="false" outlineLevel="0" collapsed="false">
      <c r="I1075" s="15" t="str">
        <f aca="false">IF(A1075="","",INT(A1075))</f>
        <v/>
      </c>
      <c r="J1075" s="16" t="str">
        <f aca="false">IF(B1075="","",IF(A1075=_xlfn.MINIFS($A$2:$A$5001,$B$2:$B$5001,B1075),1,0))</f>
        <v/>
      </c>
      <c r="K1075" s="16" t="str">
        <f aca="false">IF(B1075="","",IF(AND(D1075="Formalização",E1075="Concluído"),IF(COUNTIFS($B$2:$B$5001,B1075,$E$2:$E$5001,"Em ajustes",$A$2:$A$5001,"&lt;"&amp;I1075)&gt;0,1,0),0))</f>
        <v/>
      </c>
      <c r="L1075" s="16" t="str">
        <f aca="false">IF(B1075="","",IF(A1075=_xlfn.MAXIFS($A$2:$A$5001,$B$2:$B$5001,B1075,$I$2:$I$5001,I1075),1,0))</f>
        <v/>
      </c>
    </row>
    <row r="1076" customFormat="false" ht="15" hidden="false" customHeight="false" outlineLevel="0" collapsed="false">
      <c r="I1076" s="15" t="str">
        <f aca="false">IF(A1076="","",INT(A1076))</f>
        <v/>
      </c>
      <c r="J1076" s="16" t="str">
        <f aca="false">IF(B1076="","",IF(A1076=_xlfn.MINIFS($A$2:$A$5001,$B$2:$B$5001,B1076),1,0))</f>
        <v/>
      </c>
      <c r="K1076" s="16" t="str">
        <f aca="false">IF(B1076="","",IF(AND(D1076="Formalização",E1076="Concluído"),IF(COUNTIFS($B$2:$B$5001,B1076,$E$2:$E$5001,"Em ajustes",$A$2:$A$5001,"&lt;"&amp;I1076)&gt;0,1,0),0))</f>
        <v/>
      </c>
      <c r="L1076" s="16" t="str">
        <f aca="false">IF(B1076="","",IF(A1076=_xlfn.MAXIFS($A$2:$A$5001,$B$2:$B$5001,B1076,$I$2:$I$5001,I1076),1,0))</f>
        <v/>
      </c>
    </row>
    <row r="1077" customFormat="false" ht="15" hidden="false" customHeight="false" outlineLevel="0" collapsed="false">
      <c r="I1077" s="15" t="str">
        <f aca="false">IF(A1077="","",INT(A1077))</f>
        <v/>
      </c>
      <c r="J1077" s="16" t="str">
        <f aca="false">IF(B1077="","",IF(A1077=_xlfn.MINIFS($A$2:$A$5001,$B$2:$B$5001,B1077),1,0))</f>
        <v/>
      </c>
      <c r="K1077" s="16" t="str">
        <f aca="false">IF(B1077="","",IF(AND(D1077="Formalização",E1077="Concluído"),IF(COUNTIFS($B$2:$B$5001,B1077,$E$2:$E$5001,"Em ajustes",$A$2:$A$5001,"&lt;"&amp;I1077)&gt;0,1,0),0))</f>
        <v/>
      </c>
      <c r="L1077" s="16" t="str">
        <f aca="false">IF(B1077="","",IF(A1077=_xlfn.MAXIFS($A$2:$A$5001,$B$2:$B$5001,B1077,$I$2:$I$5001,I1077),1,0))</f>
        <v/>
      </c>
    </row>
    <row r="1078" customFormat="false" ht="15" hidden="false" customHeight="false" outlineLevel="0" collapsed="false">
      <c r="I1078" s="15" t="str">
        <f aca="false">IF(A1078="","",INT(A1078))</f>
        <v/>
      </c>
      <c r="J1078" s="16" t="str">
        <f aca="false">IF(B1078="","",IF(A1078=_xlfn.MINIFS($A$2:$A$5001,$B$2:$B$5001,B1078),1,0))</f>
        <v/>
      </c>
      <c r="K1078" s="16" t="str">
        <f aca="false">IF(B1078="","",IF(AND(D1078="Formalização",E1078="Concluído"),IF(COUNTIFS($B$2:$B$5001,B1078,$E$2:$E$5001,"Em ajustes",$A$2:$A$5001,"&lt;"&amp;I1078)&gt;0,1,0),0))</f>
        <v/>
      </c>
      <c r="L1078" s="16" t="str">
        <f aca="false">IF(B1078="","",IF(A1078=_xlfn.MAXIFS($A$2:$A$5001,$B$2:$B$5001,B1078,$I$2:$I$5001,I1078),1,0))</f>
        <v/>
      </c>
    </row>
    <row r="1079" customFormat="false" ht="15" hidden="false" customHeight="false" outlineLevel="0" collapsed="false">
      <c r="I1079" s="15" t="str">
        <f aca="false">IF(A1079="","",INT(A1079))</f>
        <v/>
      </c>
      <c r="J1079" s="16" t="str">
        <f aca="false">IF(B1079="","",IF(A1079=_xlfn.MINIFS($A$2:$A$5001,$B$2:$B$5001,B1079),1,0))</f>
        <v/>
      </c>
      <c r="K1079" s="16" t="str">
        <f aca="false">IF(B1079="","",IF(AND(D1079="Formalização",E1079="Concluído"),IF(COUNTIFS($B$2:$B$5001,B1079,$E$2:$E$5001,"Em ajustes",$A$2:$A$5001,"&lt;"&amp;I1079)&gt;0,1,0),0))</f>
        <v/>
      </c>
      <c r="L1079" s="16" t="str">
        <f aca="false">IF(B1079="","",IF(A1079=_xlfn.MAXIFS($A$2:$A$5001,$B$2:$B$5001,B1079,$I$2:$I$5001,I1079),1,0))</f>
        <v/>
      </c>
    </row>
    <row r="1080" customFormat="false" ht="15" hidden="false" customHeight="false" outlineLevel="0" collapsed="false">
      <c r="I1080" s="15" t="str">
        <f aca="false">IF(A1080="","",INT(A1080))</f>
        <v/>
      </c>
      <c r="J1080" s="16" t="str">
        <f aca="false">IF(B1080="","",IF(A1080=_xlfn.MINIFS($A$2:$A$5001,$B$2:$B$5001,B1080),1,0))</f>
        <v/>
      </c>
      <c r="K1080" s="16" t="str">
        <f aca="false">IF(B1080="","",IF(AND(D1080="Formalização",E1080="Concluído"),IF(COUNTIFS($B$2:$B$5001,B1080,$E$2:$E$5001,"Em ajustes",$A$2:$A$5001,"&lt;"&amp;I1080)&gt;0,1,0),0))</f>
        <v/>
      </c>
      <c r="L1080" s="16" t="str">
        <f aca="false">IF(B1080="","",IF(A1080=_xlfn.MAXIFS($A$2:$A$5001,$B$2:$B$5001,B1080,$I$2:$I$5001,I1080),1,0))</f>
        <v/>
      </c>
    </row>
    <row r="1081" customFormat="false" ht="15" hidden="false" customHeight="false" outlineLevel="0" collapsed="false">
      <c r="I1081" s="15" t="str">
        <f aca="false">IF(A1081="","",INT(A1081))</f>
        <v/>
      </c>
      <c r="J1081" s="16" t="str">
        <f aca="false">IF(B1081="","",IF(A1081=_xlfn.MINIFS($A$2:$A$5001,$B$2:$B$5001,B1081),1,0))</f>
        <v/>
      </c>
      <c r="K1081" s="16" t="str">
        <f aca="false">IF(B1081="","",IF(AND(D1081="Formalização",E1081="Concluído"),IF(COUNTIFS($B$2:$B$5001,B1081,$E$2:$E$5001,"Em ajustes",$A$2:$A$5001,"&lt;"&amp;I1081)&gt;0,1,0),0))</f>
        <v/>
      </c>
      <c r="L1081" s="16" t="str">
        <f aca="false">IF(B1081="","",IF(A1081=_xlfn.MAXIFS($A$2:$A$5001,$B$2:$B$5001,B1081,$I$2:$I$5001,I1081),1,0))</f>
        <v/>
      </c>
    </row>
    <row r="1082" customFormat="false" ht="15" hidden="false" customHeight="false" outlineLevel="0" collapsed="false">
      <c r="I1082" s="15" t="str">
        <f aca="false">IF(A1082="","",INT(A1082))</f>
        <v/>
      </c>
      <c r="J1082" s="16" t="str">
        <f aca="false">IF(B1082="","",IF(A1082=_xlfn.MINIFS($A$2:$A$5001,$B$2:$B$5001,B1082),1,0))</f>
        <v/>
      </c>
      <c r="K1082" s="16" t="str">
        <f aca="false">IF(B1082="","",IF(AND(D1082="Formalização",E1082="Concluído"),IF(COUNTIFS($B$2:$B$5001,B1082,$E$2:$E$5001,"Em ajustes",$A$2:$A$5001,"&lt;"&amp;I1082)&gt;0,1,0),0))</f>
        <v/>
      </c>
      <c r="L1082" s="16" t="str">
        <f aca="false">IF(B1082="","",IF(A1082=_xlfn.MAXIFS($A$2:$A$5001,$B$2:$B$5001,B1082,$I$2:$I$5001,I1082),1,0))</f>
        <v/>
      </c>
    </row>
    <row r="1083" customFormat="false" ht="15" hidden="false" customHeight="false" outlineLevel="0" collapsed="false">
      <c r="I1083" s="15" t="str">
        <f aca="false">IF(A1083="","",INT(A1083))</f>
        <v/>
      </c>
      <c r="J1083" s="16" t="str">
        <f aca="false">IF(B1083="","",IF(A1083=_xlfn.MINIFS($A$2:$A$5001,$B$2:$B$5001,B1083),1,0))</f>
        <v/>
      </c>
      <c r="K1083" s="16" t="str">
        <f aca="false">IF(B1083="","",IF(AND(D1083="Formalização",E1083="Concluído"),IF(COUNTIFS($B$2:$B$5001,B1083,$E$2:$E$5001,"Em ajustes",$A$2:$A$5001,"&lt;"&amp;I1083)&gt;0,1,0),0))</f>
        <v/>
      </c>
      <c r="L1083" s="16" t="str">
        <f aca="false">IF(B1083="","",IF(A1083=_xlfn.MAXIFS($A$2:$A$5001,$B$2:$B$5001,B1083,$I$2:$I$5001,I1083),1,0))</f>
        <v/>
      </c>
    </row>
    <row r="1084" customFormat="false" ht="15" hidden="false" customHeight="false" outlineLevel="0" collapsed="false">
      <c r="I1084" s="15" t="str">
        <f aca="false">IF(A1084="","",INT(A1084))</f>
        <v/>
      </c>
      <c r="J1084" s="16" t="str">
        <f aca="false">IF(B1084="","",IF(A1084=_xlfn.MINIFS($A$2:$A$5001,$B$2:$B$5001,B1084),1,0))</f>
        <v/>
      </c>
      <c r="K1084" s="16" t="str">
        <f aca="false">IF(B1084="","",IF(AND(D1084="Formalização",E1084="Concluído"),IF(COUNTIFS($B$2:$B$5001,B1084,$E$2:$E$5001,"Em ajustes",$A$2:$A$5001,"&lt;"&amp;I1084)&gt;0,1,0),0))</f>
        <v/>
      </c>
      <c r="L1084" s="16" t="str">
        <f aca="false">IF(B1084="","",IF(A1084=_xlfn.MAXIFS($A$2:$A$5001,$B$2:$B$5001,B1084,$I$2:$I$5001,I1084),1,0))</f>
        <v/>
      </c>
    </row>
    <row r="1085" customFormat="false" ht="15" hidden="false" customHeight="false" outlineLevel="0" collapsed="false">
      <c r="I1085" s="15" t="str">
        <f aca="false">IF(A1085="","",INT(A1085))</f>
        <v/>
      </c>
      <c r="J1085" s="16" t="str">
        <f aca="false">IF(B1085="","",IF(A1085=_xlfn.MINIFS($A$2:$A$5001,$B$2:$B$5001,B1085),1,0))</f>
        <v/>
      </c>
      <c r="K1085" s="16" t="str">
        <f aca="false">IF(B1085="","",IF(AND(D1085="Formalização",E1085="Concluído"),IF(COUNTIFS($B$2:$B$5001,B1085,$E$2:$E$5001,"Em ajustes",$A$2:$A$5001,"&lt;"&amp;I1085)&gt;0,1,0),0))</f>
        <v/>
      </c>
      <c r="L1085" s="16" t="str">
        <f aca="false">IF(B1085="","",IF(A1085=_xlfn.MAXIFS($A$2:$A$5001,$B$2:$B$5001,B1085,$I$2:$I$5001,I1085),1,0))</f>
        <v/>
      </c>
    </row>
    <row r="1086" customFormat="false" ht="15" hidden="false" customHeight="false" outlineLevel="0" collapsed="false">
      <c r="I1086" s="15" t="str">
        <f aca="false">IF(A1086="","",INT(A1086))</f>
        <v/>
      </c>
      <c r="J1086" s="16" t="str">
        <f aca="false">IF(B1086="","",IF(A1086=_xlfn.MINIFS($A$2:$A$5001,$B$2:$B$5001,B1086),1,0))</f>
        <v/>
      </c>
      <c r="K1086" s="16" t="str">
        <f aca="false">IF(B1086="","",IF(AND(D1086="Formalização",E1086="Concluído"),IF(COUNTIFS($B$2:$B$5001,B1086,$E$2:$E$5001,"Em ajustes",$A$2:$A$5001,"&lt;"&amp;I1086)&gt;0,1,0),0))</f>
        <v/>
      </c>
      <c r="L1086" s="16" t="str">
        <f aca="false">IF(B1086="","",IF(A1086=_xlfn.MAXIFS($A$2:$A$5001,$B$2:$B$5001,B1086,$I$2:$I$5001,I1086),1,0))</f>
        <v/>
      </c>
    </row>
    <row r="1087" customFormat="false" ht="15" hidden="false" customHeight="false" outlineLevel="0" collapsed="false">
      <c r="I1087" s="15" t="str">
        <f aca="false">IF(A1087="","",INT(A1087))</f>
        <v/>
      </c>
      <c r="J1087" s="16" t="str">
        <f aca="false">IF(B1087="","",IF(A1087=_xlfn.MINIFS($A$2:$A$5001,$B$2:$B$5001,B1087),1,0))</f>
        <v/>
      </c>
      <c r="K1087" s="16" t="str">
        <f aca="false">IF(B1087="","",IF(AND(D1087="Formalização",E1087="Concluído"),IF(COUNTIFS($B$2:$B$5001,B1087,$E$2:$E$5001,"Em ajustes",$A$2:$A$5001,"&lt;"&amp;I1087)&gt;0,1,0),0))</f>
        <v/>
      </c>
      <c r="L1087" s="16" t="str">
        <f aca="false">IF(B1087="","",IF(A1087=_xlfn.MAXIFS($A$2:$A$5001,$B$2:$B$5001,B1087,$I$2:$I$5001,I1087),1,0))</f>
        <v/>
      </c>
    </row>
    <row r="1088" customFormat="false" ht="15" hidden="false" customHeight="false" outlineLevel="0" collapsed="false">
      <c r="I1088" s="15" t="str">
        <f aca="false">IF(A1088="","",INT(A1088))</f>
        <v/>
      </c>
      <c r="J1088" s="16" t="str">
        <f aca="false">IF(B1088="","",IF(A1088=_xlfn.MINIFS($A$2:$A$5001,$B$2:$B$5001,B1088),1,0))</f>
        <v/>
      </c>
      <c r="K1088" s="16" t="str">
        <f aca="false">IF(B1088="","",IF(AND(D1088="Formalização",E1088="Concluído"),IF(COUNTIFS($B$2:$B$5001,B1088,$E$2:$E$5001,"Em ajustes",$A$2:$A$5001,"&lt;"&amp;I1088)&gt;0,1,0),0))</f>
        <v/>
      </c>
      <c r="L1088" s="16" t="str">
        <f aca="false">IF(B1088="","",IF(A1088=_xlfn.MAXIFS($A$2:$A$5001,$B$2:$B$5001,B1088,$I$2:$I$5001,I1088),1,0))</f>
        <v/>
      </c>
    </row>
    <row r="1089" customFormat="false" ht="15" hidden="false" customHeight="false" outlineLevel="0" collapsed="false">
      <c r="I1089" s="15" t="str">
        <f aca="false">IF(A1089="","",INT(A1089))</f>
        <v/>
      </c>
      <c r="J1089" s="16" t="str">
        <f aca="false">IF(B1089="","",IF(A1089=_xlfn.MINIFS($A$2:$A$5001,$B$2:$B$5001,B1089),1,0))</f>
        <v/>
      </c>
      <c r="K1089" s="16" t="str">
        <f aca="false">IF(B1089="","",IF(AND(D1089="Formalização",E1089="Concluído"),IF(COUNTIFS($B$2:$B$5001,B1089,$E$2:$E$5001,"Em ajustes",$A$2:$A$5001,"&lt;"&amp;I1089)&gt;0,1,0),0))</f>
        <v/>
      </c>
      <c r="L1089" s="16" t="str">
        <f aca="false">IF(B1089="","",IF(A1089=_xlfn.MAXIFS($A$2:$A$5001,$B$2:$B$5001,B1089,$I$2:$I$5001,I1089),1,0))</f>
        <v/>
      </c>
    </row>
    <row r="1090" customFormat="false" ht="15" hidden="false" customHeight="false" outlineLevel="0" collapsed="false">
      <c r="I1090" s="15" t="str">
        <f aca="false">IF(A1090="","",INT(A1090))</f>
        <v/>
      </c>
      <c r="J1090" s="16" t="str">
        <f aca="false">IF(B1090="","",IF(A1090=_xlfn.MINIFS($A$2:$A$5001,$B$2:$B$5001,B1090),1,0))</f>
        <v/>
      </c>
      <c r="K1090" s="16" t="str">
        <f aca="false">IF(B1090="","",IF(AND(D1090="Formalização",E1090="Concluído"),IF(COUNTIFS($B$2:$B$5001,B1090,$E$2:$E$5001,"Em ajustes",$A$2:$A$5001,"&lt;"&amp;I1090)&gt;0,1,0),0))</f>
        <v/>
      </c>
      <c r="L1090" s="16" t="str">
        <f aca="false">IF(B1090="","",IF(A1090=_xlfn.MAXIFS($A$2:$A$5001,$B$2:$B$5001,B1090,$I$2:$I$5001,I1090),1,0))</f>
        <v/>
      </c>
    </row>
    <row r="1091" customFormat="false" ht="15" hidden="false" customHeight="false" outlineLevel="0" collapsed="false">
      <c r="I1091" s="15" t="str">
        <f aca="false">IF(A1091="","",INT(A1091))</f>
        <v/>
      </c>
      <c r="J1091" s="16" t="str">
        <f aca="false">IF(B1091="","",IF(A1091=_xlfn.MINIFS($A$2:$A$5001,$B$2:$B$5001,B1091),1,0))</f>
        <v/>
      </c>
      <c r="K1091" s="16" t="str">
        <f aca="false">IF(B1091="","",IF(AND(D1091="Formalização",E1091="Concluído"),IF(COUNTIFS($B$2:$B$5001,B1091,$E$2:$E$5001,"Em ajustes",$A$2:$A$5001,"&lt;"&amp;I1091)&gt;0,1,0),0))</f>
        <v/>
      </c>
      <c r="L1091" s="16" t="str">
        <f aca="false">IF(B1091="","",IF(A1091=_xlfn.MAXIFS($A$2:$A$5001,$B$2:$B$5001,B1091,$I$2:$I$5001,I1091),1,0))</f>
        <v/>
      </c>
    </row>
    <row r="1092" customFormat="false" ht="15" hidden="false" customHeight="false" outlineLevel="0" collapsed="false">
      <c r="I1092" s="15" t="str">
        <f aca="false">IF(A1092="","",INT(A1092))</f>
        <v/>
      </c>
      <c r="J1092" s="16" t="str">
        <f aca="false">IF(B1092="","",IF(A1092=_xlfn.MINIFS($A$2:$A$5001,$B$2:$B$5001,B1092),1,0))</f>
        <v/>
      </c>
      <c r="K1092" s="16" t="str">
        <f aca="false">IF(B1092="","",IF(AND(D1092="Formalização",E1092="Concluído"),IF(COUNTIFS($B$2:$B$5001,B1092,$E$2:$E$5001,"Em ajustes",$A$2:$A$5001,"&lt;"&amp;I1092)&gt;0,1,0),0))</f>
        <v/>
      </c>
      <c r="L1092" s="16" t="str">
        <f aca="false">IF(B1092="","",IF(A1092=_xlfn.MAXIFS($A$2:$A$5001,$B$2:$B$5001,B1092,$I$2:$I$5001,I1092),1,0))</f>
        <v/>
      </c>
    </row>
    <row r="1093" customFormat="false" ht="15" hidden="false" customHeight="false" outlineLevel="0" collapsed="false">
      <c r="I1093" s="15" t="str">
        <f aca="false">IF(A1093="","",INT(A1093))</f>
        <v/>
      </c>
      <c r="J1093" s="16" t="str">
        <f aca="false">IF(B1093="","",IF(A1093=_xlfn.MINIFS($A$2:$A$5001,$B$2:$B$5001,B1093),1,0))</f>
        <v/>
      </c>
      <c r="K1093" s="16" t="str">
        <f aca="false">IF(B1093="","",IF(AND(D1093="Formalização",E1093="Concluído"),IF(COUNTIFS($B$2:$B$5001,B1093,$E$2:$E$5001,"Em ajustes",$A$2:$A$5001,"&lt;"&amp;I1093)&gt;0,1,0),0))</f>
        <v/>
      </c>
      <c r="L1093" s="16" t="str">
        <f aca="false">IF(B1093="","",IF(A1093=_xlfn.MAXIFS($A$2:$A$5001,$B$2:$B$5001,B1093,$I$2:$I$5001,I1093),1,0))</f>
        <v/>
      </c>
    </row>
    <row r="1094" customFormat="false" ht="15" hidden="false" customHeight="false" outlineLevel="0" collapsed="false">
      <c r="I1094" s="15" t="str">
        <f aca="false">IF(A1094="","",INT(A1094))</f>
        <v/>
      </c>
      <c r="J1094" s="16" t="str">
        <f aca="false">IF(B1094="","",IF(A1094=_xlfn.MINIFS($A$2:$A$5001,$B$2:$B$5001,B1094),1,0))</f>
        <v/>
      </c>
      <c r="K1094" s="16" t="str">
        <f aca="false">IF(B1094="","",IF(AND(D1094="Formalização",E1094="Concluído"),IF(COUNTIFS($B$2:$B$5001,B1094,$E$2:$E$5001,"Em ajustes",$A$2:$A$5001,"&lt;"&amp;I1094)&gt;0,1,0),0))</f>
        <v/>
      </c>
      <c r="L1094" s="16" t="str">
        <f aca="false">IF(B1094="","",IF(A1094=_xlfn.MAXIFS($A$2:$A$5001,$B$2:$B$5001,B1094,$I$2:$I$5001,I1094),1,0))</f>
        <v/>
      </c>
    </row>
    <row r="1095" customFormat="false" ht="15" hidden="false" customHeight="false" outlineLevel="0" collapsed="false">
      <c r="I1095" s="15" t="str">
        <f aca="false">IF(A1095="","",INT(A1095))</f>
        <v/>
      </c>
      <c r="J1095" s="16" t="str">
        <f aca="false">IF(B1095="","",IF(A1095=_xlfn.MINIFS($A$2:$A$5001,$B$2:$B$5001,B1095),1,0))</f>
        <v/>
      </c>
      <c r="K1095" s="16" t="str">
        <f aca="false">IF(B1095="","",IF(AND(D1095="Formalização",E1095="Concluído"),IF(COUNTIFS($B$2:$B$5001,B1095,$E$2:$E$5001,"Em ajustes",$A$2:$A$5001,"&lt;"&amp;I1095)&gt;0,1,0),0))</f>
        <v/>
      </c>
      <c r="L1095" s="16" t="str">
        <f aca="false">IF(B1095="","",IF(A1095=_xlfn.MAXIFS($A$2:$A$5001,$B$2:$B$5001,B1095,$I$2:$I$5001,I1095),1,0))</f>
        <v/>
      </c>
    </row>
    <row r="1096" customFormat="false" ht="15" hidden="false" customHeight="false" outlineLevel="0" collapsed="false">
      <c r="I1096" s="15" t="str">
        <f aca="false">IF(A1096="","",INT(A1096))</f>
        <v/>
      </c>
      <c r="J1096" s="16" t="str">
        <f aca="false">IF(B1096="","",IF(A1096=_xlfn.MINIFS($A$2:$A$5001,$B$2:$B$5001,B1096),1,0))</f>
        <v/>
      </c>
      <c r="K1096" s="16" t="str">
        <f aca="false">IF(B1096="","",IF(AND(D1096="Formalização",E1096="Concluído"),IF(COUNTIFS($B$2:$B$5001,B1096,$E$2:$E$5001,"Em ajustes",$A$2:$A$5001,"&lt;"&amp;I1096)&gt;0,1,0),0))</f>
        <v/>
      </c>
      <c r="L1096" s="16" t="str">
        <f aca="false">IF(B1096="","",IF(A1096=_xlfn.MAXIFS($A$2:$A$5001,$B$2:$B$5001,B1096,$I$2:$I$5001,I1096),1,0))</f>
        <v/>
      </c>
    </row>
    <row r="1097" customFormat="false" ht="15" hidden="false" customHeight="false" outlineLevel="0" collapsed="false">
      <c r="I1097" s="15" t="str">
        <f aca="false">IF(A1097="","",INT(A1097))</f>
        <v/>
      </c>
      <c r="J1097" s="16" t="str">
        <f aca="false">IF(B1097="","",IF(A1097=_xlfn.MINIFS($A$2:$A$5001,$B$2:$B$5001,B1097),1,0))</f>
        <v/>
      </c>
      <c r="K1097" s="16" t="str">
        <f aca="false">IF(B1097="","",IF(AND(D1097="Formalização",E1097="Concluído"),IF(COUNTIFS($B$2:$B$5001,B1097,$E$2:$E$5001,"Em ajustes",$A$2:$A$5001,"&lt;"&amp;I1097)&gt;0,1,0),0))</f>
        <v/>
      </c>
      <c r="L1097" s="16" t="str">
        <f aca="false">IF(B1097="","",IF(A1097=_xlfn.MAXIFS($A$2:$A$5001,$B$2:$B$5001,B1097,$I$2:$I$5001,I1097),1,0))</f>
        <v/>
      </c>
    </row>
    <row r="1098" customFormat="false" ht="15" hidden="false" customHeight="false" outlineLevel="0" collapsed="false">
      <c r="I1098" s="15" t="str">
        <f aca="false">IF(A1098="","",INT(A1098))</f>
        <v/>
      </c>
      <c r="J1098" s="16" t="str">
        <f aca="false">IF(B1098="","",IF(A1098=_xlfn.MINIFS($A$2:$A$5001,$B$2:$B$5001,B1098),1,0))</f>
        <v/>
      </c>
      <c r="K1098" s="16" t="str">
        <f aca="false">IF(B1098="","",IF(AND(D1098="Formalização",E1098="Concluído"),IF(COUNTIFS($B$2:$B$5001,B1098,$E$2:$E$5001,"Em ajustes",$A$2:$A$5001,"&lt;"&amp;I1098)&gt;0,1,0),0))</f>
        <v/>
      </c>
      <c r="L1098" s="16" t="str">
        <f aca="false">IF(B1098="","",IF(A1098=_xlfn.MAXIFS($A$2:$A$5001,$B$2:$B$5001,B1098,$I$2:$I$5001,I1098),1,0))</f>
        <v/>
      </c>
    </row>
    <row r="1099" customFormat="false" ht="15" hidden="false" customHeight="false" outlineLevel="0" collapsed="false">
      <c r="I1099" s="15" t="str">
        <f aca="false">IF(A1099="","",INT(A1099))</f>
        <v/>
      </c>
      <c r="J1099" s="16" t="str">
        <f aca="false">IF(B1099="","",IF(A1099=_xlfn.MINIFS($A$2:$A$5001,$B$2:$B$5001,B1099),1,0))</f>
        <v/>
      </c>
      <c r="K1099" s="16" t="str">
        <f aca="false">IF(B1099="","",IF(AND(D1099="Formalização",E1099="Concluído"),IF(COUNTIFS($B$2:$B$5001,B1099,$E$2:$E$5001,"Em ajustes",$A$2:$A$5001,"&lt;"&amp;I1099)&gt;0,1,0),0))</f>
        <v/>
      </c>
      <c r="L1099" s="16" t="str">
        <f aca="false">IF(B1099="","",IF(A1099=_xlfn.MAXIFS($A$2:$A$5001,$B$2:$B$5001,B1099,$I$2:$I$5001,I1099),1,0))</f>
        <v/>
      </c>
    </row>
    <row r="1100" customFormat="false" ht="15" hidden="false" customHeight="false" outlineLevel="0" collapsed="false">
      <c r="I1100" s="15" t="str">
        <f aca="false">IF(A1100="","",INT(A1100))</f>
        <v/>
      </c>
      <c r="J1100" s="16" t="str">
        <f aca="false">IF(B1100="","",IF(A1100=_xlfn.MINIFS($A$2:$A$5001,$B$2:$B$5001,B1100),1,0))</f>
        <v/>
      </c>
      <c r="K1100" s="16" t="str">
        <f aca="false">IF(B1100="","",IF(AND(D1100="Formalização",E1100="Concluído"),IF(COUNTIFS($B$2:$B$5001,B1100,$E$2:$E$5001,"Em ajustes",$A$2:$A$5001,"&lt;"&amp;I1100)&gt;0,1,0),0))</f>
        <v/>
      </c>
      <c r="L1100" s="16" t="str">
        <f aca="false">IF(B1100="","",IF(A1100=_xlfn.MAXIFS($A$2:$A$5001,$B$2:$B$5001,B1100,$I$2:$I$5001,I1100),1,0))</f>
        <v/>
      </c>
    </row>
    <row r="1101" customFormat="false" ht="15" hidden="false" customHeight="false" outlineLevel="0" collapsed="false">
      <c r="I1101" s="15" t="str">
        <f aca="false">IF(A1101="","",INT(A1101))</f>
        <v/>
      </c>
      <c r="J1101" s="16" t="str">
        <f aca="false">IF(B1101="","",IF(A1101=_xlfn.MINIFS($A$2:$A$5001,$B$2:$B$5001,B1101),1,0))</f>
        <v/>
      </c>
      <c r="K1101" s="16" t="str">
        <f aca="false">IF(B1101="","",IF(AND(D1101="Formalização",E1101="Concluído"),IF(COUNTIFS($B$2:$B$5001,B1101,$E$2:$E$5001,"Em ajustes",$A$2:$A$5001,"&lt;"&amp;I1101)&gt;0,1,0),0))</f>
        <v/>
      </c>
      <c r="L1101" s="16" t="str">
        <f aca="false">IF(B1101="","",IF(A1101=_xlfn.MAXIFS($A$2:$A$5001,$B$2:$B$5001,B1101,$I$2:$I$5001,I1101),1,0))</f>
        <v/>
      </c>
    </row>
    <row r="1102" customFormat="false" ht="15" hidden="false" customHeight="false" outlineLevel="0" collapsed="false">
      <c r="I1102" s="15" t="str">
        <f aca="false">IF(A1102="","",INT(A1102))</f>
        <v/>
      </c>
      <c r="J1102" s="16" t="str">
        <f aca="false">IF(B1102="","",IF(A1102=_xlfn.MINIFS($A$2:$A$5001,$B$2:$B$5001,B1102),1,0))</f>
        <v/>
      </c>
      <c r="K1102" s="16" t="str">
        <f aca="false">IF(B1102="","",IF(AND(D1102="Formalização",E1102="Concluído"),IF(COUNTIFS($B$2:$B$5001,B1102,$E$2:$E$5001,"Em ajustes",$A$2:$A$5001,"&lt;"&amp;I1102)&gt;0,1,0),0))</f>
        <v/>
      </c>
      <c r="L1102" s="16" t="str">
        <f aca="false">IF(B1102="","",IF(A1102=_xlfn.MAXIFS($A$2:$A$5001,$B$2:$B$5001,B1102,$I$2:$I$5001,I1102),1,0))</f>
        <v/>
      </c>
    </row>
    <row r="1103" customFormat="false" ht="15" hidden="false" customHeight="false" outlineLevel="0" collapsed="false">
      <c r="I1103" s="15" t="str">
        <f aca="false">IF(A1103="","",INT(A1103))</f>
        <v/>
      </c>
      <c r="J1103" s="16" t="str">
        <f aca="false">IF(B1103="","",IF(A1103=_xlfn.MINIFS($A$2:$A$5001,$B$2:$B$5001,B1103),1,0))</f>
        <v/>
      </c>
      <c r="K1103" s="16" t="str">
        <f aca="false">IF(B1103="","",IF(AND(D1103="Formalização",E1103="Concluído"),IF(COUNTIFS($B$2:$B$5001,B1103,$E$2:$E$5001,"Em ajustes",$A$2:$A$5001,"&lt;"&amp;I1103)&gt;0,1,0),0))</f>
        <v/>
      </c>
      <c r="L1103" s="16" t="str">
        <f aca="false">IF(B1103="","",IF(A1103=_xlfn.MAXIFS($A$2:$A$5001,$B$2:$B$5001,B1103,$I$2:$I$5001,I1103),1,0))</f>
        <v/>
      </c>
    </row>
    <row r="1104" customFormat="false" ht="15" hidden="false" customHeight="false" outlineLevel="0" collapsed="false">
      <c r="I1104" s="15" t="str">
        <f aca="false">IF(A1104="","",INT(A1104))</f>
        <v/>
      </c>
      <c r="J1104" s="16" t="str">
        <f aca="false">IF(B1104="","",IF(A1104=_xlfn.MINIFS($A$2:$A$5001,$B$2:$B$5001,B1104),1,0))</f>
        <v/>
      </c>
      <c r="K1104" s="16" t="str">
        <f aca="false">IF(B1104="","",IF(AND(D1104="Formalização",E1104="Concluído"),IF(COUNTIFS($B$2:$B$5001,B1104,$E$2:$E$5001,"Em ajustes",$A$2:$A$5001,"&lt;"&amp;I1104)&gt;0,1,0),0))</f>
        <v/>
      </c>
      <c r="L1104" s="16" t="str">
        <f aca="false">IF(B1104="","",IF(A1104=_xlfn.MAXIFS($A$2:$A$5001,$B$2:$B$5001,B1104,$I$2:$I$5001,I1104),1,0))</f>
        <v/>
      </c>
    </row>
    <row r="1105" customFormat="false" ht="15" hidden="false" customHeight="false" outlineLevel="0" collapsed="false">
      <c r="I1105" s="15" t="str">
        <f aca="false">IF(A1105="","",INT(A1105))</f>
        <v/>
      </c>
      <c r="J1105" s="16" t="str">
        <f aca="false">IF(B1105="","",IF(A1105=_xlfn.MINIFS($A$2:$A$5001,$B$2:$B$5001,B1105),1,0))</f>
        <v/>
      </c>
      <c r="K1105" s="16" t="str">
        <f aca="false">IF(B1105="","",IF(AND(D1105="Formalização",E1105="Concluído"),IF(COUNTIFS($B$2:$B$5001,B1105,$E$2:$E$5001,"Em ajustes",$A$2:$A$5001,"&lt;"&amp;I1105)&gt;0,1,0),0))</f>
        <v/>
      </c>
      <c r="L1105" s="16" t="str">
        <f aca="false">IF(B1105="","",IF(A1105=_xlfn.MAXIFS($A$2:$A$5001,$B$2:$B$5001,B1105,$I$2:$I$5001,I1105),1,0))</f>
        <v/>
      </c>
    </row>
    <row r="1106" customFormat="false" ht="15" hidden="false" customHeight="false" outlineLevel="0" collapsed="false">
      <c r="I1106" s="15" t="str">
        <f aca="false">IF(A1106="","",INT(A1106))</f>
        <v/>
      </c>
      <c r="J1106" s="16" t="str">
        <f aca="false">IF(B1106="","",IF(A1106=_xlfn.MINIFS($A$2:$A$5001,$B$2:$B$5001,B1106),1,0))</f>
        <v/>
      </c>
      <c r="K1106" s="16" t="str">
        <f aca="false">IF(B1106="","",IF(AND(D1106="Formalização",E1106="Concluído"),IF(COUNTIFS($B$2:$B$5001,B1106,$E$2:$E$5001,"Em ajustes",$A$2:$A$5001,"&lt;"&amp;I1106)&gt;0,1,0),0))</f>
        <v/>
      </c>
      <c r="L1106" s="16" t="str">
        <f aca="false">IF(B1106="","",IF(A1106=_xlfn.MAXIFS($A$2:$A$5001,$B$2:$B$5001,B1106,$I$2:$I$5001,I1106),1,0))</f>
        <v/>
      </c>
    </row>
    <row r="1107" customFormat="false" ht="15" hidden="false" customHeight="false" outlineLevel="0" collapsed="false">
      <c r="I1107" s="15" t="str">
        <f aca="false">IF(A1107="","",INT(A1107))</f>
        <v/>
      </c>
      <c r="J1107" s="16" t="str">
        <f aca="false">IF(B1107="","",IF(A1107=_xlfn.MINIFS($A$2:$A$5001,$B$2:$B$5001,B1107),1,0))</f>
        <v/>
      </c>
      <c r="K1107" s="16" t="str">
        <f aca="false">IF(B1107="","",IF(AND(D1107="Formalização",E1107="Concluído"),IF(COUNTIFS($B$2:$B$5001,B1107,$E$2:$E$5001,"Em ajustes",$A$2:$A$5001,"&lt;"&amp;I1107)&gt;0,1,0),0))</f>
        <v/>
      </c>
      <c r="L1107" s="16" t="str">
        <f aca="false">IF(B1107="","",IF(A1107=_xlfn.MAXIFS($A$2:$A$5001,$B$2:$B$5001,B1107,$I$2:$I$5001,I1107),1,0))</f>
        <v/>
      </c>
    </row>
    <row r="1108" customFormat="false" ht="15" hidden="false" customHeight="false" outlineLevel="0" collapsed="false">
      <c r="I1108" s="15" t="str">
        <f aca="false">IF(A1108="","",INT(A1108))</f>
        <v/>
      </c>
      <c r="J1108" s="16" t="str">
        <f aca="false">IF(B1108="","",IF(A1108=_xlfn.MINIFS($A$2:$A$5001,$B$2:$B$5001,B1108),1,0))</f>
        <v/>
      </c>
      <c r="K1108" s="16" t="str">
        <f aca="false">IF(B1108="","",IF(AND(D1108="Formalização",E1108="Concluído"),IF(COUNTIFS($B$2:$B$5001,B1108,$E$2:$E$5001,"Em ajustes",$A$2:$A$5001,"&lt;"&amp;I1108)&gt;0,1,0),0))</f>
        <v/>
      </c>
      <c r="L1108" s="16" t="str">
        <f aca="false">IF(B1108="","",IF(A1108=_xlfn.MAXIFS($A$2:$A$5001,$B$2:$B$5001,B1108,$I$2:$I$5001,I1108),1,0))</f>
        <v/>
      </c>
    </row>
    <row r="1109" customFormat="false" ht="15" hidden="false" customHeight="false" outlineLevel="0" collapsed="false">
      <c r="I1109" s="15" t="str">
        <f aca="false">IF(A1109="","",INT(A1109))</f>
        <v/>
      </c>
      <c r="J1109" s="16" t="str">
        <f aca="false">IF(B1109="","",IF(A1109=_xlfn.MINIFS($A$2:$A$5001,$B$2:$B$5001,B1109),1,0))</f>
        <v/>
      </c>
      <c r="K1109" s="16" t="str">
        <f aca="false">IF(B1109="","",IF(AND(D1109="Formalização",E1109="Concluído"),IF(COUNTIFS($B$2:$B$5001,B1109,$E$2:$E$5001,"Em ajustes",$A$2:$A$5001,"&lt;"&amp;I1109)&gt;0,1,0),0))</f>
        <v/>
      </c>
      <c r="L1109" s="16" t="str">
        <f aca="false">IF(B1109="","",IF(A1109=_xlfn.MAXIFS($A$2:$A$5001,$B$2:$B$5001,B1109,$I$2:$I$5001,I1109),1,0))</f>
        <v/>
      </c>
    </row>
    <row r="1110" customFormat="false" ht="15" hidden="false" customHeight="false" outlineLevel="0" collapsed="false">
      <c r="I1110" s="15" t="str">
        <f aca="false">IF(A1110="","",INT(A1110))</f>
        <v/>
      </c>
      <c r="J1110" s="16" t="str">
        <f aca="false">IF(B1110="","",IF(A1110=_xlfn.MINIFS($A$2:$A$5001,$B$2:$B$5001,B1110),1,0))</f>
        <v/>
      </c>
      <c r="K1110" s="16" t="str">
        <f aca="false">IF(B1110="","",IF(AND(D1110="Formalização",E1110="Concluído"),IF(COUNTIFS($B$2:$B$5001,B1110,$E$2:$E$5001,"Em ajustes",$A$2:$A$5001,"&lt;"&amp;I1110)&gt;0,1,0),0))</f>
        <v/>
      </c>
      <c r="L1110" s="16" t="str">
        <f aca="false">IF(B1110="","",IF(A1110=_xlfn.MAXIFS($A$2:$A$5001,$B$2:$B$5001,B1110,$I$2:$I$5001,I1110),1,0))</f>
        <v/>
      </c>
    </row>
    <row r="1111" customFormat="false" ht="15" hidden="false" customHeight="false" outlineLevel="0" collapsed="false">
      <c r="I1111" s="15" t="str">
        <f aca="false">IF(A1111="","",INT(A1111))</f>
        <v/>
      </c>
      <c r="J1111" s="16" t="str">
        <f aca="false">IF(B1111="","",IF(A1111=_xlfn.MINIFS($A$2:$A$5001,$B$2:$B$5001,B1111),1,0))</f>
        <v/>
      </c>
      <c r="K1111" s="16" t="str">
        <f aca="false">IF(B1111="","",IF(AND(D1111="Formalização",E1111="Concluído"),IF(COUNTIFS($B$2:$B$5001,B1111,$E$2:$E$5001,"Em ajustes",$A$2:$A$5001,"&lt;"&amp;I1111)&gt;0,1,0),0))</f>
        <v/>
      </c>
      <c r="L1111" s="16" t="str">
        <f aca="false">IF(B1111="","",IF(A1111=_xlfn.MAXIFS($A$2:$A$5001,$B$2:$B$5001,B1111,$I$2:$I$5001,I1111),1,0))</f>
        <v/>
      </c>
    </row>
    <row r="1112" customFormat="false" ht="15" hidden="false" customHeight="false" outlineLevel="0" collapsed="false">
      <c r="I1112" s="15" t="str">
        <f aca="false">IF(A1112="","",INT(A1112))</f>
        <v/>
      </c>
      <c r="J1112" s="16" t="str">
        <f aca="false">IF(B1112="","",IF(A1112=_xlfn.MINIFS($A$2:$A$5001,$B$2:$B$5001,B1112),1,0))</f>
        <v/>
      </c>
      <c r="K1112" s="16" t="str">
        <f aca="false">IF(B1112="","",IF(AND(D1112="Formalização",E1112="Concluído"),IF(COUNTIFS($B$2:$B$5001,B1112,$E$2:$E$5001,"Em ajustes",$A$2:$A$5001,"&lt;"&amp;I1112)&gt;0,1,0),0))</f>
        <v/>
      </c>
      <c r="L1112" s="16" t="str">
        <f aca="false">IF(B1112="","",IF(A1112=_xlfn.MAXIFS($A$2:$A$5001,$B$2:$B$5001,B1112,$I$2:$I$5001,I1112),1,0))</f>
        <v/>
      </c>
    </row>
    <row r="1113" customFormat="false" ht="15" hidden="false" customHeight="false" outlineLevel="0" collapsed="false">
      <c r="I1113" s="15" t="str">
        <f aca="false">IF(A1113="","",INT(A1113))</f>
        <v/>
      </c>
      <c r="J1113" s="16" t="str">
        <f aca="false">IF(B1113="","",IF(A1113=_xlfn.MINIFS($A$2:$A$5001,$B$2:$B$5001,B1113),1,0))</f>
        <v/>
      </c>
      <c r="K1113" s="16" t="str">
        <f aca="false">IF(B1113="","",IF(AND(D1113="Formalização",E1113="Concluído"),IF(COUNTIFS($B$2:$B$5001,B1113,$E$2:$E$5001,"Em ajustes",$A$2:$A$5001,"&lt;"&amp;I1113)&gt;0,1,0),0))</f>
        <v/>
      </c>
      <c r="L1113" s="16" t="str">
        <f aca="false">IF(B1113="","",IF(A1113=_xlfn.MAXIFS($A$2:$A$5001,$B$2:$B$5001,B1113,$I$2:$I$5001,I1113),1,0))</f>
        <v/>
      </c>
    </row>
    <row r="1114" customFormat="false" ht="15" hidden="false" customHeight="false" outlineLevel="0" collapsed="false">
      <c r="I1114" s="15" t="str">
        <f aca="false">IF(A1114="","",INT(A1114))</f>
        <v/>
      </c>
      <c r="J1114" s="16" t="str">
        <f aca="false">IF(B1114="","",IF(A1114=_xlfn.MINIFS($A$2:$A$5001,$B$2:$B$5001,B1114),1,0))</f>
        <v/>
      </c>
      <c r="K1114" s="16" t="str">
        <f aca="false">IF(B1114="","",IF(AND(D1114="Formalização",E1114="Concluído"),IF(COUNTIFS($B$2:$B$5001,B1114,$E$2:$E$5001,"Em ajustes",$A$2:$A$5001,"&lt;"&amp;I1114)&gt;0,1,0),0))</f>
        <v/>
      </c>
      <c r="L1114" s="16" t="str">
        <f aca="false">IF(B1114="","",IF(A1114=_xlfn.MAXIFS($A$2:$A$5001,$B$2:$B$5001,B1114,$I$2:$I$5001,I1114),1,0))</f>
        <v/>
      </c>
    </row>
    <row r="1115" customFormat="false" ht="15" hidden="false" customHeight="false" outlineLevel="0" collapsed="false">
      <c r="I1115" s="15" t="str">
        <f aca="false">IF(A1115="","",INT(A1115))</f>
        <v/>
      </c>
      <c r="J1115" s="16" t="str">
        <f aca="false">IF(B1115="","",IF(A1115=_xlfn.MINIFS($A$2:$A$5001,$B$2:$B$5001,B1115),1,0))</f>
        <v/>
      </c>
      <c r="K1115" s="16" t="str">
        <f aca="false">IF(B1115="","",IF(AND(D1115="Formalização",E1115="Concluído"),IF(COUNTIFS($B$2:$B$5001,B1115,$E$2:$E$5001,"Em ajustes",$A$2:$A$5001,"&lt;"&amp;I1115)&gt;0,1,0),0))</f>
        <v/>
      </c>
      <c r="L1115" s="16" t="str">
        <f aca="false">IF(B1115="","",IF(A1115=_xlfn.MAXIFS($A$2:$A$5001,$B$2:$B$5001,B1115,$I$2:$I$5001,I1115),1,0))</f>
        <v/>
      </c>
    </row>
    <row r="1116" customFormat="false" ht="15" hidden="false" customHeight="false" outlineLevel="0" collapsed="false">
      <c r="I1116" s="15" t="str">
        <f aca="false">IF(A1116="","",INT(A1116))</f>
        <v/>
      </c>
      <c r="J1116" s="16" t="str">
        <f aca="false">IF(B1116="","",IF(A1116=_xlfn.MINIFS($A$2:$A$5001,$B$2:$B$5001,B1116),1,0))</f>
        <v/>
      </c>
      <c r="K1116" s="16" t="str">
        <f aca="false">IF(B1116="","",IF(AND(D1116="Formalização",E1116="Concluído"),IF(COUNTIFS($B$2:$B$5001,B1116,$E$2:$E$5001,"Em ajustes",$A$2:$A$5001,"&lt;"&amp;I1116)&gt;0,1,0),0))</f>
        <v/>
      </c>
      <c r="L1116" s="16" t="str">
        <f aca="false">IF(B1116="","",IF(A1116=_xlfn.MAXIFS($A$2:$A$5001,$B$2:$B$5001,B1116,$I$2:$I$5001,I1116),1,0))</f>
        <v/>
      </c>
    </row>
    <row r="1117" customFormat="false" ht="15" hidden="false" customHeight="false" outlineLevel="0" collapsed="false">
      <c r="I1117" s="15" t="str">
        <f aca="false">IF(A1117="","",INT(A1117))</f>
        <v/>
      </c>
      <c r="J1117" s="16" t="str">
        <f aca="false">IF(B1117="","",IF(A1117=_xlfn.MINIFS($A$2:$A$5001,$B$2:$B$5001,B1117),1,0))</f>
        <v/>
      </c>
      <c r="K1117" s="16" t="str">
        <f aca="false">IF(B1117="","",IF(AND(D1117="Formalização",E1117="Concluído"),IF(COUNTIFS($B$2:$B$5001,B1117,$E$2:$E$5001,"Em ajustes",$A$2:$A$5001,"&lt;"&amp;I1117)&gt;0,1,0),0))</f>
        <v/>
      </c>
      <c r="L1117" s="16" t="str">
        <f aca="false">IF(B1117="","",IF(A1117=_xlfn.MAXIFS($A$2:$A$5001,$B$2:$B$5001,B1117,$I$2:$I$5001,I1117),1,0))</f>
        <v/>
      </c>
    </row>
    <row r="1118" customFormat="false" ht="15" hidden="false" customHeight="false" outlineLevel="0" collapsed="false">
      <c r="I1118" s="15" t="str">
        <f aca="false">IF(A1118="","",INT(A1118))</f>
        <v/>
      </c>
      <c r="J1118" s="16" t="str">
        <f aca="false">IF(B1118="","",IF(A1118=_xlfn.MINIFS($A$2:$A$5001,$B$2:$B$5001,B1118),1,0))</f>
        <v/>
      </c>
      <c r="K1118" s="16" t="str">
        <f aca="false">IF(B1118="","",IF(AND(D1118="Formalização",E1118="Concluído"),IF(COUNTIFS($B$2:$B$5001,B1118,$E$2:$E$5001,"Em ajustes",$A$2:$A$5001,"&lt;"&amp;I1118)&gt;0,1,0),0))</f>
        <v/>
      </c>
      <c r="L1118" s="16" t="str">
        <f aca="false">IF(B1118="","",IF(A1118=_xlfn.MAXIFS($A$2:$A$5001,$B$2:$B$5001,B1118,$I$2:$I$5001,I1118),1,0))</f>
        <v/>
      </c>
    </row>
    <row r="1119" customFormat="false" ht="15" hidden="false" customHeight="false" outlineLevel="0" collapsed="false">
      <c r="I1119" s="15" t="str">
        <f aca="false">IF(A1119="","",INT(A1119))</f>
        <v/>
      </c>
      <c r="J1119" s="16" t="str">
        <f aca="false">IF(B1119="","",IF(A1119=_xlfn.MINIFS($A$2:$A$5001,$B$2:$B$5001,B1119),1,0))</f>
        <v/>
      </c>
      <c r="K1119" s="16" t="str">
        <f aca="false">IF(B1119="","",IF(AND(D1119="Formalização",E1119="Concluído"),IF(COUNTIFS($B$2:$B$5001,B1119,$E$2:$E$5001,"Em ajustes",$A$2:$A$5001,"&lt;"&amp;I1119)&gt;0,1,0),0))</f>
        <v/>
      </c>
      <c r="L1119" s="16" t="str">
        <f aca="false">IF(B1119="","",IF(A1119=_xlfn.MAXIFS($A$2:$A$5001,$B$2:$B$5001,B1119,$I$2:$I$5001,I1119),1,0))</f>
        <v/>
      </c>
    </row>
    <row r="1120" customFormat="false" ht="15" hidden="false" customHeight="false" outlineLevel="0" collapsed="false">
      <c r="I1120" s="15" t="str">
        <f aca="false">IF(A1120="","",INT(A1120))</f>
        <v/>
      </c>
      <c r="J1120" s="16" t="str">
        <f aca="false">IF(B1120="","",IF(A1120=_xlfn.MINIFS($A$2:$A$5001,$B$2:$B$5001,B1120),1,0))</f>
        <v/>
      </c>
      <c r="K1120" s="16" t="str">
        <f aca="false">IF(B1120="","",IF(AND(D1120="Formalização",E1120="Concluído"),IF(COUNTIFS($B$2:$B$5001,B1120,$E$2:$E$5001,"Em ajustes",$A$2:$A$5001,"&lt;"&amp;I1120)&gt;0,1,0),0))</f>
        <v/>
      </c>
      <c r="L1120" s="16" t="str">
        <f aca="false">IF(B1120="","",IF(A1120=_xlfn.MAXIFS($A$2:$A$5001,$B$2:$B$5001,B1120,$I$2:$I$5001,I1120),1,0))</f>
        <v/>
      </c>
    </row>
    <row r="1121" customFormat="false" ht="15" hidden="false" customHeight="false" outlineLevel="0" collapsed="false">
      <c r="I1121" s="15" t="str">
        <f aca="false">IF(A1121="","",INT(A1121))</f>
        <v/>
      </c>
      <c r="J1121" s="16" t="str">
        <f aca="false">IF(B1121="","",IF(A1121=_xlfn.MINIFS($A$2:$A$5001,$B$2:$B$5001,B1121),1,0))</f>
        <v/>
      </c>
      <c r="K1121" s="16" t="str">
        <f aca="false">IF(B1121="","",IF(AND(D1121="Formalização",E1121="Concluído"),IF(COUNTIFS($B$2:$B$5001,B1121,$E$2:$E$5001,"Em ajustes",$A$2:$A$5001,"&lt;"&amp;I1121)&gt;0,1,0),0))</f>
        <v/>
      </c>
      <c r="L1121" s="16" t="str">
        <f aca="false">IF(B1121="","",IF(A1121=_xlfn.MAXIFS($A$2:$A$5001,$B$2:$B$5001,B1121,$I$2:$I$5001,I1121),1,0))</f>
        <v/>
      </c>
    </row>
    <row r="1122" customFormat="false" ht="15" hidden="false" customHeight="false" outlineLevel="0" collapsed="false">
      <c r="I1122" s="15" t="str">
        <f aca="false">IF(A1122="","",INT(A1122))</f>
        <v/>
      </c>
      <c r="J1122" s="16" t="str">
        <f aca="false">IF(B1122="","",IF(A1122=_xlfn.MINIFS($A$2:$A$5001,$B$2:$B$5001,B1122),1,0))</f>
        <v/>
      </c>
      <c r="K1122" s="16" t="str">
        <f aca="false">IF(B1122="","",IF(AND(D1122="Formalização",E1122="Concluído"),IF(COUNTIFS($B$2:$B$5001,B1122,$E$2:$E$5001,"Em ajustes",$A$2:$A$5001,"&lt;"&amp;I1122)&gt;0,1,0),0))</f>
        <v/>
      </c>
      <c r="L1122" s="16" t="str">
        <f aca="false">IF(B1122="","",IF(A1122=_xlfn.MAXIFS($A$2:$A$5001,$B$2:$B$5001,B1122,$I$2:$I$5001,I1122),1,0))</f>
        <v/>
      </c>
    </row>
    <row r="1123" customFormat="false" ht="15" hidden="false" customHeight="false" outlineLevel="0" collapsed="false">
      <c r="I1123" s="15" t="str">
        <f aca="false">IF(A1123="","",INT(A1123))</f>
        <v/>
      </c>
      <c r="J1123" s="16" t="str">
        <f aca="false">IF(B1123="","",IF(A1123=_xlfn.MINIFS($A$2:$A$5001,$B$2:$B$5001,B1123),1,0))</f>
        <v/>
      </c>
      <c r="K1123" s="16" t="str">
        <f aca="false">IF(B1123="","",IF(AND(D1123="Formalização",E1123="Concluído"),IF(COUNTIFS($B$2:$B$5001,B1123,$E$2:$E$5001,"Em ajustes",$A$2:$A$5001,"&lt;"&amp;I1123)&gt;0,1,0),0))</f>
        <v/>
      </c>
      <c r="L1123" s="16" t="str">
        <f aca="false">IF(B1123="","",IF(A1123=_xlfn.MAXIFS($A$2:$A$5001,$B$2:$B$5001,B1123,$I$2:$I$5001,I1123),1,0))</f>
        <v/>
      </c>
    </row>
    <row r="1124" customFormat="false" ht="15" hidden="false" customHeight="false" outlineLevel="0" collapsed="false">
      <c r="I1124" s="15" t="str">
        <f aca="false">IF(A1124="","",INT(A1124))</f>
        <v/>
      </c>
      <c r="J1124" s="16" t="str">
        <f aca="false">IF(B1124="","",IF(A1124=_xlfn.MINIFS($A$2:$A$5001,$B$2:$B$5001,B1124),1,0))</f>
        <v/>
      </c>
      <c r="K1124" s="16" t="str">
        <f aca="false">IF(B1124="","",IF(AND(D1124="Formalização",E1124="Concluído"),IF(COUNTIFS($B$2:$B$5001,B1124,$E$2:$E$5001,"Em ajustes",$A$2:$A$5001,"&lt;"&amp;I1124)&gt;0,1,0),0))</f>
        <v/>
      </c>
      <c r="L1124" s="16" t="str">
        <f aca="false">IF(B1124="","",IF(A1124=_xlfn.MAXIFS($A$2:$A$5001,$B$2:$B$5001,B1124,$I$2:$I$5001,I1124),1,0))</f>
        <v/>
      </c>
    </row>
    <row r="1125" customFormat="false" ht="15" hidden="false" customHeight="false" outlineLevel="0" collapsed="false">
      <c r="I1125" s="15" t="str">
        <f aca="false">IF(A1125="","",INT(A1125))</f>
        <v/>
      </c>
      <c r="J1125" s="16" t="str">
        <f aca="false">IF(B1125="","",IF(A1125=_xlfn.MINIFS($A$2:$A$5001,$B$2:$B$5001,B1125),1,0))</f>
        <v/>
      </c>
      <c r="K1125" s="16" t="str">
        <f aca="false">IF(B1125="","",IF(AND(D1125="Formalização",E1125="Concluído"),IF(COUNTIFS($B$2:$B$5001,B1125,$E$2:$E$5001,"Em ajustes",$A$2:$A$5001,"&lt;"&amp;I1125)&gt;0,1,0),0))</f>
        <v/>
      </c>
      <c r="L1125" s="16" t="str">
        <f aca="false">IF(B1125="","",IF(A1125=_xlfn.MAXIFS($A$2:$A$5001,$B$2:$B$5001,B1125,$I$2:$I$5001,I1125),1,0))</f>
        <v/>
      </c>
    </row>
    <row r="1126" customFormat="false" ht="15" hidden="false" customHeight="false" outlineLevel="0" collapsed="false">
      <c r="I1126" s="15" t="str">
        <f aca="false">IF(A1126="","",INT(A1126))</f>
        <v/>
      </c>
      <c r="J1126" s="16" t="str">
        <f aca="false">IF(B1126="","",IF(A1126=_xlfn.MINIFS($A$2:$A$5001,$B$2:$B$5001,B1126),1,0))</f>
        <v/>
      </c>
      <c r="K1126" s="16" t="str">
        <f aca="false">IF(B1126="","",IF(AND(D1126="Formalização",E1126="Concluído"),IF(COUNTIFS($B$2:$B$5001,B1126,$E$2:$E$5001,"Em ajustes",$A$2:$A$5001,"&lt;"&amp;I1126)&gt;0,1,0),0))</f>
        <v/>
      </c>
      <c r="L1126" s="16" t="str">
        <f aca="false">IF(B1126="","",IF(A1126=_xlfn.MAXIFS($A$2:$A$5001,$B$2:$B$5001,B1126,$I$2:$I$5001,I1126),1,0))</f>
        <v/>
      </c>
    </row>
    <row r="1127" customFormat="false" ht="15" hidden="false" customHeight="false" outlineLevel="0" collapsed="false">
      <c r="I1127" s="15" t="str">
        <f aca="false">IF(A1127="","",INT(A1127))</f>
        <v/>
      </c>
      <c r="J1127" s="16" t="str">
        <f aca="false">IF(B1127="","",IF(A1127=_xlfn.MINIFS($A$2:$A$5001,$B$2:$B$5001,B1127),1,0))</f>
        <v/>
      </c>
      <c r="K1127" s="16" t="str">
        <f aca="false">IF(B1127="","",IF(AND(D1127="Formalização",E1127="Concluído"),IF(COUNTIFS($B$2:$B$5001,B1127,$E$2:$E$5001,"Em ajustes",$A$2:$A$5001,"&lt;"&amp;I1127)&gt;0,1,0),0))</f>
        <v/>
      </c>
      <c r="L1127" s="16" t="str">
        <f aca="false">IF(B1127="","",IF(A1127=_xlfn.MAXIFS($A$2:$A$5001,$B$2:$B$5001,B1127,$I$2:$I$5001,I1127),1,0))</f>
        <v/>
      </c>
    </row>
    <row r="1128" customFormat="false" ht="15" hidden="false" customHeight="false" outlineLevel="0" collapsed="false">
      <c r="I1128" s="15" t="str">
        <f aca="false">IF(A1128="","",INT(A1128))</f>
        <v/>
      </c>
      <c r="J1128" s="16" t="str">
        <f aca="false">IF(B1128="","",IF(A1128=_xlfn.MINIFS($A$2:$A$5001,$B$2:$B$5001,B1128),1,0))</f>
        <v/>
      </c>
      <c r="K1128" s="16" t="str">
        <f aca="false">IF(B1128="","",IF(AND(D1128="Formalização",E1128="Concluído"),IF(COUNTIFS($B$2:$B$5001,B1128,$E$2:$E$5001,"Em ajustes",$A$2:$A$5001,"&lt;"&amp;I1128)&gt;0,1,0),0))</f>
        <v/>
      </c>
      <c r="L1128" s="16" t="str">
        <f aca="false">IF(B1128="","",IF(A1128=_xlfn.MAXIFS($A$2:$A$5001,$B$2:$B$5001,B1128,$I$2:$I$5001,I1128),1,0))</f>
        <v/>
      </c>
    </row>
    <row r="1129" customFormat="false" ht="15" hidden="false" customHeight="false" outlineLevel="0" collapsed="false">
      <c r="I1129" s="15" t="str">
        <f aca="false">IF(A1129="","",INT(A1129))</f>
        <v/>
      </c>
      <c r="J1129" s="16" t="str">
        <f aca="false">IF(B1129="","",IF(A1129=_xlfn.MINIFS($A$2:$A$5001,$B$2:$B$5001,B1129),1,0))</f>
        <v/>
      </c>
      <c r="K1129" s="16" t="str">
        <f aca="false">IF(B1129="","",IF(AND(D1129="Formalização",E1129="Concluído"),IF(COUNTIFS($B$2:$B$5001,B1129,$E$2:$E$5001,"Em ajustes",$A$2:$A$5001,"&lt;"&amp;I1129)&gt;0,1,0),0))</f>
        <v/>
      </c>
      <c r="L1129" s="16" t="str">
        <f aca="false">IF(B1129="","",IF(A1129=_xlfn.MAXIFS($A$2:$A$5001,$B$2:$B$5001,B1129,$I$2:$I$5001,I1129),1,0))</f>
        <v/>
      </c>
    </row>
    <row r="1130" customFormat="false" ht="15" hidden="false" customHeight="false" outlineLevel="0" collapsed="false">
      <c r="I1130" s="15" t="str">
        <f aca="false">IF(A1130="","",INT(A1130))</f>
        <v/>
      </c>
      <c r="J1130" s="16" t="str">
        <f aca="false">IF(B1130="","",IF(A1130=_xlfn.MINIFS($A$2:$A$5001,$B$2:$B$5001,B1130),1,0))</f>
        <v/>
      </c>
      <c r="K1130" s="16" t="str">
        <f aca="false">IF(B1130="","",IF(AND(D1130="Formalização",E1130="Concluído"),IF(COUNTIFS($B$2:$B$5001,B1130,$E$2:$E$5001,"Em ajustes",$A$2:$A$5001,"&lt;"&amp;I1130)&gt;0,1,0),0))</f>
        <v/>
      </c>
      <c r="L1130" s="16" t="str">
        <f aca="false">IF(B1130="","",IF(A1130=_xlfn.MAXIFS($A$2:$A$5001,$B$2:$B$5001,B1130,$I$2:$I$5001,I1130),1,0))</f>
        <v/>
      </c>
    </row>
    <row r="1131" customFormat="false" ht="15" hidden="false" customHeight="false" outlineLevel="0" collapsed="false">
      <c r="I1131" s="15" t="str">
        <f aca="false">IF(A1131="","",INT(A1131))</f>
        <v/>
      </c>
      <c r="J1131" s="16" t="str">
        <f aca="false">IF(B1131="","",IF(A1131=_xlfn.MINIFS($A$2:$A$5001,$B$2:$B$5001,B1131),1,0))</f>
        <v/>
      </c>
      <c r="K1131" s="16" t="str">
        <f aca="false">IF(B1131="","",IF(AND(D1131="Formalização",E1131="Concluído"),IF(COUNTIFS($B$2:$B$5001,B1131,$E$2:$E$5001,"Em ajustes",$A$2:$A$5001,"&lt;"&amp;I1131)&gt;0,1,0),0))</f>
        <v/>
      </c>
      <c r="L1131" s="16" t="str">
        <f aca="false">IF(B1131="","",IF(A1131=_xlfn.MAXIFS($A$2:$A$5001,$B$2:$B$5001,B1131,$I$2:$I$5001,I1131),1,0))</f>
        <v/>
      </c>
    </row>
    <row r="1132" customFormat="false" ht="15" hidden="false" customHeight="false" outlineLevel="0" collapsed="false">
      <c r="I1132" s="15" t="str">
        <f aca="false">IF(A1132="","",INT(A1132))</f>
        <v/>
      </c>
      <c r="J1132" s="16" t="str">
        <f aca="false">IF(B1132="","",IF(A1132=_xlfn.MINIFS($A$2:$A$5001,$B$2:$B$5001,B1132),1,0))</f>
        <v/>
      </c>
      <c r="K1132" s="16" t="str">
        <f aca="false">IF(B1132="","",IF(AND(D1132="Formalização",E1132="Concluído"),IF(COUNTIFS($B$2:$B$5001,B1132,$E$2:$E$5001,"Em ajustes",$A$2:$A$5001,"&lt;"&amp;I1132)&gt;0,1,0),0))</f>
        <v/>
      </c>
      <c r="L1132" s="16" t="str">
        <f aca="false">IF(B1132="","",IF(A1132=_xlfn.MAXIFS($A$2:$A$5001,$B$2:$B$5001,B1132,$I$2:$I$5001,I1132),1,0))</f>
        <v/>
      </c>
    </row>
    <row r="1133" customFormat="false" ht="15" hidden="false" customHeight="false" outlineLevel="0" collapsed="false">
      <c r="I1133" s="15" t="str">
        <f aca="false">IF(A1133="","",INT(A1133))</f>
        <v/>
      </c>
      <c r="J1133" s="16" t="str">
        <f aca="false">IF(B1133="","",IF(A1133=_xlfn.MINIFS($A$2:$A$5001,$B$2:$B$5001,B1133),1,0))</f>
        <v/>
      </c>
      <c r="K1133" s="16" t="str">
        <f aca="false">IF(B1133="","",IF(AND(D1133="Formalização",E1133="Concluído"),IF(COUNTIFS($B$2:$B$5001,B1133,$E$2:$E$5001,"Em ajustes",$A$2:$A$5001,"&lt;"&amp;I1133)&gt;0,1,0),0))</f>
        <v/>
      </c>
      <c r="L1133" s="16" t="str">
        <f aca="false">IF(B1133="","",IF(A1133=_xlfn.MAXIFS($A$2:$A$5001,$B$2:$B$5001,B1133,$I$2:$I$5001,I1133),1,0))</f>
        <v/>
      </c>
    </row>
    <row r="1134" customFormat="false" ht="15" hidden="false" customHeight="false" outlineLevel="0" collapsed="false">
      <c r="I1134" s="15" t="str">
        <f aca="false">IF(A1134="","",INT(A1134))</f>
        <v/>
      </c>
      <c r="J1134" s="16" t="str">
        <f aca="false">IF(B1134="","",IF(A1134=_xlfn.MINIFS($A$2:$A$5001,$B$2:$B$5001,B1134),1,0))</f>
        <v/>
      </c>
      <c r="K1134" s="16" t="str">
        <f aca="false">IF(B1134="","",IF(AND(D1134="Formalização",E1134="Concluído"),IF(COUNTIFS($B$2:$B$5001,B1134,$E$2:$E$5001,"Em ajustes",$A$2:$A$5001,"&lt;"&amp;I1134)&gt;0,1,0),0))</f>
        <v/>
      </c>
      <c r="L1134" s="16" t="str">
        <f aca="false">IF(B1134="","",IF(A1134=_xlfn.MAXIFS($A$2:$A$5001,$B$2:$B$5001,B1134,$I$2:$I$5001,I1134),1,0))</f>
        <v/>
      </c>
    </row>
    <row r="1135" customFormat="false" ht="15" hidden="false" customHeight="false" outlineLevel="0" collapsed="false">
      <c r="I1135" s="15" t="str">
        <f aca="false">IF(A1135="","",INT(A1135))</f>
        <v/>
      </c>
      <c r="J1135" s="16" t="str">
        <f aca="false">IF(B1135="","",IF(A1135=_xlfn.MINIFS($A$2:$A$5001,$B$2:$B$5001,B1135),1,0))</f>
        <v/>
      </c>
      <c r="K1135" s="16" t="str">
        <f aca="false">IF(B1135="","",IF(AND(D1135="Formalização",E1135="Concluído"),IF(COUNTIFS($B$2:$B$5001,B1135,$E$2:$E$5001,"Em ajustes",$A$2:$A$5001,"&lt;"&amp;I1135)&gt;0,1,0),0))</f>
        <v/>
      </c>
      <c r="L1135" s="16" t="str">
        <f aca="false">IF(B1135="","",IF(A1135=_xlfn.MAXIFS($A$2:$A$5001,$B$2:$B$5001,B1135,$I$2:$I$5001,I1135),1,0))</f>
        <v/>
      </c>
    </row>
    <row r="1136" customFormat="false" ht="15" hidden="false" customHeight="false" outlineLevel="0" collapsed="false">
      <c r="I1136" s="15" t="str">
        <f aca="false">IF(A1136="","",INT(A1136))</f>
        <v/>
      </c>
      <c r="J1136" s="16" t="str">
        <f aca="false">IF(B1136="","",IF(A1136=_xlfn.MINIFS($A$2:$A$5001,$B$2:$B$5001,B1136),1,0))</f>
        <v/>
      </c>
      <c r="K1136" s="16" t="str">
        <f aca="false">IF(B1136="","",IF(AND(D1136="Formalização",E1136="Concluído"),IF(COUNTIFS($B$2:$B$5001,B1136,$E$2:$E$5001,"Em ajustes",$A$2:$A$5001,"&lt;"&amp;I1136)&gt;0,1,0),0))</f>
        <v/>
      </c>
      <c r="L1136" s="16" t="str">
        <f aca="false">IF(B1136="","",IF(A1136=_xlfn.MAXIFS($A$2:$A$5001,$B$2:$B$5001,B1136,$I$2:$I$5001,I1136),1,0))</f>
        <v/>
      </c>
    </row>
    <row r="1137" customFormat="false" ht="15" hidden="false" customHeight="false" outlineLevel="0" collapsed="false">
      <c r="I1137" s="15" t="str">
        <f aca="false">IF(A1137="","",INT(A1137))</f>
        <v/>
      </c>
      <c r="J1137" s="16" t="str">
        <f aca="false">IF(B1137="","",IF(A1137=_xlfn.MINIFS($A$2:$A$5001,$B$2:$B$5001,B1137),1,0))</f>
        <v/>
      </c>
      <c r="K1137" s="16" t="str">
        <f aca="false">IF(B1137="","",IF(AND(D1137="Formalização",E1137="Concluído"),IF(COUNTIFS($B$2:$B$5001,B1137,$E$2:$E$5001,"Em ajustes",$A$2:$A$5001,"&lt;"&amp;I1137)&gt;0,1,0),0))</f>
        <v/>
      </c>
      <c r="L1137" s="16" t="str">
        <f aca="false">IF(B1137="","",IF(A1137=_xlfn.MAXIFS($A$2:$A$5001,$B$2:$B$5001,B1137,$I$2:$I$5001,I1137),1,0))</f>
        <v/>
      </c>
    </row>
    <row r="1138" customFormat="false" ht="15" hidden="false" customHeight="false" outlineLevel="0" collapsed="false">
      <c r="I1138" s="15" t="str">
        <f aca="false">IF(A1138="","",INT(A1138))</f>
        <v/>
      </c>
      <c r="J1138" s="16" t="str">
        <f aca="false">IF(B1138="","",IF(A1138=_xlfn.MINIFS($A$2:$A$5001,$B$2:$B$5001,B1138),1,0))</f>
        <v/>
      </c>
      <c r="K1138" s="16" t="str">
        <f aca="false">IF(B1138="","",IF(AND(D1138="Formalização",E1138="Concluído"),IF(COUNTIFS($B$2:$B$5001,B1138,$E$2:$E$5001,"Em ajustes",$A$2:$A$5001,"&lt;"&amp;I1138)&gt;0,1,0),0))</f>
        <v/>
      </c>
      <c r="L1138" s="16" t="str">
        <f aca="false">IF(B1138="","",IF(A1138=_xlfn.MAXIFS($A$2:$A$5001,$B$2:$B$5001,B1138,$I$2:$I$5001,I1138),1,0))</f>
        <v/>
      </c>
    </row>
    <row r="1139" customFormat="false" ht="15" hidden="false" customHeight="false" outlineLevel="0" collapsed="false">
      <c r="I1139" s="15" t="str">
        <f aca="false">IF(A1139="","",INT(A1139))</f>
        <v/>
      </c>
      <c r="J1139" s="16" t="str">
        <f aca="false">IF(B1139="","",IF(A1139=_xlfn.MINIFS($A$2:$A$5001,$B$2:$B$5001,B1139),1,0))</f>
        <v/>
      </c>
      <c r="K1139" s="16" t="str">
        <f aca="false">IF(B1139="","",IF(AND(D1139="Formalização",E1139="Concluído"),IF(COUNTIFS($B$2:$B$5001,B1139,$E$2:$E$5001,"Em ajustes",$A$2:$A$5001,"&lt;"&amp;I1139)&gt;0,1,0),0))</f>
        <v/>
      </c>
      <c r="L1139" s="16" t="str">
        <f aca="false">IF(B1139="","",IF(A1139=_xlfn.MAXIFS($A$2:$A$5001,$B$2:$B$5001,B1139,$I$2:$I$5001,I1139),1,0))</f>
        <v/>
      </c>
    </row>
    <row r="1140" customFormat="false" ht="15" hidden="false" customHeight="false" outlineLevel="0" collapsed="false">
      <c r="I1140" s="15" t="str">
        <f aca="false">IF(A1140="","",INT(A1140))</f>
        <v/>
      </c>
      <c r="J1140" s="16" t="str">
        <f aca="false">IF(B1140="","",IF(A1140=_xlfn.MINIFS($A$2:$A$5001,$B$2:$B$5001,B1140),1,0))</f>
        <v/>
      </c>
      <c r="K1140" s="16" t="str">
        <f aca="false">IF(B1140="","",IF(AND(D1140="Formalização",E1140="Concluído"),IF(COUNTIFS($B$2:$B$5001,B1140,$E$2:$E$5001,"Em ajustes",$A$2:$A$5001,"&lt;"&amp;I1140)&gt;0,1,0),0))</f>
        <v/>
      </c>
      <c r="L1140" s="16" t="str">
        <f aca="false">IF(B1140="","",IF(A1140=_xlfn.MAXIFS($A$2:$A$5001,$B$2:$B$5001,B1140,$I$2:$I$5001,I1140),1,0))</f>
        <v/>
      </c>
    </row>
    <row r="1141" customFormat="false" ht="15" hidden="false" customHeight="false" outlineLevel="0" collapsed="false">
      <c r="I1141" s="15" t="str">
        <f aca="false">IF(A1141="","",INT(A1141))</f>
        <v/>
      </c>
      <c r="J1141" s="16" t="str">
        <f aca="false">IF(B1141="","",IF(A1141=_xlfn.MINIFS($A$2:$A$5001,$B$2:$B$5001,B1141),1,0))</f>
        <v/>
      </c>
      <c r="K1141" s="16" t="str">
        <f aca="false">IF(B1141="","",IF(AND(D1141="Formalização",E1141="Concluído"),IF(COUNTIFS($B$2:$B$5001,B1141,$E$2:$E$5001,"Em ajustes",$A$2:$A$5001,"&lt;"&amp;I1141)&gt;0,1,0),0))</f>
        <v/>
      </c>
      <c r="L1141" s="16" t="str">
        <f aca="false">IF(B1141="","",IF(A1141=_xlfn.MAXIFS($A$2:$A$5001,$B$2:$B$5001,B1141,$I$2:$I$5001,I1141),1,0))</f>
        <v/>
      </c>
    </row>
    <row r="1142" customFormat="false" ht="15" hidden="false" customHeight="false" outlineLevel="0" collapsed="false">
      <c r="I1142" s="15" t="str">
        <f aca="false">IF(A1142="","",INT(A1142))</f>
        <v/>
      </c>
      <c r="J1142" s="16" t="str">
        <f aca="false">IF(B1142="","",IF(A1142=_xlfn.MINIFS($A$2:$A$5001,$B$2:$B$5001,B1142),1,0))</f>
        <v/>
      </c>
      <c r="K1142" s="16" t="str">
        <f aca="false">IF(B1142="","",IF(AND(D1142="Formalização",E1142="Concluído"),IF(COUNTIFS($B$2:$B$5001,B1142,$E$2:$E$5001,"Em ajustes",$A$2:$A$5001,"&lt;"&amp;I1142)&gt;0,1,0),0))</f>
        <v/>
      </c>
      <c r="L1142" s="16" t="str">
        <f aca="false">IF(B1142="","",IF(A1142=_xlfn.MAXIFS($A$2:$A$5001,$B$2:$B$5001,B1142,$I$2:$I$5001,I1142),1,0))</f>
        <v/>
      </c>
    </row>
    <row r="1143" customFormat="false" ht="15" hidden="false" customHeight="false" outlineLevel="0" collapsed="false">
      <c r="I1143" s="15" t="str">
        <f aca="false">IF(A1143="","",INT(A1143))</f>
        <v/>
      </c>
      <c r="J1143" s="16" t="str">
        <f aca="false">IF(B1143="","",IF(A1143=_xlfn.MINIFS($A$2:$A$5001,$B$2:$B$5001,B1143),1,0))</f>
        <v/>
      </c>
      <c r="K1143" s="16" t="str">
        <f aca="false">IF(B1143="","",IF(AND(D1143="Formalização",E1143="Concluído"),IF(COUNTIFS($B$2:$B$5001,B1143,$E$2:$E$5001,"Em ajustes",$A$2:$A$5001,"&lt;"&amp;I1143)&gt;0,1,0),0))</f>
        <v/>
      </c>
      <c r="L1143" s="16" t="str">
        <f aca="false">IF(B1143="","",IF(A1143=_xlfn.MAXIFS($A$2:$A$5001,$B$2:$B$5001,B1143,$I$2:$I$5001,I1143),1,0))</f>
        <v/>
      </c>
    </row>
    <row r="1144" customFormat="false" ht="15" hidden="false" customHeight="false" outlineLevel="0" collapsed="false">
      <c r="I1144" s="15" t="str">
        <f aca="false">IF(A1144="","",INT(A1144))</f>
        <v/>
      </c>
      <c r="J1144" s="16" t="str">
        <f aca="false">IF(B1144="","",IF(A1144=_xlfn.MINIFS($A$2:$A$5001,$B$2:$B$5001,B1144),1,0))</f>
        <v/>
      </c>
      <c r="K1144" s="16" t="str">
        <f aca="false">IF(B1144="","",IF(AND(D1144="Formalização",E1144="Concluído"),IF(COUNTIFS($B$2:$B$5001,B1144,$E$2:$E$5001,"Em ajustes",$A$2:$A$5001,"&lt;"&amp;I1144)&gt;0,1,0),0))</f>
        <v/>
      </c>
      <c r="L1144" s="16" t="str">
        <f aca="false">IF(B1144="","",IF(A1144=_xlfn.MAXIFS($A$2:$A$5001,$B$2:$B$5001,B1144,$I$2:$I$5001,I1144),1,0))</f>
        <v/>
      </c>
    </row>
    <row r="1145" customFormat="false" ht="15" hidden="false" customHeight="false" outlineLevel="0" collapsed="false">
      <c r="I1145" s="15" t="str">
        <f aca="false">IF(A1145="","",INT(A1145))</f>
        <v/>
      </c>
      <c r="J1145" s="16" t="str">
        <f aca="false">IF(B1145="","",IF(A1145=_xlfn.MINIFS($A$2:$A$5001,$B$2:$B$5001,B1145),1,0))</f>
        <v/>
      </c>
      <c r="K1145" s="16" t="str">
        <f aca="false">IF(B1145="","",IF(AND(D1145="Formalização",E1145="Concluído"),IF(COUNTIFS($B$2:$B$5001,B1145,$E$2:$E$5001,"Em ajustes",$A$2:$A$5001,"&lt;"&amp;I1145)&gt;0,1,0),0))</f>
        <v/>
      </c>
      <c r="L1145" s="16" t="str">
        <f aca="false">IF(B1145="","",IF(A1145=_xlfn.MAXIFS($A$2:$A$5001,$B$2:$B$5001,B1145,$I$2:$I$5001,I1145),1,0))</f>
        <v/>
      </c>
    </row>
    <row r="1146" customFormat="false" ht="15" hidden="false" customHeight="false" outlineLevel="0" collapsed="false">
      <c r="I1146" s="15" t="str">
        <f aca="false">IF(A1146="","",INT(A1146))</f>
        <v/>
      </c>
      <c r="J1146" s="16" t="str">
        <f aca="false">IF(B1146="","",IF(A1146=_xlfn.MINIFS($A$2:$A$5001,$B$2:$B$5001,B1146),1,0))</f>
        <v/>
      </c>
      <c r="K1146" s="16" t="str">
        <f aca="false">IF(B1146="","",IF(AND(D1146="Formalização",E1146="Concluído"),IF(COUNTIFS($B$2:$B$5001,B1146,$E$2:$E$5001,"Em ajustes",$A$2:$A$5001,"&lt;"&amp;I1146)&gt;0,1,0),0))</f>
        <v/>
      </c>
      <c r="L1146" s="16" t="str">
        <f aca="false">IF(B1146="","",IF(A1146=_xlfn.MAXIFS($A$2:$A$5001,$B$2:$B$5001,B1146,$I$2:$I$5001,I1146),1,0))</f>
        <v/>
      </c>
    </row>
    <row r="1147" customFormat="false" ht="15" hidden="false" customHeight="false" outlineLevel="0" collapsed="false">
      <c r="I1147" s="15" t="str">
        <f aca="false">IF(A1147="","",INT(A1147))</f>
        <v/>
      </c>
      <c r="J1147" s="16" t="str">
        <f aca="false">IF(B1147="","",IF(A1147=_xlfn.MINIFS($A$2:$A$5001,$B$2:$B$5001,B1147),1,0))</f>
        <v/>
      </c>
      <c r="K1147" s="16" t="str">
        <f aca="false">IF(B1147="","",IF(AND(D1147="Formalização",E1147="Concluído"),IF(COUNTIFS($B$2:$B$5001,B1147,$E$2:$E$5001,"Em ajustes",$A$2:$A$5001,"&lt;"&amp;I1147)&gt;0,1,0),0))</f>
        <v/>
      </c>
      <c r="L1147" s="16" t="str">
        <f aca="false">IF(B1147="","",IF(A1147=_xlfn.MAXIFS($A$2:$A$5001,$B$2:$B$5001,B1147,$I$2:$I$5001,I1147),1,0))</f>
        <v/>
      </c>
    </row>
    <row r="1148" customFormat="false" ht="15" hidden="false" customHeight="false" outlineLevel="0" collapsed="false">
      <c r="I1148" s="15" t="str">
        <f aca="false">IF(A1148="","",INT(A1148))</f>
        <v/>
      </c>
      <c r="J1148" s="16" t="str">
        <f aca="false">IF(B1148="","",IF(A1148=_xlfn.MINIFS($A$2:$A$5001,$B$2:$B$5001,B1148),1,0))</f>
        <v/>
      </c>
      <c r="K1148" s="16" t="str">
        <f aca="false">IF(B1148="","",IF(AND(D1148="Formalização",E1148="Concluído"),IF(COUNTIFS($B$2:$B$5001,B1148,$E$2:$E$5001,"Em ajustes",$A$2:$A$5001,"&lt;"&amp;I1148)&gt;0,1,0),0))</f>
        <v/>
      </c>
      <c r="L1148" s="16" t="str">
        <f aca="false">IF(B1148="","",IF(A1148=_xlfn.MAXIFS($A$2:$A$5001,$B$2:$B$5001,B1148,$I$2:$I$5001,I1148),1,0))</f>
        <v/>
      </c>
    </row>
    <row r="1149" customFormat="false" ht="15" hidden="false" customHeight="false" outlineLevel="0" collapsed="false">
      <c r="I1149" s="15" t="str">
        <f aca="false">IF(A1149="","",INT(A1149))</f>
        <v/>
      </c>
      <c r="J1149" s="16" t="str">
        <f aca="false">IF(B1149="","",IF(A1149=_xlfn.MINIFS($A$2:$A$5001,$B$2:$B$5001,B1149),1,0))</f>
        <v/>
      </c>
      <c r="K1149" s="16" t="str">
        <f aca="false">IF(B1149="","",IF(AND(D1149="Formalização",E1149="Concluído"),IF(COUNTIFS($B$2:$B$5001,B1149,$E$2:$E$5001,"Em ajustes",$A$2:$A$5001,"&lt;"&amp;I1149)&gt;0,1,0),0))</f>
        <v/>
      </c>
      <c r="L1149" s="16" t="str">
        <f aca="false">IF(B1149="","",IF(A1149=_xlfn.MAXIFS($A$2:$A$5001,$B$2:$B$5001,B1149,$I$2:$I$5001,I1149),1,0))</f>
        <v/>
      </c>
    </row>
    <row r="1150" customFormat="false" ht="15" hidden="false" customHeight="false" outlineLevel="0" collapsed="false">
      <c r="I1150" s="15" t="str">
        <f aca="false">IF(A1150="","",INT(A1150))</f>
        <v/>
      </c>
      <c r="J1150" s="16" t="str">
        <f aca="false">IF(B1150="","",IF(A1150=_xlfn.MINIFS($A$2:$A$5001,$B$2:$B$5001,B1150),1,0))</f>
        <v/>
      </c>
      <c r="K1150" s="16" t="str">
        <f aca="false">IF(B1150="","",IF(AND(D1150="Formalização",E1150="Concluído"),IF(COUNTIFS($B$2:$B$5001,B1150,$E$2:$E$5001,"Em ajustes",$A$2:$A$5001,"&lt;"&amp;I1150)&gt;0,1,0),0))</f>
        <v/>
      </c>
      <c r="L1150" s="16" t="str">
        <f aca="false">IF(B1150="","",IF(A1150=_xlfn.MAXIFS($A$2:$A$5001,$B$2:$B$5001,B1150,$I$2:$I$5001,I1150),1,0))</f>
        <v/>
      </c>
    </row>
    <row r="1151" customFormat="false" ht="15" hidden="false" customHeight="false" outlineLevel="0" collapsed="false">
      <c r="I1151" s="15" t="str">
        <f aca="false">IF(A1151="","",INT(A1151))</f>
        <v/>
      </c>
      <c r="J1151" s="16" t="str">
        <f aca="false">IF(B1151="","",IF(A1151=_xlfn.MINIFS($A$2:$A$5001,$B$2:$B$5001,B1151),1,0))</f>
        <v/>
      </c>
      <c r="K1151" s="16" t="str">
        <f aca="false">IF(B1151="","",IF(AND(D1151="Formalização",E1151="Concluído"),IF(COUNTIFS($B$2:$B$5001,B1151,$E$2:$E$5001,"Em ajustes",$A$2:$A$5001,"&lt;"&amp;I1151)&gt;0,1,0),0))</f>
        <v/>
      </c>
      <c r="L1151" s="16" t="str">
        <f aca="false">IF(B1151="","",IF(A1151=_xlfn.MAXIFS($A$2:$A$5001,$B$2:$B$5001,B1151,$I$2:$I$5001,I1151),1,0))</f>
        <v/>
      </c>
    </row>
    <row r="1152" customFormat="false" ht="15" hidden="false" customHeight="false" outlineLevel="0" collapsed="false">
      <c r="I1152" s="15" t="str">
        <f aca="false">IF(A1152="","",INT(A1152))</f>
        <v/>
      </c>
      <c r="J1152" s="16" t="str">
        <f aca="false">IF(B1152="","",IF(A1152=_xlfn.MINIFS($A$2:$A$5001,$B$2:$B$5001,B1152),1,0))</f>
        <v/>
      </c>
      <c r="K1152" s="16" t="str">
        <f aca="false">IF(B1152="","",IF(AND(D1152="Formalização",E1152="Concluído"),IF(COUNTIFS($B$2:$B$5001,B1152,$E$2:$E$5001,"Em ajustes",$A$2:$A$5001,"&lt;"&amp;I1152)&gt;0,1,0),0))</f>
        <v/>
      </c>
      <c r="L1152" s="16" t="str">
        <f aca="false">IF(B1152="","",IF(A1152=_xlfn.MAXIFS($A$2:$A$5001,$B$2:$B$5001,B1152,$I$2:$I$5001,I1152),1,0))</f>
        <v/>
      </c>
    </row>
    <row r="1153" customFormat="false" ht="15" hidden="false" customHeight="false" outlineLevel="0" collapsed="false">
      <c r="I1153" s="15" t="str">
        <f aca="false">IF(A1153="","",INT(A1153))</f>
        <v/>
      </c>
      <c r="J1153" s="16" t="str">
        <f aca="false">IF(B1153="","",IF(A1153=_xlfn.MINIFS($A$2:$A$5001,$B$2:$B$5001,B1153),1,0))</f>
        <v/>
      </c>
      <c r="K1153" s="16" t="str">
        <f aca="false">IF(B1153="","",IF(AND(D1153="Formalização",E1153="Concluído"),IF(COUNTIFS($B$2:$B$5001,B1153,$E$2:$E$5001,"Em ajustes",$A$2:$A$5001,"&lt;"&amp;I1153)&gt;0,1,0),0))</f>
        <v/>
      </c>
      <c r="L1153" s="16" t="str">
        <f aca="false">IF(B1153="","",IF(A1153=_xlfn.MAXIFS($A$2:$A$5001,$B$2:$B$5001,B1153,$I$2:$I$5001,I1153),1,0))</f>
        <v/>
      </c>
    </row>
    <row r="1154" customFormat="false" ht="15" hidden="false" customHeight="false" outlineLevel="0" collapsed="false">
      <c r="I1154" s="15" t="str">
        <f aca="false">IF(A1154="","",INT(A1154))</f>
        <v/>
      </c>
      <c r="J1154" s="16" t="str">
        <f aca="false">IF(B1154="","",IF(A1154=_xlfn.MINIFS($A$2:$A$5001,$B$2:$B$5001,B1154),1,0))</f>
        <v/>
      </c>
      <c r="K1154" s="16" t="str">
        <f aca="false">IF(B1154="","",IF(AND(D1154="Formalização",E1154="Concluído"),IF(COUNTIFS($B$2:$B$5001,B1154,$E$2:$E$5001,"Em ajustes",$A$2:$A$5001,"&lt;"&amp;I1154)&gt;0,1,0),0))</f>
        <v/>
      </c>
      <c r="L1154" s="16" t="str">
        <f aca="false">IF(B1154="","",IF(A1154=_xlfn.MAXIFS($A$2:$A$5001,$B$2:$B$5001,B1154,$I$2:$I$5001,I1154),1,0))</f>
        <v/>
      </c>
    </row>
    <row r="1155" customFormat="false" ht="15" hidden="false" customHeight="false" outlineLevel="0" collapsed="false">
      <c r="I1155" s="15" t="str">
        <f aca="false">IF(A1155="","",INT(A1155))</f>
        <v/>
      </c>
      <c r="J1155" s="16" t="str">
        <f aca="false">IF(B1155="","",IF(A1155=_xlfn.MINIFS($A$2:$A$5001,$B$2:$B$5001,B1155),1,0))</f>
        <v/>
      </c>
      <c r="K1155" s="16" t="str">
        <f aca="false">IF(B1155="","",IF(AND(D1155="Formalização",E1155="Concluído"),IF(COUNTIFS($B$2:$B$5001,B1155,$E$2:$E$5001,"Em ajustes",$A$2:$A$5001,"&lt;"&amp;I1155)&gt;0,1,0),0))</f>
        <v/>
      </c>
      <c r="L1155" s="16" t="str">
        <f aca="false">IF(B1155="","",IF(A1155=_xlfn.MAXIFS($A$2:$A$5001,$B$2:$B$5001,B1155,$I$2:$I$5001,I1155),1,0))</f>
        <v/>
      </c>
    </row>
    <row r="1156" customFormat="false" ht="15" hidden="false" customHeight="false" outlineLevel="0" collapsed="false">
      <c r="I1156" s="15" t="str">
        <f aca="false">IF(A1156="","",INT(A1156))</f>
        <v/>
      </c>
      <c r="J1156" s="16" t="str">
        <f aca="false">IF(B1156="","",IF(A1156=_xlfn.MINIFS($A$2:$A$5001,$B$2:$B$5001,B1156),1,0))</f>
        <v/>
      </c>
      <c r="K1156" s="16" t="str">
        <f aca="false">IF(B1156="","",IF(AND(D1156="Formalização",E1156="Concluído"),IF(COUNTIFS($B$2:$B$5001,B1156,$E$2:$E$5001,"Em ajustes",$A$2:$A$5001,"&lt;"&amp;I1156)&gt;0,1,0),0))</f>
        <v/>
      </c>
      <c r="L1156" s="16" t="str">
        <f aca="false">IF(B1156="","",IF(A1156=_xlfn.MAXIFS($A$2:$A$5001,$B$2:$B$5001,B1156,$I$2:$I$5001,I1156),1,0))</f>
        <v/>
      </c>
    </row>
    <row r="1157" customFormat="false" ht="15" hidden="false" customHeight="false" outlineLevel="0" collapsed="false">
      <c r="I1157" s="15" t="str">
        <f aca="false">IF(A1157="","",INT(A1157))</f>
        <v/>
      </c>
      <c r="J1157" s="16" t="str">
        <f aca="false">IF(B1157="","",IF(A1157=_xlfn.MINIFS($A$2:$A$5001,$B$2:$B$5001,B1157),1,0))</f>
        <v/>
      </c>
      <c r="K1157" s="16" t="str">
        <f aca="false">IF(B1157="","",IF(AND(D1157="Formalização",E1157="Concluído"),IF(COUNTIFS($B$2:$B$5001,B1157,$E$2:$E$5001,"Em ajustes",$A$2:$A$5001,"&lt;"&amp;I1157)&gt;0,1,0),0))</f>
        <v/>
      </c>
      <c r="L1157" s="16" t="str">
        <f aca="false">IF(B1157="","",IF(A1157=_xlfn.MAXIFS($A$2:$A$5001,$B$2:$B$5001,B1157,$I$2:$I$5001,I1157),1,0))</f>
        <v/>
      </c>
    </row>
    <row r="1158" customFormat="false" ht="15" hidden="false" customHeight="false" outlineLevel="0" collapsed="false">
      <c r="I1158" s="15" t="str">
        <f aca="false">IF(A1158="","",INT(A1158))</f>
        <v/>
      </c>
      <c r="J1158" s="16" t="str">
        <f aca="false">IF(B1158="","",IF(A1158=_xlfn.MINIFS($A$2:$A$5001,$B$2:$B$5001,B1158),1,0))</f>
        <v/>
      </c>
      <c r="K1158" s="16" t="str">
        <f aca="false">IF(B1158="","",IF(AND(D1158="Formalização",E1158="Concluído"),IF(COUNTIFS($B$2:$B$5001,B1158,$E$2:$E$5001,"Em ajustes",$A$2:$A$5001,"&lt;"&amp;I1158)&gt;0,1,0),0))</f>
        <v/>
      </c>
      <c r="L1158" s="16" t="str">
        <f aca="false">IF(B1158="","",IF(A1158=_xlfn.MAXIFS($A$2:$A$5001,$B$2:$B$5001,B1158,$I$2:$I$5001,I1158),1,0))</f>
        <v/>
      </c>
    </row>
    <row r="1159" customFormat="false" ht="15" hidden="false" customHeight="false" outlineLevel="0" collapsed="false">
      <c r="I1159" s="15" t="str">
        <f aca="false">IF(A1159="","",INT(A1159))</f>
        <v/>
      </c>
      <c r="J1159" s="16" t="str">
        <f aca="false">IF(B1159="","",IF(A1159=_xlfn.MINIFS($A$2:$A$5001,$B$2:$B$5001,B1159),1,0))</f>
        <v/>
      </c>
      <c r="K1159" s="16" t="str">
        <f aca="false">IF(B1159="","",IF(AND(D1159="Formalização",E1159="Concluído"),IF(COUNTIFS($B$2:$B$5001,B1159,$E$2:$E$5001,"Em ajustes",$A$2:$A$5001,"&lt;"&amp;I1159)&gt;0,1,0),0))</f>
        <v/>
      </c>
      <c r="L1159" s="16" t="str">
        <f aca="false">IF(B1159="","",IF(A1159=_xlfn.MAXIFS($A$2:$A$5001,$B$2:$B$5001,B1159,$I$2:$I$5001,I1159),1,0))</f>
        <v/>
      </c>
    </row>
    <row r="1160" customFormat="false" ht="15" hidden="false" customHeight="false" outlineLevel="0" collapsed="false">
      <c r="I1160" s="15" t="str">
        <f aca="false">IF(A1160="","",INT(A1160))</f>
        <v/>
      </c>
      <c r="J1160" s="16" t="str">
        <f aca="false">IF(B1160="","",IF(A1160=_xlfn.MINIFS($A$2:$A$5001,$B$2:$B$5001,B1160),1,0))</f>
        <v/>
      </c>
      <c r="K1160" s="16" t="str">
        <f aca="false">IF(B1160="","",IF(AND(D1160="Formalização",E1160="Concluído"),IF(COUNTIFS($B$2:$B$5001,B1160,$E$2:$E$5001,"Em ajustes",$A$2:$A$5001,"&lt;"&amp;I1160)&gt;0,1,0),0))</f>
        <v/>
      </c>
      <c r="L1160" s="16" t="str">
        <f aca="false">IF(B1160="","",IF(A1160=_xlfn.MAXIFS($A$2:$A$5001,$B$2:$B$5001,B1160,$I$2:$I$5001,I1160),1,0))</f>
        <v/>
      </c>
    </row>
    <row r="1161" customFormat="false" ht="15" hidden="false" customHeight="false" outlineLevel="0" collapsed="false">
      <c r="I1161" s="15" t="str">
        <f aca="false">IF(A1161="","",INT(A1161))</f>
        <v/>
      </c>
      <c r="J1161" s="16" t="str">
        <f aca="false">IF(B1161="","",IF(A1161=_xlfn.MINIFS($A$2:$A$5001,$B$2:$B$5001,B1161),1,0))</f>
        <v/>
      </c>
      <c r="K1161" s="16" t="str">
        <f aca="false">IF(B1161="","",IF(AND(D1161="Formalização",E1161="Concluído"),IF(COUNTIFS($B$2:$B$5001,B1161,$E$2:$E$5001,"Em ajustes",$A$2:$A$5001,"&lt;"&amp;I1161)&gt;0,1,0),0))</f>
        <v/>
      </c>
      <c r="L1161" s="16" t="str">
        <f aca="false">IF(B1161="","",IF(A1161=_xlfn.MAXIFS($A$2:$A$5001,$B$2:$B$5001,B1161,$I$2:$I$5001,I1161),1,0))</f>
        <v/>
      </c>
    </row>
    <row r="1162" customFormat="false" ht="15" hidden="false" customHeight="false" outlineLevel="0" collapsed="false">
      <c r="I1162" s="15" t="str">
        <f aca="false">IF(A1162="","",INT(A1162))</f>
        <v/>
      </c>
      <c r="J1162" s="16" t="str">
        <f aca="false">IF(B1162="","",IF(A1162=_xlfn.MINIFS($A$2:$A$5001,$B$2:$B$5001,B1162),1,0))</f>
        <v/>
      </c>
      <c r="K1162" s="16" t="str">
        <f aca="false">IF(B1162="","",IF(AND(D1162="Formalização",E1162="Concluído"),IF(COUNTIFS($B$2:$B$5001,B1162,$E$2:$E$5001,"Em ajustes",$A$2:$A$5001,"&lt;"&amp;I1162)&gt;0,1,0),0))</f>
        <v/>
      </c>
      <c r="L1162" s="16" t="str">
        <f aca="false">IF(B1162="","",IF(A1162=_xlfn.MAXIFS($A$2:$A$5001,$B$2:$B$5001,B1162,$I$2:$I$5001,I1162),1,0))</f>
        <v/>
      </c>
    </row>
    <row r="1163" customFormat="false" ht="15" hidden="false" customHeight="false" outlineLevel="0" collapsed="false">
      <c r="I1163" s="15" t="str">
        <f aca="false">IF(A1163="","",INT(A1163))</f>
        <v/>
      </c>
      <c r="J1163" s="16" t="str">
        <f aca="false">IF(B1163="","",IF(A1163=_xlfn.MINIFS($A$2:$A$5001,$B$2:$B$5001,B1163),1,0))</f>
        <v/>
      </c>
      <c r="K1163" s="16" t="str">
        <f aca="false">IF(B1163="","",IF(AND(D1163="Formalização",E1163="Concluído"),IF(COUNTIFS($B$2:$B$5001,B1163,$E$2:$E$5001,"Em ajustes",$A$2:$A$5001,"&lt;"&amp;I1163)&gt;0,1,0),0))</f>
        <v/>
      </c>
      <c r="L1163" s="16" t="str">
        <f aca="false">IF(B1163="","",IF(A1163=_xlfn.MAXIFS($A$2:$A$5001,$B$2:$B$5001,B1163,$I$2:$I$5001,I1163),1,0))</f>
        <v/>
      </c>
    </row>
    <row r="1164" customFormat="false" ht="15" hidden="false" customHeight="false" outlineLevel="0" collapsed="false">
      <c r="I1164" s="15" t="str">
        <f aca="false">IF(A1164="","",INT(A1164))</f>
        <v/>
      </c>
      <c r="J1164" s="16" t="str">
        <f aca="false">IF(B1164="","",IF(A1164=_xlfn.MINIFS($A$2:$A$5001,$B$2:$B$5001,B1164),1,0))</f>
        <v/>
      </c>
      <c r="K1164" s="16" t="str">
        <f aca="false">IF(B1164="","",IF(AND(D1164="Formalização",E1164="Concluído"),IF(COUNTIFS($B$2:$B$5001,B1164,$E$2:$E$5001,"Em ajustes",$A$2:$A$5001,"&lt;"&amp;I1164)&gt;0,1,0),0))</f>
        <v/>
      </c>
      <c r="L1164" s="16" t="str">
        <f aca="false">IF(B1164="","",IF(A1164=_xlfn.MAXIFS($A$2:$A$5001,$B$2:$B$5001,B1164,$I$2:$I$5001,I1164),1,0))</f>
        <v/>
      </c>
    </row>
    <row r="1165" customFormat="false" ht="15" hidden="false" customHeight="false" outlineLevel="0" collapsed="false">
      <c r="I1165" s="15" t="str">
        <f aca="false">IF(A1165="","",INT(A1165))</f>
        <v/>
      </c>
      <c r="J1165" s="16" t="str">
        <f aca="false">IF(B1165="","",IF(A1165=_xlfn.MINIFS($A$2:$A$5001,$B$2:$B$5001,B1165),1,0))</f>
        <v/>
      </c>
      <c r="K1165" s="16" t="str">
        <f aca="false">IF(B1165="","",IF(AND(D1165="Formalização",E1165="Concluído"),IF(COUNTIFS($B$2:$B$5001,B1165,$E$2:$E$5001,"Em ajustes",$A$2:$A$5001,"&lt;"&amp;I1165)&gt;0,1,0),0))</f>
        <v/>
      </c>
      <c r="L1165" s="16" t="str">
        <f aca="false">IF(B1165="","",IF(A1165=_xlfn.MAXIFS($A$2:$A$5001,$B$2:$B$5001,B1165,$I$2:$I$5001,I1165),1,0))</f>
        <v/>
      </c>
    </row>
    <row r="1166" customFormat="false" ht="15" hidden="false" customHeight="false" outlineLevel="0" collapsed="false">
      <c r="I1166" s="15" t="str">
        <f aca="false">IF(A1166="","",INT(A1166))</f>
        <v/>
      </c>
      <c r="J1166" s="16" t="str">
        <f aca="false">IF(B1166="","",IF(A1166=_xlfn.MINIFS($A$2:$A$5001,$B$2:$B$5001,B1166),1,0))</f>
        <v/>
      </c>
      <c r="K1166" s="16" t="str">
        <f aca="false">IF(B1166="","",IF(AND(D1166="Formalização",E1166="Concluído"),IF(COUNTIFS($B$2:$B$5001,B1166,$E$2:$E$5001,"Em ajustes",$A$2:$A$5001,"&lt;"&amp;I1166)&gt;0,1,0),0))</f>
        <v/>
      </c>
      <c r="L1166" s="16" t="str">
        <f aca="false">IF(B1166="","",IF(A1166=_xlfn.MAXIFS($A$2:$A$5001,$B$2:$B$5001,B1166,$I$2:$I$5001,I1166),1,0))</f>
        <v/>
      </c>
    </row>
    <row r="1167" customFormat="false" ht="15" hidden="false" customHeight="false" outlineLevel="0" collapsed="false">
      <c r="I1167" s="15" t="str">
        <f aca="false">IF(A1167="","",INT(A1167))</f>
        <v/>
      </c>
      <c r="J1167" s="16" t="str">
        <f aca="false">IF(B1167="","",IF(A1167=_xlfn.MINIFS($A$2:$A$5001,$B$2:$B$5001,B1167),1,0))</f>
        <v/>
      </c>
      <c r="K1167" s="16" t="str">
        <f aca="false">IF(B1167="","",IF(AND(D1167="Formalização",E1167="Concluído"),IF(COUNTIFS($B$2:$B$5001,B1167,$E$2:$E$5001,"Em ajustes",$A$2:$A$5001,"&lt;"&amp;I1167)&gt;0,1,0),0))</f>
        <v/>
      </c>
      <c r="L1167" s="16" t="str">
        <f aca="false">IF(B1167="","",IF(A1167=_xlfn.MAXIFS($A$2:$A$5001,$B$2:$B$5001,B1167,$I$2:$I$5001,I1167),1,0))</f>
        <v/>
      </c>
    </row>
    <row r="1168" customFormat="false" ht="15" hidden="false" customHeight="false" outlineLevel="0" collapsed="false">
      <c r="I1168" s="15" t="str">
        <f aca="false">IF(A1168="","",INT(A1168))</f>
        <v/>
      </c>
      <c r="J1168" s="16" t="str">
        <f aca="false">IF(B1168="","",IF(A1168=_xlfn.MINIFS($A$2:$A$5001,$B$2:$B$5001,B1168),1,0))</f>
        <v/>
      </c>
      <c r="K1168" s="16" t="str">
        <f aca="false">IF(B1168="","",IF(AND(D1168="Formalização",E1168="Concluído"),IF(COUNTIFS($B$2:$B$5001,B1168,$E$2:$E$5001,"Em ajustes",$A$2:$A$5001,"&lt;"&amp;I1168)&gt;0,1,0),0))</f>
        <v/>
      </c>
      <c r="L1168" s="16" t="str">
        <f aca="false">IF(B1168="","",IF(A1168=_xlfn.MAXIFS($A$2:$A$5001,$B$2:$B$5001,B1168,$I$2:$I$5001,I1168),1,0))</f>
        <v/>
      </c>
    </row>
    <row r="1169" customFormat="false" ht="15" hidden="false" customHeight="false" outlineLevel="0" collapsed="false">
      <c r="I1169" s="15" t="str">
        <f aca="false">IF(A1169="","",INT(A1169))</f>
        <v/>
      </c>
      <c r="J1169" s="16" t="str">
        <f aca="false">IF(B1169="","",IF(A1169=_xlfn.MINIFS($A$2:$A$5001,$B$2:$B$5001,B1169),1,0))</f>
        <v/>
      </c>
      <c r="K1169" s="16" t="str">
        <f aca="false">IF(B1169="","",IF(AND(D1169="Formalização",E1169="Concluído"),IF(COUNTIFS($B$2:$B$5001,B1169,$E$2:$E$5001,"Em ajustes",$A$2:$A$5001,"&lt;"&amp;I1169)&gt;0,1,0),0))</f>
        <v/>
      </c>
      <c r="L1169" s="16" t="str">
        <f aca="false">IF(B1169="","",IF(A1169=_xlfn.MAXIFS($A$2:$A$5001,$B$2:$B$5001,B1169,$I$2:$I$5001,I1169),1,0))</f>
        <v/>
      </c>
    </row>
    <row r="1170" customFormat="false" ht="15" hidden="false" customHeight="false" outlineLevel="0" collapsed="false">
      <c r="I1170" s="15" t="str">
        <f aca="false">IF(A1170="","",INT(A1170))</f>
        <v/>
      </c>
      <c r="J1170" s="16" t="str">
        <f aca="false">IF(B1170="","",IF(A1170=_xlfn.MINIFS($A$2:$A$5001,$B$2:$B$5001,B1170),1,0))</f>
        <v/>
      </c>
      <c r="K1170" s="16" t="str">
        <f aca="false">IF(B1170="","",IF(AND(D1170="Formalização",E1170="Concluído"),IF(COUNTIFS($B$2:$B$5001,B1170,$E$2:$E$5001,"Em ajustes",$A$2:$A$5001,"&lt;"&amp;I1170)&gt;0,1,0),0))</f>
        <v/>
      </c>
      <c r="L1170" s="16" t="str">
        <f aca="false">IF(B1170="","",IF(A1170=_xlfn.MAXIFS($A$2:$A$5001,$B$2:$B$5001,B1170,$I$2:$I$5001,I1170),1,0))</f>
        <v/>
      </c>
    </row>
    <row r="1171" customFormat="false" ht="15" hidden="false" customHeight="false" outlineLevel="0" collapsed="false">
      <c r="I1171" s="15" t="str">
        <f aca="false">IF(A1171="","",INT(A1171))</f>
        <v/>
      </c>
      <c r="J1171" s="16" t="str">
        <f aca="false">IF(B1171="","",IF(A1171=_xlfn.MINIFS($A$2:$A$5001,$B$2:$B$5001,B1171),1,0))</f>
        <v/>
      </c>
      <c r="K1171" s="16" t="str">
        <f aca="false">IF(B1171="","",IF(AND(D1171="Formalização",E1171="Concluído"),IF(COUNTIFS($B$2:$B$5001,B1171,$E$2:$E$5001,"Em ajustes",$A$2:$A$5001,"&lt;"&amp;I1171)&gt;0,1,0),0))</f>
        <v/>
      </c>
      <c r="L1171" s="16" t="str">
        <f aca="false">IF(B1171="","",IF(A1171=_xlfn.MAXIFS($A$2:$A$5001,$B$2:$B$5001,B1171,$I$2:$I$5001,I1171),1,0))</f>
        <v/>
      </c>
    </row>
    <row r="1172" customFormat="false" ht="15" hidden="false" customHeight="false" outlineLevel="0" collapsed="false">
      <c r="I1172" s="15" t="str">
        <f aca="false">IF(A1172="","",INT(A1172))</f>
        <v/>
      </c>
      <c r="J1172" s="16" t="str">
        <f aca="false">IF(B1172="","",IF(A1172=_xlfn.MINIFS($A$2:$A$5001,$B$2:$B$5001,B1172),1,0))</f>
        <v/>
      </c>
      <c r="K1172" s="16" t="str">
        <f aca="false">IF(B1172="","",IF(AND(D1172="Formalização",E1172="Concluído"),IF(COUNTIFS($B$2:$B$5001,B1172,$E$2:$E$5001,"Em ajustes",$A$2:$A$5001,"&lt;"&amp;I1172)&gt;0,1,0),0))</f>
        <v/>
      </c>
      <c r="L1172" s="16" t="str">
        <f aca="false">IF(B1172="","",IF(A1172=_xlfn.MAXIFS($A$2:$A$5001,$B$2:$B$5001,B1172,$I$2:$I$5001,I1172),1,0))</f>
        <v/>
      </c>
    </row>
    <row r="1173" customFormat="false" ht="15" hidden="false" customHeight="false" outlineLevel="0" collapsed="false">
      <c r="I1173" s="15" t="str">
        <f aca="false">IF(A1173="","",INT(A1173))</f>
        <v/>
      </c>
      <c r="J1173" s="16" t="str">
        <f aca="false">IF(B1173="","",IF(A1173=_xlfn.MINIFS($A$2:$A$5001,$B$2:$B$5001,B1173),1,0))</f>
        <v/>
      </c>
      <c r="K1173" s="16" t="str">
        <f aca="false">IF(B1173="","",IF(AND(D1173="Formalização",E1173="Concluído"),IF(COUNTIFS($B$2:$B$5001,B1173,$E$2:$E$5001,"Em ajustes",$A$2:$A$5001,"&lt;"&amp;I1173)&gt;0,1,0),0))</f>
        <v/>
      </c>
      <c r="L1173" s="16" t="str">
        <f aca="false">IF(B1173="","",IF(A1173=_xlfn.MAXIFS($A$2:$A$5001,$B$2:$B$5001,B1173,$I$2:$I$5001,I1173),1,0))</f>
        <v/>
      </c>
    </row>
    <row r="1174" customFormat="false" ht="15" hidden="false" customHeight="false" outlineLevel="0" collapsed="false">
      <c r="I1174" s="15" t="str">
        <f aca="false">IF(A1174="","",INT(A1174))</f>
        <v/>
      </c>
      <c r="J1174" s="16" t="str">
        <f aca="false">IF(B1174="","",IF(A1174=_xlfn.MINIFS($A$2:$A$5001,$B$2:$B$5001,B1174),1,0))</f>
        <v/>
      </c>
      <c r="K1174" s="16" t="str">
        <f aca="false">IF(B1174="","",IF(AND(D1174="Formalização",E1174="Concluído"),IF(COUNTIFS($B$2:$B$5001,B1174,$E$2:$E$5001,"Em ajustes",$A$2:$A$5001,"&lt;"&amp;I1174)&gt;0,1,0),0))</f>
        <v/>
      </c>
      <c r="L1174" s="16" t="str">
        <f aca="false">IF(B1174="","",IF(A1174=_xlfn.MAXIFS($A$2:$A$5001,$B$2:$B$5001,B1174,$I$2:$I$5001,I1174),1,0))</f>
        <v/>
      </c>
    </row>
    <row r="1175" customFormat="false" ht="15" hidden="false" customHeight="false" outlineLevel="0" collapsed="false">
      <c r="I1175" s="15" t="str">
        <f aca="false">IF(A1175="","",INT(A1175))</f>
        <v/>
      </c>
      <c r="J1175" s="16" t="str">
        <f aca="false">IF(B1175="","",IF(A1175=_xlfn.MINIFS($A$2:$A$5001,$B$2:$B$5001,B1175),1,0))</f>
        <v/>
      </c>
      <c r="K1175" s="16" t="str">
        <f aca="false">IF(B1175="","",IF(AND(D1175="Formalização",E1175="Concluído"),IF(COUNTIFS($B$2:$B$5001,B1175,$E$2:$E$5001,"Em ajustes",$A$2:$A$5001,"&lt;"&amp;I1175)&gt;0,1,0),0))</f>
        <v/>
      </c>
      <c r="L1175" s="16" t="str">
        <f aca="false">IF(B1175="","",IF(A1175=_xlfn.MAXIFS($A$2:$A$5001,$B$2:$B$5001,B1175,$I$2:$I$5001,I1175),1,0))</f>
        <v/>
      </c>
    </row>
    <row r="1176" customFormat="false" ht="15" hidden="false" customHeight="false" outlineLevel="0" collapsed="false">
      <c r="I1176" s="15" t="str">
        <f aca="false">IF(A1176="","",INT(A1176))</f>
        <v/>
      </c>
      <c r="J1176" s="16" t="str">
        <f aca="false">IF(B1176="","",IF(A1176=_xlfn.MINIFS($A$2:$A$5001,$B$2:$B$5001,B1176),1,0))</f>
        <v/>
      </c>
      <c r="K1176" s="16" t="str">
        <f aca="false">IF(B1176="","",IF(AND(D1176="Formalização",E1176="Concluído"),IF(COUNTIFS($B$2:$B$5001,B1176,$E$2:$E$5001,"Em ajustes",$A$2:$A$5001,"&lt;"&amp;I1176)&gt;0,1,0),0))</f>
        <v/>
      </c>
      <c r="L1176" s="16" t="str">
        <f aca="false">IF(B1176="","",IF(A1176=_xlfn.MAXIFS($A$2:$A$5001,$B$2:$B$5001,B1176,$I$2:$I$5001,I1176),1,0))</f>
        <v/>
      </c>
    </row>
    <row r="1177" customFormat="false" ht="15" hidden="false" customHeight="false" outlineLevel="0" collapsed="false">
      <c r="I1177" s="15" t="str">
        <f aca="false">IF(A1177="","",INT(A1177))</f>
        <v/>
      </c>
      <c r="J1177" s="16" t="str">
        <f aca="false">IF(B1177="","",IF(A1177=_xlfn.MINIFS($A$2:$A$5001,$B$2:$B$5001,B1177),1,0))</f>
        <v/>
      </c>
      <c r="K1177" s="16" t="str">
        <f aca="false">IF(B1177="","",IF(AND(D1177="Formalização",E1177="Concluído"),IF(COUNTIFS($B$2:$B$5001,B1177,$E$2:$E$5001,"Em ajustes",$A$2:$A$5001,"&lt;"&amp;I1177)&gt;0,1,0),0))</f>
        <v/>
      </c>
      <c r="L1177" s="16" t="str">
        <f aca="false">IF(B1177="","",IF(A1177=_xlfn.MAXIFS($A$2:$A$5001,$B$2:$B$5001,B1177,$I$2:$I$5001,I1177),1,0))</f>
        <v/>
      </c>
    </row>
    <row r="1178" customFormat="false" ht="15" hidden="false" customHeight="false" outlineLevel="0" collapsed="false">
      <c r="I1178" s="15" t="str">
        <f aca="false">IF(A1178="","",INT(A1178))</f>
        <v/>
      </c>
      <c r="J1178" s="16" t="str">
        <f aca="false">IF(B1178="","",IF(A1178=_xlfn.MINIFS($A$2:$A$5001,$B$2:$B$5001,B1178),1,0))</f>
        <v/>
      </c>
      <c r="K1178" s="16" t="str">
        <f aca="false">IF(B1178="","",IF(AND(D1178="Formalização",E1178="Concluído"),IF(COUNTIFS($B$2:$B$5001,B1178,$E$2:$E$5001,"Em ajustes",$A$2:$A$5001,"&lt;"&amp;I1178)&gt;0,1,0),0))</f>
        <v/>
      </c>
      <c r="L1178" s="16" t="str">
        <f aca="false">IF(B1178="","",IF(A1178=_xlfn.MAXIFS($A$2:$A$5001,$B$2:$B$5001,B1178,$I$2:$I$5001,I1178),1,0))</f>
        <v/>
      </c>
    </row>
    <row r="1179" customFormat="false" ht="15" hidden="false" customHeight="false" outlineLevel="0" collapsed="false">
      <c r="I1179" s="15" t="str">
        <f aca="false">IF(A1179="","",INT(A1179))</f>
        <v/>
      </c>
      <c r="J1179" s="16" t="str">
        <f aca="false">IF(B1179="","",IF(A1179=_xlfn.MINIFS($A$2:$A$5001,$B$2:$B$5001,B1179),1,0))</f>
        <v/>
      </c>
      <c r="K1179" s="16" t="str">
        <f aca="false">IF(B1179="","",IF(AND(D1179="Formalização",E1179="Concluído"),IF(COUNTIFS($B$2:$B$5001,B1179,$E$2:$E$5001,"Em ajustes",$A$2:$A$5001,"&lt;"&amp;I1179)&gt;0,1,0),0))</f>
        <v/>
      </c>
      <c r="L1179" s="16" t="str">
        <f aca="false">IF(B1179="","",IF(A1179=_xlfn.MAXIFS($A$2:$A$5001,$B$2:$B$5001,B1179,$I$2:$I$5001,I1179),1,0))</f>
        <v/>
      </c>
    </row>
    <row r="1180" customFormat="false" ht="15" hidden="false" customHeight="false" outlineLevel="0" collapsed="false">
      <c r="I1180" s="15" t="str">
        <f aca="false">IF(A1180="","",INT(A1180))</f>
        <v/>
      </c>
      <c r="J1180" s="16" t="str">
        <f aca="false">IF(B1180="","",IF(A1180=_xlfn.MINIFS($A$2:$A$5001,$B$2:$B$5001,B1180),1,0))</f>
        <v/>
      </c>
      <c r="K1180" s="16" t="str">
        <f aca="false">IF(B1180="","",IF(AND(D1180="Formalização",E1180="Concluído"),IF(COUNTIFS($B$2:$B$5001,B1180,$E$2:$E$5001,"Em ajustes",$A$2:$A$5001,"&lt;"&amp;I1180)&gt;0,1,0),0))</f>
        <v/>
      </c>
      <c r="L1180" s="16" t="str">
        <f aca="false">IF(B1180="","",IF(A1180=_xlfn.MAXIFS($A$2:$A$5001,$B$2:$B$5001,B1180,$I$2:$I$5001,I1180),1,0))</f>
        <v/>
      </c>
    </row>
    <row r="1181" customFormat="false" ht="15" hidden="false" customHeight="false" outlineLevel="0" collapsed="false">
      <c r="I1181" s="15" t="str">
        <f aca="false">IF(A1181="","",INT(A1181))</f>
        <v/>
      </c>
      <c r="J1181" s="16" t="str">
        <f aca="false">IF(B1181="","",IF(A1181=_xlfn.MINIFS($A$2:$A$5001,$B$2:$B$5001,B1181),1,0))</f>
        <v/>
      </c>
      <c r="K1181" s="16" t="str">
        <f aca="false">IF(B1181="","",IF(AND(D1181="Formalização",E1181="Concluído"),IF(COUNTIFS($B$2:$B$5001,B1181,$E$2:$E$5001,"Em ajustes",$A$2:$A$5001,"&lt;"&amp;I1181)&gt;0,1,0),0))</f>
        <v/>
      </c>
      <c r="L1181" s="16" t="str">
        <f aca="false">IF(B1181="","",IF(A1181=_xlfn.MAXIFS($A$2:$A$5001,$B$2:$B$5001,B1181,$I$2:$I$5001,I1181),1,0))</f>
        <v/>
      </c>
    </row>
    <row r="1182" customFormat="false" ht="15" hidden="false" customHeight="false" outlineLevel="0" collapsed="false">
      <c r="I1182" s="15" t="str">
        <f aca="false">IF(A1182="","",INT(A1182))</f>
        <v/>
      </c>
      <c r="J1182" s="16" t="str">
        <f aca="false">IF(B1182="","",IF(A1182=_xlfn.MINIFS($A$2:$A$5001,$B$2:$B$5001,B1182),1,0))</f>
        <v/>
      </c>
      <c r="K1182" s="16" t="str">
        <f aca="false">IF(B1182="","",IF(AND(D1182="Formalização",E1182="Concluído"),IF(COUNTIFS($B$2:$B$5001,B1182,$E$2:$E$5001,"Em ajustes",$A$2:$A$5001,"&lt;"&amp;I1182)&gt;0,1,0),0))</f>
        <v/>
      </c>
      <c r="L1182" s="16" t="str">
        <f aca="false">IF(B1182="","",IF(A1182=_xlfn.MAXIFS($A$2:$A$5001,$B$2:$B$5001,B1182,$I$2:$I$5001,I1182),1,0))</f>
        <v/>
      </c>
    </row>
    <row r="1183" customFormat="false" ht="15" hidden="false" customHeight="false" outlineLevel="0" collapsed="false">
      <c r="I1183" s="15" t="str">
        <f aca="false">IF(A1183="","",INT(A1183))</f>
        <v/>
      </c>
      <c r="J1183" s="16" t="str">
        <f aca="false">IF(B1183="","",IF(A1183=_xlfn.MINIFS($A$2:$A$5001,$B$2:$B$5001,B1183),1,0))</f>
        <v/>
      </c>
      <c r="K1183" s="16" t="str">
        <f aca="false">IF(B1183="","",IF(AND(D1183="Formalização",E1183="Concluído"),IF(COUNTIFS($B$2:$B$5001,B1183,$E$2:$E$5001,"Em ajustes",$A$2:$A$5001,"&lt;"&amp;I1183)&gt;0,1,0),0))</f>
        <v/>
      </c>
      <c r="L1183" s="16" t="str">
        <f aca="false">IF(B1183="","",IF(A1183=_xlfn.MAXIFS($A$2:$A$5001,$B$2:$B$5001,B1183,$I$2:$I$5001,I1183),1,0))</f>
        <v/>
      </c>
    </row>
    <row r="1184" customFormat="false" ht="15" hidden="false" customHeight="false" outlineLevel="0" collapsed="false">
      <c r="I1184" s="15" t="str">
        <f aca="false">IF(A1184="","",INT(A1184))</f>
        <v/>
      </c>
      <c r="J1184" s="16" t="str">
        <f aca="false">IF(B1184="","",IF(A1184=_xlfn.MINIFS($A$2:$A$5001,$B$2:$B$5001,B1184),1,0))</f>
        <v/>
      </c>
      <c r="K1184" s="16" t="str">
        <f aca="false">IF(B1184="","",IF(AND(D1184="Formalização",E1184="Concluído"),IF(COUNTIFS($B$2:$B$5001,B1184,$E$2:$E$5001,"Em ajustes",$A$2:$A$5001,"&lt;"&amp;I1184)&gt;0,1,0),0))</f>
        <v/>
      </c>
      <c r="L1184" s="16" t="str">
        <f aca="false">IF(B1184="","",IF(A1184=_xlfn.MAXIFS($A$2:$A$5001,$B$2:$B$5001,B1184,$I$2:$I$5001,I1184),1,0))</f>
        <v/>
      </c>
    </row>
    <row r="1185" customFormat="false" ht="15" hidden="false" customHeight="false" outlineLevel="0" collapsed="false">
      <c r="I1185" s="15" t="str">
        <f aca="false">IF(A1185="","",INT(A1185))</f>
        <v/>
      </c>
      <c r="J1185" s="16" t="str">
        <f aca="false">IF(B1185="","",IF(A1185=_xlfn.MINIFS($A$2:$A$5001,$B$2:$B$5001,B1185),1,0))</f>
        <v/>
      </c>
      <c r="K1185" s="16" t="str">
        <f aca="false">IF(B1185="","",IF(AND(D1185="Formalização",E1185="Concluído"),IF(COUNTIFS($B$2:$B$5001,B1185,$E$2:$E$5001,"Em ajustes",$A$2:$A$5001,"&lt;"&amp;I1185)&gt;0,1,0),0))</f>
        <v/>
      </c>
      <c r="L1185" s="16" t="str">
        <f aca="false">IF(B1185="","",IF(A1185=_xlfn.MAXIFS($A$2:$A$5001,$B$2:$B$5001,B1185,$I$2:$I$5001,I1185),1,0))</f>
        <v/>
      </c>
    </row>
    <row r="1186" customFormat="false" ht="15" hidden="false" customHeight="false" outlineLevel="0" collapsed="false">
      <c r="I1186" s="15" t="str">
        <f aca="false">IF(A1186="","",INT(A1186))</f>
        <v/>
      </c>
      <c r="J1186" s="16" t="str">
        <f aca="false">IF(B1186="","",IF(A1186=_xlfn.MINIFS($A$2:$A$5001,$B$2:$B$5001,B1186),1,0))</f>
        <v/>
      </c>
      <c r="K1186" s="16" t="str">
        <f aca="false">IF(B1186="","",IF(AND(D1186="Formalização",E1186="Concluído"),IF(COUNTIFS($B$2:$B$5001,B1186,$E$2:$E$5001,"Em ajustes",$A$2:$A$5001,"&lt;"&amp;I1186)&gt;0,1,0),0))</f>
        <v/>
      </c>
      <c r="L1186" s="16" t="str">
        <f aca="false">IF(B1186="","",IF(A1186=_xlfn.MAXIFS($A$2:$A$5001,$B$2:$B$5001,B1186,$I$2:$I$5001,I1186),1,0))</f>
        <v/>
      </c>
    </row>
    <row r="1187" customFormat="false" ht="15" hidden="false" customHeight="false" outlineLevel="0" collapsed="false">
      <c r="I1187" s="15" t="str">
        <f aca="false">IF(A1187="","",INT(A1187))</f>
        <v/>
      </c>
      <c r="J1187" s="16" t="str">
        <f aca="false">IF(B1187="","",IF(A1187=_xlfn.MINIFS($A$2:$A$5001,$B$2:$B$5001,B1187),1,0))</f>
        <v/>
      </c>
      <c r="K1187" s="16" t="str">
        <f aca="false">IF(B1187="","",IF(AND(D1187="Formalização",E1187="Concluído"),IF(COUNTIFS($B$2:$B$5001,B1187,$E$2:$E$5001,"Em ajustes",$A$2:$A$5001,"&lt;"&amp;I1187)&gt;0,1,0),0))</f>
        <v/>
      </c>
      <c r="L1187" s="16" t="str">
        <f aca="false">IF(B1187="","",IF(A1187=_xlfn.MAXIFS($A$2:$A$5001,$B$2:$B$5001,B1187,$I$2:$I$5001,I1187),1,0))</f>
        <v/>
      </c>
    </row>
    <row r="1188" customFormat="false" ht="15" hidden="false" customHeight="false" outlineLevel="0" collapsed="false">
      <c r="I1188" s="15" t="str">
        <f aca="false">IF(A1188="","",INT(A1188))</f>
        <v/>
      </c>
      <c r="J1188" s="16" t="str">
        <f aca="false">IF(B1188="","",IF(A1188=_xlfn.MINIFS($A$2:$A$5001,$B$2:$B$5001,B1188),1,0))</f>
        <v/>
      </c>
      <c r="K1188" s="16" t="str">
        <f aca="false">IF(B1188="","",IF(AND(D1188="Formalização",E1188="Concluído"),IF(COUNTIFS($B$2:$B$5001,B1188,$E$2:$E$5001,"Em ajustes",$A$2:$A$5001,"&lt;"&amp;I1188)&gt;0,1,0),0))</f>
        <v/>
      </c>
      <c r="L1188" s="16" t="str">
        <f aca="false">IF(B1188="","",IF(A1188=_xlfn.MAXIFS($A$2:$A$5001,$B$2:$B$5001,B1188,$I$2:$I$5001,I1188),1,0))</f>
        <v/>
      </c>
    </row>
    <row r="1189" customFormat="false" ht="15" hidden="false" customHeight="false" outlineLevel="0" collapsed="false">
      <c r="I1189" s="15" t="str">
        <f aca="false">IF(A1189="","",INT(A1189))</f>
        <v/>
      </c>
      <c r="J1189" s="16" t="str">
        <f aca="false">IF(B1189="","",IF(A1189=_xlfn.MINIFS($A$2:$A$5001,$B$2:$B$5001,B1189),1,0))</f>
        <v/>
      </c>
      <c r="K1189" s="16" t="str">
        <f aca="false">IF(B1189="","",IF(AND(D1189="Formalização",E1189="Concluído"),IF(COUNTIFS($B$2:$B$5001,B1189,$E$2:$E$5001,"Em ajustes",$A$2:$A$5001,"&lt;"&amp;I1189)&gt;0,1,0),0))</f>
        <v/>
      </c>
      <c r="L1189" s="16" t="str">
        <f aca="false">IF(B1189="","",IF(A1189=_xlfn.MAXIFS($A$2:$A$5001,$B$2:$B$5001,B1189,$I$2:$I$5001,I1189),1,0))</f>
        <v/>
      </c>
    </row>
    <row r="1190" customFormat="false" ht="15" hidden="false" customHeight="false" outlineLevel="0" collapsed="false">
      <c r="I1190" s="15" t="str">
        <f aca="false">IF(A1190="","",INT(A1190))</f>
        <v/>
      </c>
      <c r="J1190" s="16" t="str">
        <f aca="false">IF(B1190="","",IF(A1190=_xlfn.MINIFS($A$2:$A$5001,$B$2:$B$5001,B1190),1,0))</f>
        <v/>
      </c>
      <c r="K1190" s="16" t="str">
        <f aca="false">IF(B1190="","",IF(AND(D1190="Formalização",E1190="Concluído"),IF(COUNTIFS($B$2:$B$5001,B1190,$E$2:$E$5001,"Em ajustes",$A$2:$A$5001,"&lt;"&amp;I1190)&gt;0,1,0),0))</f>
        <v/>
      </c>
      <c r="L1190" s="16" t="str">
        <f aca="false">IF(B1190="","",IF(A1190=_xlfn.MAXIFS($A$2:$A$5001,$B$2:$B$5001,B1190,$I$2:$I$5001,I1190),1,0))</f>
        <v/>
      </c>
    </row>
    <row r="1191" customFormat="false" ht="15" hidden="false" customHeight="false" outlineLevel="0" collapsed="false">
      <c r="I1191" s="15" t="str">
        <f aca="false">IF(A1191="","",INT(A1191))</f>
        <v/>
      </c>
      <c r="J1191" s="16" t="str">
        <f aca="false">IF(B1191="","",IF(A1191=_xlfn.MINIFS($A$2:$A$5001,$B$2:$B$5001,B1191),1,0))</f>
        <v/>
      </c>
      <c r="K1191" s="16" t="str">
        <f aca="false">IF(B1191="","",IF(AND(D1191="Formalização",E1191="Concluído"),IF(COUNTIFS($B$2:$B$5001,B1191,$E$2:$E$5001,"Em ajustes",$A$2:$A$5001,"&lt;"&amp;I1191)&gt;0,1,0),0))</f>
        <v/>
      </c>
      <c r="L1191" s="16" t="str">
        <f aca="false">IF(B1191="","",IF(A1191=_xlfn.MAXIFS($A$2:$A$5001,$B$2:$B$5001,B1191,$I$2:$I$5001,I1191),1,0))</f>
        <v/>
      </c>
    </row>
    <row r="1192" customFormat="false" ht="15" hidden="false" customHeight="false" outlineLevel="0" collapsed="false">
      <c r="I1192" s="15" t="str">
        <f aca="false">IF(A1192="","",INT(A1192))</f>
        <v/>
      </c>
      <c r="J1192" s="16" t="str">
        <f aca="false">IF(B1192="","",IF(A1192=_xlfn.MINIFS($A$2:$A$5001,$B$2:$B$5001,B1192),1,0))</f>
        <v/>
      </c>
      <c r="K1192" s="16" t="str">
        <f aca="false">IF(B1192="","",IF(AND(D1192="Formalização",E1192="Concluído"),IF(COUNTIFS($B$2:$B$5001,B1192,$E$2:$E$5001,"Em ajustes",$A$2:$A$5001,"&lt;"&amp;I1192)&gt;0,1,0),0))</f>
        <v/>
      </c>
      <c r="L1192" s="16" t="str">
        <f aca="false">IF(B1192="","",IF(A1192=_xlfn.MAXIFS($A$2:$A$5001,$B$2:$B$5001,B1192,$I$2:$I$5001,I1192),1,0))</f>
        <v/>
      </c>
    </row>
    <row r="1193" customFormat="false" ht="15" hidden="false" customHeight="false" outlineLevel="0" collapsed="false">
      <c r="I1193" s="15" t="str">
        <f aca="false">IF(A1193="","",INT(A1193))</f>
        <v/>
      </c>
      <c r="J1193" s="16" t="str">
        <f aca="false">IF(B1193="","",IF(A1193=_xlfn.MINIFS($A$2:$A$5001,$B$2:$B$5001,B1193),1,0))</f>
        <v/>
      </c>
      <c r="K1193" s="16" t="str">
        <f aca="false">IF(B1193="","",IF(AND(D1193="Formalização",E1193="Concluído"),IF(COUNTIFS($B$2:$B$5001,B1193,$E$2:$E$5001,"Em ajustes",$A$2:$A$5001,"&lt;"&amp;I1193)&gt;0,1,0),0))</f>
        <v/>
      </c>
      <c r="L1193" s="16" t="str">
        <f aca="false">IF(B1193="","",IF(A1193=_xlfn.MAXIFS($A$2:$A$5001,$B$2:$B$5001,B1193,$I$2:$I$5001,I1193),1,0))</f>
        <v/>
      </c>
    </row>
    <row r="1194" customFormat="false" ht="15" hidden="false" customHeight="false" outlineLevel="0" collapsed="false">
      <c r="I1194" s="15" t="str">
        <f aca="false">IF(A1194="","",INT(A1194))</f>
        <v/>
      </c>
      <c r="J1194" s="16" t="str">
        <f aca="false">IF(B1194="","",IF(A1194=_xlfn.MINIFS($A$2:$A$5001,$B$2:$B$5001,B1194),1,0))</f>
        <v/>
      </c>
      <c r="K1194" s="16" t="str">
        <f aca="false">IF(B1194="","",IF(AND(D1194="Formalização",E1194="Concluído"),IF(COUNTIFS($B$2:$B$5001,B1194,$E$2:$E$5001,"Em ajustes",$A$2:$A$5001,"&lt;"&amp;I1194)&gt;0,1,0),0))</f>
        <v/>
      </c>
      <c r="L1194" s="16" t="str">
        <f aca="false">IF(B1194="","",IF(A1194=_xlfn.MAXIFS($A$2:$A$5001,$B$2:$B$5001,B1194,$I$2:$I$5001,I1194),1,0))</f>
        <v/>
      </c>
    </row>
    <row r="1195" customFormat="false" ht="15" hidden="false" customHeight="false" outlineLevel="0" collapsed="false">
      <c r="I1195" s="15" t="str">
        <f aca="false">IF(A1195="","",INT(A1195))</f>
        <v/>
      </c>
      <c r="J1195" s="16" t="str">
        <f aca="false">IF(B1195="","",IF(A1195=_xlfn.MINIFS($A$2:$A$5001,$B$2:$B$5001,B1195),1,0))</f>
        <v/>
      </c>
      <c r="K1195" s="16" t="str">
        <f aca="false">IF(B1195="","",IF(AND(D1195="Formalização",E1195="Concluído"),IF(COUNTIFS($B$2:$B$5001,B1195,$E$2:$E$5001,"Em ajustes",$A$2:$A$5001,"&lt;"&amp;I1195)&gt;0,1,0),0))</f>
        <v/>
      </c>
      <c r="L1195" s="16" t="str">
        <f aca="false">IF(B1195="","",IF(A1195=_xlfn.MAXIFS($A$2:$A$5001,$B$2:$B$5001,B1195,$I$2:$I$5001,I1195),1,0))</f>
        <v/>
      </c>
    </row>
    <row r="1196" customFormat="false" ht="15" hidden="false" customHeight="false" outlineLevel="0" collapsed="false">
      <c r="I1196" s="15" t="str">
        <f aca="false">IF(A1196="","",INT(A1196))</f>
        <v/>
      </c>
      <c r="J1196" s="16" t="str">
        <f aca="false">IF(B1196="","",IF(A1196=_xlfn.MINIFS($A$2:$A$5001,$B$2:$B$5001,B1196),1,0))</f>
        <v/>
      </c>
      <c r="K1196" s="16" t="str">
        <f aca="false">IF(B1196="","",IF(AND(D1196="Formalização",E1196="Concluído"),IF(COUNTIFS($B$2:$B$5001,B1196,$E$2:$E$5001,"Em ajustes",$A$2:$A$5001,"&lt;"&amp;I1196)&gt;0,1,0),0))</f>
        <v/>
      </c>
      <c r="L1196" s="16" t="str">
        <f aca="false">IF(B1196="","",IF(A1196=_xlfn.MAXIFS($A$2:$A$5001,$B$2:$B$5001,B1196,$I$2:$I$5001,I1196),1,0))</f>
        <v/>
      </c>
    </row>
    <row r="1197" customFormat="false" ht="15" hidden="false" customHeight="false" outlineLevel="0" collapsed="false">
      <c r="I1197" s="15" t="str">
        <f aca="false">IF(A1197="","",INT(A1197))</f>
        <v/>
      </c>
      <c r="J1197" s="16" t="str">
        <f aca="false">IF(B1197="","",IF(A1197=_xlfn.MINIFS($A$2:$A$5001,$B$2:$B$5001,B1197),1,0))</f>
        <v/>
      </c>
      <c r="K1197" s="16" t="str">
        <f aca="false">IF(B1197="","",IF(AND(D1197="Formalização",E1197="Concluído"),IF(COUNTIFS($B$2:$B$5001,B1197,$E$2:$E$5001,"Em ajustes",$A$2:$A$5001,"&lt;"&amp;I1197)&gt;0,1,0),0))</f>
        <v/>
      </c>
      <c r="L1197" s="16" t="str">
        <f aca="false">IF(B1197="","",IF(A1197=_xlfn.MAXIFS($A$2:$A$5001,$B$2:$B$5001,B1197,$I$2:$I$5001,I1197),1,0))</f>
        <v/>
      </c>
    </row>
    <row r="1198" customFormat="false" ht="15" hidden="false" customHeight="false" outlineLevel="0" collapsed="false">
      <c r="I1198" s="15" t="str">
        <f aca="false">IF(A1198="","",INT(A1198))</f>
        <v/>
      </c>
      <c r="J1198" s="16" t="str">
        <f aca="false">IF(B1198="","",IF(A1198=_xlfn.MINIFS($A$2:$A$5001,$B$2:$B$5001,B1198),1,0))</f>
        <v/>
      </c>
      <c r="K1198" s="16" t="str">
        <f aca="false">IF(B1198="","",IF(AND(D1198="Formalização",E1198="Concluído"),IF(COUNTIFS($B$2:$B$5001,B1198,$E$2:$E$5001,"Em ajustes",$A$2:$A$5001,"&lt;"&amp;I1198)&gt;0,1,0),0))</f>
        <v/>
      </c>
      <c r="L1198" s="16" t="str">
        <f aca="false">IF(B1198="","",IF(A1198=_xlfn.MAXIFS($A$2:$A$5001,$B$2:$B$5001,B1198,$I$2:$I$5001,I1198),1,0))</f>
        <v/>
      </c>
    </row>
    <row r="1199" customFormat="false" ht="15" hidden="false" customHeight="false" outlineLevel="0" collapsed="false">
      <c r="I1199" s="15" t="str">
        <f aca="false">IF(A1199="","",INT(A1199))</f>
        <v/>
      </c>
      <c r="J1199" s="16" t="str">
        <f aca="false">IF(B1199="","",IF(A1199=_xlfn.MINIFS($A$2:$A$5001,$B$2:$B$5001,B1199),1,0))</f>
        <v/>
      </c>
      <c r="K1199" s="16" t="str">
        <f aca="false">IF(B1199="","",IF(AND(D1199="Formalização",E1199="Concluído"),IF(COUNTIFS($B$2:$B$5001,B1199,$E$2:$E$5001,"Em ajustes",$A$2:$A$5001,"&lt;"&amp;I1199)&gt;0,1,0),0))</f>
        <v/>
      </c>
      <c r="L1199" s="16" t="str">
        <f aca="false">IF(B1199="","",IF(A1199=_xlfn.MAXIFS($A$2:$A$5001,$B$2:$B$5001,B1199,$I$2:$I$5001,I1199),1,0))</f>
        <v/>
      </c>
    </row>
    <row r="1200" customFormat="false" ht="15" hidden="false" customHeight="false" outlineLevel="0" collapsed="false">
      <c r="I1200" s="15" t="str">
        <f aca="false">IF(A1200="","",INT(A1200))</f>
        <v/>
      </c>
      <c r="J1200" s="16" t="str">
        <f aca="false">IF(B1200="","",IF(A1200=_xlfn.MINIFS($A$2:$A$5001,$B$2:$B$5001,B1200),1,0))</f>
        <v/>
      </c>
      <c r="K1200" s="16" t="str">
        <f aca="false">IF(B1200="","",IF(AND(D1200="Formalização",E1200="Concluído"),IF(COUNTIFS($B$2:$B$5001,B1200,$E$2:$E$5001,"Em ajustes",$A$2:$A$5001,"&lt;"&amp;I1200)&gt;0,1,0),0))</f>
        <v/>
      </c>
      <c r="L1200" s="16" t="str">
        <f aca="false">IF(B1200="","",IF(A1200=_xlfn.MAXIFS($A$2:$A$5001,$B$2:$B$5001,B1200,$I$2:$I$5001,I1200),1,0))</f>
        <v/>
      </c>
    </row>
    <row r="1201" customFormat="false" ht="15" hidden="false" customHeight="false" outlineLevel="0" collapsed="false">
      <c r="I1201" s="15" t="str">
        <f aca="false">IF(A1201="","",INT(A1201))</f>
        <v/>
      </c>
      <c r="J1201" s="16" t="str">
        <f aca="false">IF(B1201="","",IF(A1201=_xlfn.MINIFS($A$2:$A$5001,$B$2:$B$5001,B1201),1,0))</f>
        <v/>
      </c>
      <c r="K1201" s="16" t="str">
        <f aca="false">IF(B1201="","",IF(AND(D1201="Formalização",E1201="Concluído"),IF(COUNTIFS($B$2:$B$5001,B1201,$E$2:$E$5001,"Em ajustes",$A$2:$A$5001,"&lt;"&amp;I1201)&gt;0,1,0),0))</f>
        <v/>
      </c>
      <c r="L1201" s="16" t="str">
        <f aca="false">IF(B1201="","",IF(A1201=_xlfn.MAXIFS($A$2:$A$5001,$B$2:$B$5001,B1201,$I$2:$I$5001,I1201),1,0))</f>
        <v/>
      </c>
    </row>
    <row r="1202" customFormat="false" ht="15" hidden="false" customHeight="false" outlineLevel="0" collapsed="false">
      <c r="I1202" s="15" t="str">
        <f aca="false">IF(A1202="","",INT(A1202))</f>
        <v/>
      </c>
      <c r="J1202" s="16" t="str">
        <f aca="false">IF(B1202="","",IF(A1202=_xlfn.MINIFS($A$2:$A$5001,$B$2:$B$5001,B1202),1,0))</f>
        <v/>
      </c>
      <c r="K1202" s="16" t="str">
        <f aca="false">IF(B1202="","",IF(AND(D1202="Formalização",E1202="Concluído"),IF(COUNTIFS($B$2:$B$5001,B1202,$E$2:$E$5001,"Em ajustes",$A$2:$A$5001,"&lt;"&amp;I1202)&gt;0,1,0),0))</f>
        <v/>
      </c>
      <c r="L1202" s="16" t="str">
        <f aca="false">IF(B1202="","",IF(A1202=_xlfn.MAXIFS($A$2:$A$5001,$B$2:$B$5001,B1202,$I$2:$I$5001,I1202),1,0))</f>
        <v/>
      </c>
    </row>
    <row r="1203" customFormat="false" ht="15" hidden="false" customHeight="false" outlineLevel="0" collapsed="false">
      <c r="I1203" s="15" t="str">
        <f aca="false">IF(A1203="","",INT(A1203))</f>
        <v/>
      </c>
      <c r="J1203" s="16" t="str">
        <f aca="false">IF(B1203="","",IF(A1203=_xlfn.MINIFS($A$2:$A$5001,$B$2:$B$5001,B1203),1,0))</f>
        <v/>
      </c>
      <c r="K1203" s="16" t="str">
        <f aca="false">IF(B1203="","",IF(AND(D1203="Formalização",E1203="Concluído"),IF(COUNTIFS($B$2:$B$5001,B1203,$E$2:$E$5001,"Em ajustes",$A$2:$A$5001,"&lt;"&amp;I1203)&gt;0,1,0),0))</f>
        <v/>
      </c>
      <c r="L1203" s="16" t="str">
        <f aca="false">IF(B1203="","",IF(A1203=_xlfn.MAXIFS($A$2:$A$5001,$B$2:$B$5001,B1203,$I$2:$I$5001,I1203),1,0))</f>
        <v/>
      </c>
    </row>
    <row r="1204" customFormat="false" ht="15" hidden="false" customHeight="false" outlineLevel="0" collapsed="false">
      <c r="I1204" s="15" t="str">
        <f aca="false">IF(A1204="","",INT(A1204))</f>
        <v/>
      </c>
      <c r="J1204" s="16" t="str">
        <f aca="false">IF(B1204="","",IF(A1204=_xlfn.MINIFS($A$2:$A$5001,$B$2:$B$5001,B1204),1,0))</f>
        <v/>
      </c>
      <c r="K1204" s="16" t="str">
        <f aca="false">IF(B1204="","",IF(AND(D1204="Formalização",E1204="Concluído"),IF(COUNTIFS($B$2:$B$5001,B1204,$E$2:$E$5001,"Em ajustes",$A$2:$A$5001,"&lt;"&amp;I1204)&gt;0,1,0),0))</f>
        <v/>
      </c>
      <c r="L1204" s="16" t="str">
        <f aca="false">IF(B1204="","",IF(A1204=_xlfn.MAXIFS($A$2:$A$5001,$B$2:$B$5001,B1204,$I$2:$I$5001,I1204),1,0))</f>
        <v/>
      </c>
    </row>
    <row r="1205" customFormat="false" ht="15" hidden="false" customHeight="false" outlineLevel="0" collapsed="false">
      <c r="I1205" s="15" t="str">
        <f aca="false">IF(A1205="","",INT(A1205))</f>
        <v/>
      </c>
      <c r="J1205" s="16" t="str">
        <f aca="false">IF(B1205="","",IF(A1205=_xlfn.MINIFS($A$2:$A$5001,$B$2:$B$5001,B1205),1,0))</f>
        <v/>
      </c>
      <c r="K1205" s="16" t="str">
        <f aca="false">IF(B1205="","",IF(AND(D1205="Formalização",E1205="Concluído"),IF(COUNTIFS($B$2:$B$5001,B1205,$E$2:$E$5001,"Em ajustes",$A$2:$A$5001,"&lt;"&amp;I1205)&gt;0,1,0),0))</f>
        <v/>
      </c>
      <c r="L1205" s="16" t="str">
        <f aca="false">IF(B1205="","",IF(A1205=_xlfn.MAXIFS($A$2:$A$5001,$B$2:$B$5001,B1205,$I$2:$I$5001,I1205),1,0))</f>
        <v/>
      </c>
    </row>
    <row r="1206" customFormat="false" ht="15" hidden="false" customHeight="false" outlineLevel="0" collapsed="false">
      <c r="I1206" s="15" t="str">
        <f aca="false">IF(A1206="","",INT(A1206))</f>
        <v/>
      </c>
      <c r="J1206" s="16" t="str">
        <f aca="false">IF(B1206="","",IF(A1206=_xlfn.MINIFS($A$2:$A$5001,$B$2:$B$5001,B1206),1,0))</f>
        <v/>
      </c>
      <c r="K1206" s="16" t="str">
        <f aca="false">IF(B1206="","",IF(AND(D1206="Formalização",E1206="Concluído"),IF(COUNTIFS($B$2:$B$5001,B1206,$E$2:$E$5001,"Em ajustes",$A$2:$A$5001,"&lt;"&amp;I1206)&gt;0,1,0),0))</f>
        <v/>
      </c>
      <c r="L1206" s="16" t="str">
        <f aca="false">IF(B1206="","",IF(A1206=_xlfn.MAXIFS($A$2:$A$5001,$B$2:$B$5001,B1206,$I$2:$I$5001,I1206),1,0))</f>
        <v/>
      </c>
    </row>
    <row r="1207" customFormat="false" ht="15" hidden="false" customHeight="false" outlineLevel="0" collapsed="false">
      <c r="I1207" s="15" t="str">
        <f aca="false">IF(A1207="","",INT(A1207))</f>
        <v/>
      </c>
      <c r="J1207" s="16" t="str">
        <f aca="false">IF(B1207="","",IF(A1207=_xlfn.MINIFS($A$2:$A$5001,$B$2:$B$5001,B1207),1,0))</f>
        <v/>
      </c>
      <c r="K1207" s="16" t="str">
        <f aca="false">IF(B1207="","",IF(AND(D1207="Formalização",E1207="Concluído"),IF(COUNTIFS($B$2:$B$5001,B1207,$E$2:$E$5001,"Em ajustes",$A$2:$A$5001,"&lt;"&amp;I1207)&gt;0,1,0),0))</f>
        <v/>
      </c>
      <c r="L1207" s="16" t="str">
        <f aca="false">IF(B1207="","",IF(A1207=_xlfn.MAXIFS($A$2:$A$5001,$B$2:$B$5001,B1207,$I$2:$I$5001,I1207),1,0))</f>
        <v/>
      </c>
    </row>
    <row r="1208" customFormat="false" ht="15" hidden="false" customHeight="false" outlineLevel="0" collapsed="false">
      <c r="I1208" s="15" t="str">
        <f aca="false">IF(A1208="","",INT(A1208))</f>
        <v/>
      </c>
      <c r="J1208" s="16" t="str">
        <f aca="false">IF(B1208="","",IF(A1208=_xlfn.MINIFS($A$2:$A$5001,$B$2:$B$5001,B1208),1,0))</f>
        <v/>
      </c>
      <c r="K1208" s="16" t="str">
        <f aca="false">IF(B1208="","",IF(AND(D1208="Formalização",E1208="Concluído"),IF(COUNTIFS($B$2:$B$5001,B1208,$E$2:$E$5001,"Em ajustes",$A$2:$A$5001,"&lt;"&amp;I1208)&gt;0,1,0),0))</f>
        <v/>
      </c>
      <c r="L1208" s="16" t="str">
        <f aca="false">IF(B1208="","",IF(A1208=_xlfn.MAXIFS($A$2:$A$5001,$B$2:$B$5001,B1208,$I$2:$I$5001,I1208),1,0))</f>
        <v/>
      </c>
    </row>
    <row r="1209" customFormat="false" ht="15" hidden="false" customHeight="false" outlineLevel="0" collapsed="false">
      <c r="I1209" s="15" t="str">
        <f aca="false">IF(A1209="","",INT(A1209))</f>
        <v/>
      </c>
      <c r="J1209" s="16" t="str">
        <f aca="false">IF(B1209="","",IF(A1209=_xlfn.MINIFS($A$2:$A$5001,$B$2:$B$5001,B1209),1,0))</f>
        <v/>
      </c>
      <c r="K1209" s="16" t="str">
        <f aca="false">IF(B1209="","",IF(AND(D1209="Formalização",E1209="Concluído"),IF(COUNTIFS($B$2:$B$5001,B1209,$E$2:$E$5001,"Em ajustes",$A$2:$A$5001,"&lt;"&amp;I1209)&gt;0,1,0),0))</f>
        <v/>
      </c>
      <c r="L1209" s="16" t="str">
        <f aca="false">IF(B1209="","",IF(A1209=_xlfn.MAXIFS($A$2:$A$5001,$B$2:$B$5001,B1209,$I$2:$I$5001,I1209),1,0))</f>
        <v/>
      </c>
    </row>
    <row r="1210" customFormat="false" ht="15" hidden="false" customHeight="false" outlineLevel="0" collapsed="false">
      <c r="I1210" s="15" t="str">
        <f aca="false">IF(A1210="","",INT(A1210))</f>
        <v/>
      </c>
      <c r="J1210" s="16" t="str">
        <f aca="false">IF(B1210="","",IF(A1210=_xlfn.MINIFS($A$2:$A$5001,$B$2:$B$5001,B1210),1,0))</f>
        <v/>
      </c>
      <c r="K1210" s="16" t="str">
        <f aca="false">IF(B1210="","",IF(AND(D1210="Formalização",E1210="Concluído"),IF(COUNTIFS($B$2:$B$5001,B1210,$E$2:$E$5001,"Em ajustes",$A$2:$A$5001,"&lt;"&amp;I1210)&gt;0,1,0),0))</f>
        <v/>
      </c>
      <c r="L1210" s="16" t="str">
        <f aca="false">IF(B1210="","",IF(A1210=_xlfn.MAXIFS($A$2:$A$5001,$B$2:$B$5001,B1210,$I$2:$I$5001,I1210),1,0))</f>
        <v/>
      </c>
    </row>
    <row r="1211" customFormat="false" ht="15" hidden="false" customHeight="false" outlineLevel="0" collapsed="false">
      <c r="I1211" s="15" t="str">
        <f aca="false">IF(A1211="","",INT(A1211))</f>
        <v/>
      </c>
      <c r="J1211" s="16" t="str">
        <f aca="false">IF(B1211="","",IF(A1211=_xlfn.MINIFS($A$2:$A$5001,$B$2:$B$5001,B1211),1,0))</f>
        <v/>
      </c>
      <c r="K1211" s="16" t="str">
        <f aca="false">IF(B1211="","",IF(AND(D1211="Formalização",E1211="Concluído"),IF(COUNTIFS($B$2:$B$5001,B1211,$E$2:$E$5001,"Em ajustes",$A$2:$A$5001,"&lt;"&amp;I1211)&gt;0,1,0),0))</f>
        <v/>
      </c>
      <c r="L1211" s="16" t="str">
        <f aca="false">IF(B1211="","",IF(A1211=_xlfn.MAXIFS($A$2:$A$5001,$B$2:$B$5001,B1211,$I$2:$I$5001,I1211),1,0))</f>
        <v/>
      </c>
    </row>
    <row r="1212" customFormat="false" ht="15" hidden="false" customHeight="false" outlineLevel="0" collapsed="false">
      <c r="I1212" s="15" t="str">
        <f aca="false">IF(A1212="","",INT(A1212))</f>
        <v/>
      </c>
      <c r="J1212" s="16" t="str">
        <f aca="false">IF(B1212="","",IF(A1212=_xlfn.MINIFS($A$2:$A$5001,$B$2:$B$5001,B1212),1,0))</f>
        <v/>
      </c>
      <c r="K1212" s="16" t="str">
        <f aca="false">IF(B1212="","",IF(AND(D1212="Formalização",E1212="Concluído"),IF(COUNTIFS($B$2:$B$5001,B1212,$E$2:$E$5001,"Em ajustes",$A$2:$A$5001,"&lt;"&amp;I1212)&gt;0,1,0),0))</f>
        <v/>
      </c>
      <c r="L1212" s="16" t="str">
        <f aca="false">IF(B1212="","",IF(A1212=_xlfn.MAXIFS($A$2:$A$5001,$B$2:$B$5001,B1212,$I$2:$I$5001,I1212),1,0))</f>
        <v/>
      </c>
    </row>
    <row r="1213" customFormat="false" ht="15" hidden="false" customHeight="false" outlineLevel="0" collapsed="false">
      <c r="I1213" s="15" t="str">
        <f aca="false">IF(A1213="","",INT(A1213))</f>
        <v/>
      </c>
      <c r="J1213" s="16" t="str">
        <f aca="false">IF(B1213="","",IF(A1213=_xlfn.MINIFS($A$2:$A$5001,$B$2:$B$5001,B1213),1,0))</f>
        <v/>
      </c>
      <c r="K1213" s="16" t="str">
        <f aca="false">IF(B1213="","",IF(AND(D1213="Formalização",E1213="Concluído"),IF(COUNTIFS($B$2:$B$5001,B1213,$E$2:$E$5001,"Em ajustes",$A$2:$A$5001,"&lt;"&amp;I1213)&gt;0,1,0),0))</f>
        <v/>
      </c>
      <c r="L1213" s="16" t="str">
        <f aca="false">IF(B1213="","",IF(A1213=_xlfn.MAXIFS($A$2:$A$5001,$B$2:$B$5001,B1213,$I$2:$I$5001,I1213),1,0))</f>
        <v/>
      </c>
    </row>
    <row r="1214" customFormat="false" ht="15" hidden="false" customHeight="false" outlineLevel="0" collapsed="false">
      <c r="I1214" s="15" t="str">
        <f aca="false">IF(A1214="","",INT(A1214))</f>
        <v/>
      </c>
      <c r="J1214" s="16" t="str">
        <f aca="false">IF(B1214="","",IF(A1214=_xlfn.MINIFS($A$2:$A$5001,$B$2:$B$5001,B1214),1,0))</f>
        <v/>
      </c>
      <c r="K1214" s="16" t="str">
        <f aca="false">IF(B1214="","",IF(AND(D1214="Formalização",E1214="Concluído"),IF(COUNTIFS($B$2:$B$5001,B1214,$E$2:$E$5001,"Em ajustes",$A$2:$A$5001,"&lt;"&amp;I1214)&gt;0,1,0),0))</f>
        <v/>
      </c>
      <c r="L1214" s="16" t="str">
        <f aca="false">IF(B1214="","",IF(A1214=_xlfn.MAXIFS($A$2:$A$5001,$B$2:$B$5001,B1214,$I$2:$I$5001,I1214),1,0))</f>
        <v/>
      </c>
    </row>
    <row r="1215" customFormat="false" ht="15" hidden="false" customHeight="false" outlineLevel="0" collapsed="false">
      <c r="I1215" s="15" t="str">
        <f aca="false">IF(A1215="","",INT(A1215))</f>
        <v/>
      </c>
      <c r="J1215" s="16" t="str">
        <f aca="false">IF(B1215="","",IF(A1215=_xlfn.MINIFS($A$2:$A$5001,$B$2:$B$5001,B1215),1,0))</f>
        <v/>
      </c>
      <c r="K1215" s="16" t="str">
        <f aca="false">IF(B1215="","",IF(AND(D1215="Formalização",E1215="Concluído"),IF(COUNTIFS($B$2:$B$5001,B1215,$E$2:$E$5001,"Em ajustes",$A$2:$A$5001,"&lt;"&amp;I1215)&gt;0,1,0),0))</f>
        <v/>
      </c>
      <c r="L1215" s="16" t="str">
        <f aca="false">IF(B1215="","",IF(A1215=_xlfn.MAXIFS($A$2:$A$5001,$B$2:$B$5001,B1215,$I$2:$I$5001,I1215),1,0))</f>
        <v/>
      </c>
    </row>
    <row r="1216" customFormat="false" ht="15" hidden="false" customHeight="false" outlineLevel="0" collapsed="false">
      <c r="I1216" s="15" t="str">
        <f aca="false">IF(A1216="","",INT(A1216))</f>
        <v/>
      </c>
      <c r="J1216" s="16" t="str">
        <f aca="false">IF(B1216="","",IF(A1216=_xlfn.MINIFS($A$2:$A$5001,$B$2:$B$5001,B1216),1,0))</f>
        <v/>
      </c>
      <c r="K1216" s="16" t="str">
        <f aca="false">IF(B1216="","",IF(AND(D1216="Formalização",E1216="Concluído"),IF(COUNTIFS($B$2:$B$5001,B1216,$E$2:$E$5001,"Em ajustes",$A$2:$A$5001,"&lt;"&amp;I1216)&gt;0,1,0),0))</f>
        <v/>
      </c>
      <c r="L1216" s="16" t="str">
        <f aca="false">IF(B1216="","",IF(A1216=_xlfn.MAXIFS($A$2:$A$5001,$B$2:$B$5001,B1216,$I$2:$I$5001,I1216),1,0))</f>
        <v/>
      </c>
    </row>
    <row r="1217" customFormat="false" ht="15" hidden="false" customHeight="false" outlineLevel="0" collapsed="false">
      <c r="I1217" s="15" t="str">
        <f aca="false">IF(A1217="","",INT(A1217))</f>
        <v/>
      </c>
      <c r="J1217" s="16" t="str">
        <f aca="false">IF(B1217="","",IF(A1217=_xlfn.MINIFS($A$2:$A$5001,$B$2:$B$5001,B1217),1,0))</f>
        <v/>
      </c>
      <c r="K1217" s="16" t="str">
        <f aca="false">IF(B1217="","",IF(AND(D1217="Formalização",E1217="Concluído"),IF(COUNTIFS($B$2:$B$5001,B1217,$E$2:$E$5001,"Em ajustes",$A$2:$A$5001,"&lt;"&amp;I1217)&gt;0,1,0),0))</f>
        <v/>
      </c>
      <c r="L1217" s="16" t="str">
        <f aca="false">IF(B1217="","",IF(A1217=_xlfn.MAXIFS($A$2:$A$5001,$B$2:$B$5001,B1217,$I$2:$I$5001,I1217),1,0))</f>
        <v/>
      </c>
    </row>
    <row r="1218" customFormat="false" ht="15" hidden="false" customHeight="false" outlineLevel="0" collapsed="false">
      <c r="I1218" s="15" t="str">
        <f aca="false">IF(A1218="","",INT(A1218))</f>
        <v/>
      </c>
      <c r="J1218" s="16" t="str">
        <f aca="false">IF(B1218="","",IF(A1218=_xlfn.MINIFS($A$2:$A$5001,$B$2:$B$5001,B1218),1,0))</f>
        <v/>
      </c>
      <c r="K1218" s="16" t="str">
        <f aca="false">IF(B1218="","",IF(AND(D1218="Formalização",E1218="Concluído"),IF(COUNTIFS($B$2:$B$5001,B1218,$E$2:$E$5001,"Em ajustes",$A$2:$A$5001,"&lt;"&amp;I1218)&gt;0,1,0),0))</f>
        <v/>
      </c>
      <c r="L1218" s="16" t="str">
        <f aca="false">IF(B1218="","",IF(A1218=_xlfn.MAXIFS($A$2:$A$5001,$B$2:$B$5001,B1218,$I$2:$I$5001,I1218),1,0))</f>
        <v/>
      </c>
    </row>
    <row r="1219" customFormat="false" ht="15" hidden="false" customHeight="false" outlineLevel="0" collapsed="false">
      <c r="I1219" s="15" t="str">
        <f aca="false">IF(A1219="","",INT(A1219))</f>
        <v/>
      </c>
      <c r="J1219" s="16" t="str">
        <f aca="false">IF(B1219="","",IF(A1219=_xlfn.MINIFS($A$2:$A$5001,$B$2:$B$5001,B1219),1,0))</f>
        <v/>
      </c>
      <c r="K1219" s="16" t="str">
        <f aca="false">IF(B1219="","",IF(AND(D1219="Formalização",E1219="Concluído"),IF(COUNTIFS($B$2:$B$5001,B1219,$E$2:$E$5001,"Em ajustes",$A$2:$A$5001,"&lt;"&amp;I1219)&gt;0,1,0),0))</f>
        <v/>
      </c>
      <c r="L1219" s="16" t="str">
        <f aca="false">IF(B1219="","",IF(A1219=_xlfn.MAXIFS($A$2:$A$5001,$B$2:$B$5001,B1219,$I$2:$I$5001,I1219),1,0))</f>
        <v/>
      </c>
    </row>
    <row r="1220" customFormat="false" ht="15" hidden="false" customHeight="false" outlineLevel="0" collapsed="false">
      <c r="I1220" s="15" t="str">
        <f aca="false">IF(A1220="","",INT(A1220))</f>
        <v/>
      </c>
      <c r="J1220" s="16" t="str">
        <f aca="false">IF(B1220="","",IF(A1220=_xlfn.MINIFS($A$2:$A$5001,$B$2:$B$5001,B1220),1,0))</f>
        <v/>
      </c>
      <c r="K1220" s="16" t="str">
        <f aca="false">IF(B1220="","",IF(AND(D1220="Formalização",E1220="Concluído"),IF(COUNTIFS($B$2:$B$5001,B1220,$E$2:$E$5001,"Em ajustes",$A$2:$A$5001,"&lt;"&amp;I1220)&gt;0,1,0),0))</f>
        <v/>
      </c>
      <c r="L1220" s="16" t="str">
        <f aca="false">IF(B1220="","",IF(A1220=_xlfn.MAXIFS($A$2:$A$5001,$B$2:$B$5001,B1220,$I$2:$I$5001,I1220),1,0))</f>
        <v/>
      </c>
    </row>
    <row r="1221" customFormat="false" ht="15" hidden="false" customHeight="false" outlineLevel="0" collapsed="false">
      <c r="I1221" s="15" t="str">
        <f aca="false">IF(A1221="","",INT(A1221))</f>
        <v/>
      </c>
      <c r="J1221" s="16" t="str">
        <f aca="false">IF(B1221="","",IF(A1221=_xlfn.MINIFS($A$2:$A$5001,$B$2:$B$5001,B1221),1,0))</f>
        <v/>
      </c>
      <c r="K1221" s="16" t="str">
        <f aca="false">IF(B1221="","",IF(AND(D1221="Formalização",E1221="Concluído"),IF(COUNTIFS($B$2:$B$5001,B1221,$E$2:$E$5001,"Em ajustes",$A$2:$A$5001,"&lt;"&amp;I1221)&gt;0,1,0),0))</f>
        <v/>
      </c>
      <c r="L1221" s="16" t="str">
        <f aca="false">IF(B1221="","",IF(A1221=_xlfn.MAXIFS($A$2:$A$5001,$B$2:$B$5001,B1221,$I$2:$I$5001,I1221),1,0))</f>
        <v/>
      </c>
    </row>
    <row r="1222" customFormat="false" ht="15" hidden="false" customHeight="false" outlineLevel="0" collapsed="false">
      <c r="I1222" s="15" t="str">
        <f aca="false">IF(A1222="","",INT(A1222))</f>
        <v/>
      </c>
      <c r="J1222" s="16" t="str">
        <f aca="false">IF(B1222="","",IF(A1222=_xlfn.MINIFS($A$2:$A$5001,$B$2:$B$5001,B1222),1,0))</f>
        <v/>
      </c>
      <c r="K1222" s="16" t="str">
        <f aca="false">IF(B1222="","",IF(AND(D1222="Formalização",E1222="Concluído"),IF(COUNTIFS($B$2:$B$5001,B1222,$E$2:$E$5001,"Em ajustes",$A$2:$A$5001,"&lt;"&amp;I1222)&gt;0,1,0),0))</f>
        <v/>
      </c>
      <c r="L1222" s="16" t="str">
        <f aca="false">IF(B1222="","",IF(A1222=_xlfn.MAXIFS($A$2:$A$5001,$B$2:$B$5001,B1222,$I$2:$I$5001,I1222),1,0))</f>
        <v/>
      </c>
    </row>
    <row r="1223" customFormat="false" ht="15" hidden="false" customHeight="false" outlineLevel="0" collapsed="false">
      <c r="I1223" s="15" t="str">
        <f aca="false">IF(A1223="","",INT(A1223))</f>
        <v/>
      </c>
      <c r="J1223" s="16" t="str">
        <f aca="false">IF(B1223="","",IF(A1223=_xlfn.MINIFS($A$2:$A$5001,$B$2:$B$5001,B1223),1,0))</f>
        <v/>
      </c>
      <c r="K1223" s="16" t="str">
        <f aca="false">IF(B1223="","",IF(AND(D1223="Formalização",E1223="Concluído"),IF(COUNTIFS($B$2:$B$5001,B1223,$E$2:$E$5001,"Em ajustes",$A$2:$A$5001,"&lt;"&amp;I1223)&gt;0,1,0),0))</f>
        <v/>
      </c>
      <c r="L1223" s="16" t="str">
        <f aca="false">IF(B1223="","",IF(A1223=_xlfn.MAXIFS($A$2:$A$5001,$B$2:$B$5001,B1223,$I$2:$I$5001,I1223),1,0))</f>
        <v/>
      </c>
    </row>
    <row r="1224" customFormat="false" ht="15" hidden="false" customHeight="false" outlineLevel="0" collapsed="false">
      <c r="I1224" s="15" t="str">
        <f aca="false">IF(A1224="","",INT(A1224))</f>
        <v/>
      </c>
      <c r="J1224" s="16" t="str">
        <f aca="false">IF(B1224="","",IF(A1224=_xlfn.MINIFS($A$2:$A$5001,$B$2:$B$5001,B1224),1,0))</f>
        <v/>
      </c>
      <c r="K1224" s="16" t="str">
        <f aca="false">IF(B1224="","",IF(AND(D1224="Formalização",E1224="Concluído"),IF(COUNTIFS($B$2:$B$5001,B1224,$E$2:$E$5001,"Em ajustes",$A$2:$A$5001,"&lt;"&amp;I1224)&gt;0,1,0),0))</f>
        <v/>
      </c>
      <c r="L1224" s="16" t="str">
        <f aca="false">IF(B1224="","",IF(A1224=_xlfn.MAXIFS($A$2:$A$5001,$B$2:$B$5001,B1224,$I$2:$I$5001,I1224),1,0))</f>
        <v/>
      </c>
    </row>
    <row r="1225" customFormat="false" ht="15" hidden="false" customHeight="false" outlineLevel="0" collapsed="false">
      <c r="I1225" s="15" t="str">
        <f aca="false">IF(A1225="","",INT(A1225))</f>
        <v/>
      </c>
      <c r="J1225" s="16" t="str">
        <f aca="false">IF(B1225="","",IF(A1225=_xlfn.MINIFS($A$2:$A$5001,$B$2:$B$5001,B1225),1,0))</f>
        <v/>
      </c>
      <c r="K1225" s="16" t="str">
        <f aca="false">IF(B1225="","",IF(AND(D1225="Formalização",E1225="Concluído"),IF(COUNTIFS($B$2:$B$5001,B1225,$E$2:$E$5001,"Em ajustes",$A$2:$A$5001,"&lt;"&amp;I1225)&gt;0,1,0),0))</f>
        <v/>
      </c>
      <c r="L1225" s="16" t="str">
        <f aca="false">IF(B1225="","",IF(A1225=_xlfn.MAXIFS($A$2:$A$5001,$B$2:$B$5001,B1225,$I$2:$I$5001,I1225),1,0))</f>
        <v/>
      </c>
    </row>
    <row r="1226" customFormat="false" ht="15" hidden="false" customHeight="false" outlineLevel="0" collapsed="false">
      <c r="I1226" s="15" t="str">
        <f aca="false">IF(A1226="","",INT(A1226))</f>
        <v/>
      </c>
      <c r="J1226" s="16" t="str">
        <f aca="false">IF(B1226="","",IF(A1226=_xlfn.MINIFS($A$2:$A$5001,$B$2:$B$5001,B1226),1,0))</f>
        <v/>
      </c>
      <c r="K1226" s="16" t="str">
        <f aca="false">IF(B1226="","",IF(AND(D1226="Formalização",E1226="Concluído"),IF(COUNTIFS($B$2:$B$5001,B1226,$E$2:$E$5001,"Em ajustes",$A$2:$A$5001,"&lt;"&amp;I1226)&gt;0,1,0),0))</f>
        <v/>
      </c>
      <c r="L1226" s="16" t="str">
        <f aca="false">IF(B1226="","",IF(A1226=_xlfn.MAXIFS($A$2:$A$5001,$B$2:$B$5001,B1226,$I$2:$I$5001,I1226),1,0))</f>
        <v/>
      </c>
    </row>
    <row r="1227" customFormat="false" ht="15" hidden="false" customHeight="false" outlineLevel="0" collapsed="false">
      <c r="I1227" s="15" t="str">
        <f aca="false">IF(A1227="","",INT(A1227))</f>
        <v/>
      </c>
      <c r="J1227" s="16" t="str">
        <f aca="false">IF(B1227="","",IF(A1227=_xlfn.MINIFS($A$2:$A$5001,$B$2:$B$5001,B1227),1,0))</f>
        <v/>
      </c>
      <c r="K1227" s="16" t="str">
        <f aca="false">IF(B1227="","",IF(AND(D1227="Formalização",E1227="Concluído"),IF(COUNTIFS($B$2:$B$5001,B1227,$E$2:$E$5001,"Em ajustes",$A$2:$A$5001,"&lt;"&amp;I1227)&gt;0,1,0),0))</f>
        <v/>
      </c>
      <c r="L1227" s="16" t="str">
        <f aca="false">IF(B1227="","",IF(A1227=_xlfn.MAXIFS($A$2:$A$5001,$B$2:$B$5001,B1227,$I$2:$I$5001,I1227),1,0))</f>
        <v/>
      </c>
    </row>
    <row r="1228" customFormat="false" ht="15" hidden="false" customHeight="false" outlineLevel="0" collapsed="false">
      <c r="I1228" s="15" t="str">
        <f aca="false">IF(A1228="","",INT(A1228))</f>
        <v/>
      </c>
      <c r="J1228" s="16" t="str">
        <f aca="false">IF(B1228="","",IF(A1228=_xlfn.MINIFS($A$2:$A$5001,$B$2:$B$5001,B1228),1,0))</f>
        <v/>
      </c>
      <c r="K1228" s="16" t="str">
        <f aca="false">IF(B1228="","",IF(AND(D1228="Formalização",E1228="Concluído"),IF(COUNTIFS($B$2:$B$5001,B1228,$E$2:$E$5001,"Em ajustes",$A$2:$A$5001,"&lt;"&amp;I1228)&gt;0,1,0),0))</f>
        <v/>
      </c>
      <c r="L1228" s="16" t="str">
        <f aca="false">IF(B1228="","",IF(A1228=_xlfn.MAXIFS($A$2:$A$5001,$B$2:$B$5001,B1228,$I$2:$I$5001,I1228),1,0))</f>
        <v/>
      </c>
    </row>
    <row r="1229" customFormat="false" ht="15" hidden="false" customHeight="false" outlineLevel="0" collapsed="false">
      <c r="I1229" s="15" t="str">
        <f aca="false">IF(A1229="","",INT(A1229))</f>
        <v/>
      </c>
      <c r="J1229" s="16" t="str">
        <f aca="false">IF(B1229="","",IF(A1229=_xlfn.MINIFS($A$2:$A$5001,$B$2:$B$5001,B1229),1,0))</f>
        <v/>
      </c>
      <c r="K1229" s="16" t="str">
        <f aca="false">IF(B1229="","",IF(AND(D1229="Formalização",E1229="Concluído"),IF(COUNTIFS($B$2:$B$5001,B1229,$E$2:$E$5001,"Em ajustes",$A$2:$A$5001,"&lt;"&amp;I1229)&gt;0,1,0),0))</f>
        <v/>
      </c>
      <c r="L1229" s="16" t="str">
        <f aca="false">IF(B1229="","",IF(A1229=_xlfn.MAXIFS($A$2:$A$5001,$B$2:$B$5001,B1229,$I$2:$I$5001,I1229),1,0))</f>
        <v/>
      </c>
    </row>
    <row r="1230" customFormat="false" ht="15" hidden="false" customHeight="false" outlineLevel="0" collapsed="false">
      <c r="I1230" s="15" t="str">
        <f aca="false">IF(A1230="","",INT(A1230))</f>
        <v/>
      </c>
      <c r="J1230" s="16" t="str">
        <f aca="false">IF(B1230="","",IF(A1230=_xlfn.MINIFS($A$2:$A$5001,$B$2:$B$5001,B1230),1,0))</f>
        <v/>
      </c>
      <c r="K1230" s="16" t="str">
        <f aca="false">IF(B1230="","",IF(AND(D1230="Formalização",E1230="Concluído"),IF(COUNTIFS($B$2:$B$5001,B1230,$E$2:$E$5001,"Em ajustes",$A$2:$A$5001,"&lt;"&amp;I1230)&gt;0,1,0),0))</f>
        <v/>
      </c>
      <c r="L1230" s="16" t="str">
        <f aca="false">IF(B1230="","",IF(A1230=_xlfn.MAXIFS($A$2:$A$5001,$B$2:$B$5001,B1230,$I$2:$I$5001,I1230),1,0))</f>
        <v/>
      </c>
    </row>
    <row r="1231" customFormat="false" ht="15" hidden="false" customHeight="false" outlineLevel="0" collapsed="false">
      <c r="I1231" s="15" t="str">
        <f aca="false">IF(A1231="","",INT(A1231))</f>
        <v/>
      </c>
      <c r="J1231" s="16" t="str">
        <f aca="false">IF(B1231="","",IF(A1231=_xlfn.MINIFS($A$2:$A$5001,$B$2:$B$5001,B1231),1,0))</f>
        <v/>
      </c>
      <c r="K1231" s="16" t="str">
        <f aca="false">IF(B1231="","",IF(AND(D1231="Formalização",E1231="Concluído"),IF(COUNTIFS($B$2:$B$5001,B1231,$E$2:$E$5001,"Em ajustes",$A$2:$A$5001,"&lt;"&amp;I1231)&gt;0,1,0),0))</f>
        <v/>
      </c>
      <c r="L1231" s="16" t="str">
        <f aca="false">IF(B1231="","",IF(A1231=_xlfn.MAXIFS($A$2:$A$5001,$B$2:$B$5001,B1231,$I$2:$I$5001,I1231),1,0))</f>
        <v/>
      </c>
    </row>
    <row r="1232" customFormat="false" ht="15" hidden="false" customHeight="false" outlineLevel="0" collapsed="false">
      <c r="I1232" s="15" t="str">
        <f aca="false">IF(A1232="","",INT(A1232))</f>
        <v/>
      </c>
      <c r="J1232" s="16" t="str">
        <f aca="false">IF(B1232="","",IF(A1232=_xlfn.MINIFS($A$2:$A$5001,$B$2:$B$5001,B1232),1,0))</f>
        <v/>
      </c>
      <c r="K1232" s="16" t="str">
        <f aca="false">IF(B1232="","",IF(AND(D1232="Formalização",E1232="Concluído"),IF(COUNTIFS($B$2:$B$5001,B1232,$E$2:$E$5001,"Em ajustes",$A$2:$A$5001,"&lt;"&amp;I1232)&gt;0,1,0),0))</f>
        <v/>
      </c>
      <c r="L1232" s="16" t="str">
        <f aca="false">IF(B1232="","",IF(A1232=_xlfn.MAXIFS($A$2:$A$5001,$B$2:$B$5001,B1232,$I$2:$I$5001,I1232),1,0))</f>
        <v/>
      </c>
    </row>
    <row r="1233" customFormat="false" ht="15" hidden="false" customHeight="false" outlineLevel="0" collapsed="false">
      <c r="I1233" s="15" t="str">
        <f aca="false">IF(A1233="","",INT(A1233))</f>
        <v/>
      </c>
      <c r="J1233" s="16" t="str">
        <f aca="false">IF(B1233="","",IF(A1233=_xlfn.MINIFS($A$2:$A$5001,$B$2:$B$5001,B1233),1,0))</f>
        <v/>
      </c>
      <c r="K1233" s="16" t="str">
        <f aca="false">IF(B1233="","",IF(AND(D1233="Formalização",E1233="Concluído"),IF(COUNTIFS($B$2:$B$5001,B1233,$E$2:$E$5001,"Em ajustes",$A$2:$A$5001,"&lt;"&amp;I1233)&gt;0,1,0),0))</f>
        <v/>
      </c>
      <c r="L1233" s="16" t="str">
        <f aca="false">IF(B1233="","",IF(A1233=_xlfn.MAXIFS($A$2:$A$5001,$B$2:$B$5001,B1233,$I$2:$I$5001,I1233),1,0))</f>
        <v/>
      </c>
    </row>
    <row r="1234" customFormat="false" ht="15" hidden="false" customHeight="false" outlineLevel="0" collapsed="false">
      <c r="I1234" s="15" t="str">
        <f aca="false">IF(A1234="","",INT(A1234))</f>
        <v/>
      </c>
      <c r="J1234" s="16" t="str">
        <f aca="false">IF(B1234="","",IF(A1234=_xlfn.MINIFS($A$2:$A$5001,$B$2:$B$5001,B1234),1,0))</f>
        <v/>
      </c>
      <c r="K1234" s="16" t="str">
        <f aca="false">IF(B1234="","",IF(AND(D1234="Formalização",E1234="Concluído"),IF(COUNTIFS($B$2:$B$5001,B1234,$E$2:$E$5001,"Em ajustes",$A$2:$A$5001,"&lt;"&amp;I1234)&gt;0,1,0),0))</f>
        <v/>
      </c>
      <c r="L1234" s="16" t="str">
        <f aca="false">IF(B1234="","",IF(A1234=_xlfn.MAXIFS($A$2:$A$5001,$B$2:$B$5001,B1234,$I$2:$I$5001,I1234),1,0))</f>
        <v/>
      </c>
    </row>
    <row r="1235" customFormat="false" ht="15" hidden="false" customHeight="false" outlineLevel="0" collapsed="false">
      <c r="I1235" s="15" t="str">
        <f aca="false">IF(A1235="","",INT(A1235))</f>
        <v/>
      </c>
      <c r="J1235" s="16" t="str">
        <f aca="false">IF(B1235="","",IF(A1235=_xlfn.MINIFS($A$2:$A$5001,$B$2:$B$5001,B1235),1,0))</f>
        <v/>
      </c>
      <c r="K1235" s="16" t="str">
        <f aca="false">IF(B1235="","",IF(AND(D1235="Formalização",E1235="Concluído"),IF(COUNTIFS($B$2:$B$5001,B1235,$E$2:$E$5001,"Em ajustes",$A$2:$A$5001,"&lt;"&amp;I1235)&gt;0,1,0),0))</f>
        <v/>
      </c>
      <c r="L1235" s="16" t="str">
        <f aca="false">IF(B1235="","",IF(A1235=_xlfn.MAXIFS($A$2:$A$5001,$B$2:$B$5001,B1235,$I$2:$I$5001,I1235),1,0))</f>
        <v/>
      </c>
    </row>
    <row r="1236" customFormat="false" ht="15" hidden="false" customHeight="false" outlineLevel="0" collapsed="false">
      <c r="I1236" s="15" t="str">
        <f aca="false">IF(A1236="","",INT(A1236))</f>
        <v/>
      </c>
      <c r="J1236" s="16" t="str">
        <f aca="false">IF(B1236="","",IF(A1236=_xlfn.MINIFS($A$2:$A$5001,$B$2:$B$5001,B1236),1,0))</f>
        <v/>
      </c>
      <c r="K1236" s="16" t="str">
        <f aca="false">IF(B1236="","",IF(AND(D1236="Formalização",E1236="Concluído"),IF(COUNTIFS($B$2:$B$5001,B1236,$E$2:$E$5001,"Em ajustes",$A$2:$A$5001,"&lt;"&amp;I1236)&gt;0,1,0),0))</f>
        <v/>
      </c>
      <c r="L1236" s="16" t="str">
        <f aca="false">IF(B1236="","",IF(A1236=_xlfn.MAXIFS($A$2:$A$5001,$B$2:$B$5001,B1236,$I$2:$I$5001,I1236),1,0))</f>
        <v/>
      </c>
    </row>
    <row r="1237" customFormat="false" ht="15" hidden="false" customHeight="false" outlineLevel="0" collapsed="false">
      <c r="I1237" s="15" t="str">
        <f aca="false">IF(A1237="","",INT(A1237))</f>
        <v/>
      </c>
      <c r="J1237" s="16" t="str">
        <f aca="false">IF(B1237="","",IF(A1237=_xlfn.MINIFS($A$2:$A$5001,$B$2:$B$5001,B1237),1,0))</f>
        <v/>
      </c>
      <c r="K1237" s="16" t="str">
        <f aca="false">IF(B1237="","",IF(AND(D1237="Formalização",E1237="Concluído"),IF(COUNTIFS($B$2:$B$5001,B1237,$E$2:$E$5001,"Em ajustes",$A$2:$A$5001,"&lt;"&amp;I1237)&gt;0,1,0),0))</f>
        <v/>
      </c>
      <c r="L1237" s="16" t="str">
        <f aca="false">IF(B1237="","",IF(A1237=_xlfn.MAXIFS($A$2:$A$5001,$B$2:$B$5001,B1237,$I$2:$I$5001,I1237),1,0))</f>
        <v/>
      </c>
    </row>
    <row r="1238" customFormat="false" ht="15" hidden="false" customHeight="false" outlineLevel="0" collapsed="false">
      <c r="I1238" s="15" t="str">
        <f aca="false">IF(A1238="","",INT(A1238))</f>
        <v/>
      </c>
      <c r="J1238" s="16" t="str">
        <f aca="false">IF(B1238="","",IF(A1238=_xlfn.MINIFS($A$2:$A$5001,$B$2:$B$5001,B1238),1,0))</f>
        <v/>
      </c>
      <c r="K1238" s="16" t="str">
        <f aca="false">IF(B1238="","",IF(AND(D1238="Formalização",E1238="Concluído"),IF(COUNTIFS($B$2:$B$5001,B1238,$E$2:$E$5001,"Em ajustes",$A$2:$A$5001,"&lt;"&amp;I1238)&gt;0,1,0),0))</f>
        <v/>
      </c>
      <c r="L1238" s="16" t="str">
        <f aca="false">IF(B1238="","",IF(A1238=_xlfn.MAXIFS($A$2:$A$5001,$B$2:$B$5001,B1238,$I$2:$I$5001,I1238),1,0))</f>
        <v/>
      </c>
    </row>
    <row r="1239" customFormat="false" ht="15" hidden="false" customHeight="false" outlineLevel="0" collapsed="false">
      <c r="I1239" s="15" t="str">
        <f aca="false">IF(A1239="","",INT(A1239))</f>
        <v/>
      </c>
      <c r="J1239" s="16" t="str">
        <f aca="false">IF(B1239="","",IF(A1239=_xlfn.MINIFS($A$2:$A$5001,$B$2:$B$5001,B1239),1,0))</f>
        <v/>
      </c>
      <c r="K1239" s="16" t="str">
        <f aca="false">IF(B1239="","",IF(AND(D1239="Formalização",E1239="Concluído"),IF(COUNTIFS($B$2:$B$5001,B1239,$E$2:$E$5001,"Em ajustes",$A$2:$A$5001,"&lt;"&amp;I1239)&gt;0,1,0),0))</f>
        <v/>
      </c>
      <c r="L1239" s="16" t="str">
        <f aca="false">IF(B1239="","",IF(A1239=_xlfn.MAXIFS($A$2:$A$5001,$B$2:$B$5001,B1239,$I$2:$I$5001,I1239),1,0))</f>
        <v/>
      </c>
    </row>
    <row r="1240" customFormat="false" ht="15" hidden="false" customHeight="false" outlineLevel="0" collapsed="false">
      <c r="I1240" s="15" t="str">
        <f aca="false">IF(A1240="","",INT(A1240))</f>
        <v/>
      </c>
      <c r="J1240" s="16" t="str">
        <f aca="false">IF(B1240="","",IF(A1240=_xlfn.MINIFS($A$2:$A$5001,$B$2:$B$5001,B1240),1,0))</f>
        <v/>
      </c>
      <c r="K1240" s="16" t="str">
        <f aca="false">IF(B1240="","",IF(AND(D1240="Formalização",E1240="Concluído"),IF(COUNTIFS($B$2:$B$5001,B1240,$E$2:$E$5001,"Em ajustes",$A$2:$A$5001,"&lt;"&amp;I1240)&gt;0,1,0),0))</f>
        <v/>
      </c>
      <c r="L1240" s="16" t="str">
        <f aca="false">IF(B1240="","",IF(A1240=_xlfn.MAXIFS($A$2:$A$5001,$B$2:$B$5001,B1240,$I$2:$I$5001,I1240),1,0))</f>
        <v/>
      </c>
    </row>
    <row r="1241" customFormat="false" ht="15" hidden="false" customHeight="false" outlineLevel="0" collapsed="false">
      <c r="I1241" s="15" t="str">
        <f aca="false">IF(A1241="","",INT(A1241))</f>
        <v/>
      </c>
      <c r="J1241" s="16" t="str">
        <f aca="false">IF(B1241="","",IF(A1241=_xlfn.MINIFS($A$2:$A$5001,$B$2:$B$5001,B1241),1,0))</f>
        <v/>
      </c>
      <c r="K1241" s="16" t="str">
        <f aca="false">IF(B1241="","",IF(AND(D1241="Formalização",E1241="Concluído"),IF(COUNTIFS($B$2:$B$5001,B1241,$E$2:$E$5001,"Em ajustes",$A$2:$A$5001,"&lt;"&amp;I1241)&gt;0,1,0),0))</f>
        <v/>
      </c>
      <c r="L1241" s="16" t="str">
        <f aca="false">IF(B1241="","",IF(A1241=_xlfn.MAXIFS($A$2:$A$5001,$B$2:$B$5001,B1241,$I$2:$I$5001,I1241),1,0))</f>
        <v/>
      </c>
    </row>
    <row r="1242" customFormat="false" ht="15" hidden="false" customHeight="false" outlineLevel="0" collapsed="false">
      <c r="I1242" s="15" t="str">
        <f aca="false">IF(A1242="","",INT(A1242))</f>
        <v/>
      </c>
      <c r="J1242" s="16" t="str">
        <f aca="false">IF(B1242="","",IF(A1242=_xlfn.MINIFS($A$2:$A$5001,$B$2:$B$5001,B1242),1,0))</f>
        <v/>
      </c>
      <c r="K1242" s="16" t="str">
        <f aca="false">IF(B1242="","",IF(AND(D1242="Formalização",E1242="Concluído"),IF(COUNTIFS($B$2:$B$5001,B1242,$E$2:$E$5001,"Em ajustes",$A$2:$A$5001,"&lt;"&amp;I1242)&gt;0,1,0),0))</f>
        <v/>
      </c>
      <c r="L1242" s="16" t="str">
        <f aca="false">IF(B1242="","",IF(A1242=_xlfn.MAXIFS($A$2:$A$5001,$B$2:$B$5001,B1242,$I$2:$I$5001,I1242),1,0))</f>
        <v/>
      </c>
    </row>
    <row r="1243" customFormat="false" ht="15" hidden="false" customHeight="false" outlineLevel="0" collapsed="false">
      <c r="I1243" s="15" t="str">
        <f aca="false">IF(A1243="","",INT(A1243))</f>
        <v/>
      </c>
      <c r="J1243" s="16" t="str">
        <f aca="false">IF(B1243="","",IF(A1243=_xlfn.MINIFS($A$2:$A$5001,$B$2:$B$5001,B1243),1,0))</f>
        <v/>
      </c>
      <c r="K1243" s="16" t="str">
        <f aca="false">IF(B1243="","",IF(AND(D1243="Formalização",E1243="Concluído"),IF(COUNTIFS($B$2:$B$5001,B1243,$E$2:$E$5001,"Em ajustes",$A$2:$A$5001,"&lt;"&amp;I1243)&gt;0,1,0),0))</f>
        <v/>
      </c>
      <c r="L1243" s="16" t="str">
        <f aca="false">IF(B1243="","",IF(A1243=_xlfn.MAXIFS($A$2:$A$5001,$B$2:$B$5001,B1243,$I$2:$I$5001,I1243),1,0))</f>
        <v/>
      </c>
    </row>
    <row r="1244" customFormat="false" ht="15" hidden="false" customHeight="false" outlineLevel="0" collapsed="false">
      <c r="I1244" s="15" t="str">
        <f aca="false">IF(A1244="","",INT(A1244))</f>
        <v/>
      </c>
      <c r="J1244" s="16" t="str">
        <f aca="false">IF(B1244="","",IF(A1244=_xlfn.MINIFS($A$2:$A$5001,$B$2:$B$5001,B1244),1,0))</f>
        <v/>
      </c>
      <c r="K1244" s="16" t="str">
        <f aca="false">IF(B1244="","",IF(AND(D1244="Formalização",E1244="Concluído"),IF(COUNTIFS($B$2:$B$5001,B1244,$E$2:$E$5001,"Em ajustes",$A$2:$A$5001,"&lt;"&amp;I1244)&gt;0,1,0),0))</f>
        <v/>
      </c>
      <c r="L1244" s="16" t="str">
        <f aca="false">IF(B1244="","",IF(A1244=_xlfn.MAXIFS($A$2:$A$5001,$B$2:$B$5001,B1244,$I$2:$I$5001,I1244),1,0))</f>
        <v/>
      </c>
    </row>
    <row r="1245" customFormat="false" ht="15" hidden="false" customHeight="false" outlineLevel="0" collapsed="false">
      <c r="I1245" s="15" t="str">
        <f aca="false">IF(A1245="","",INT(A1245))</f>
        <v/>
      </c>
      <c r="J1245" s="16" t="str">
        <f aca="false">IF(B1245="","",IF(A1245=_xlfn.MINIFS($A$2:$A$5001,$B$2:$B$5001,B1245),1,0))</f>
        <v/>
      </c>
      <c r="K1245" s="16" t="str">
        <f aca="false">IF(B1245="","",IF(AND(D1245="Formalização",E1245="Concluído"),IF(COUNTIFS($B$2:$B$5001,B1245,$E$2:$E$5001,"Em ajustes",$A$2:$A$5001,"&lt;"&amp;I1245)&gt;0,1,0),0))</f>
        <v/>
      </c>
      <c r="L1245" s="16" t="str">
        <f aca="false">IF(B1245="","",IF(A1245=_xlfn.MAXIFS($A$2:$A$5001,$B$2:$B$5001,B1245,$I$2:$I$5001,I1245),1,0))</f>
        <v/>
      </c>
    </row>
    <row r="1246" customFormat="false" ht="15" hidden="false" customHeight="false" outlineLevel="0" collapsed="false">
      <c r="I1246" s="15" t="str">
        <f aca="false">IF(A1246="","",INT(A1246))</f>
        <v/>
      </c>
      <c r="J1246" s="16" t="str">
        <f aca="false">IF(B1246="","",IF(A1246=_xlfn.MINIFS($A$2:$A$5001,$B$2:$B$5001,B1246),1,0))</f>
        <v/>
      </c>
      <c r="K1246" s="16" t="str">
        <f aca="false">IF(B1246="","",IF(AND(D1246="Formalização",E1246="Concluído"),IF(COUNTIFS($B$2:$B$5001,B1246,$E$2:$E$5001,"Em ajustes",$A$2:$A$5001,"&lt;"&amp;I1246)&gt;0,1,0),0))</f>
        <v/>
      </c>
      <c r="L1246" s="16" t="str">
        <f aca="false">IF(B1246="","",IF(A1246=_xlfn.MAXIFS($A$2:$A$5001,$B$2:$B$5001,B1246,$I$2:$I$5001,I1246),1,0))</f>
        <v/>
      </c>
    </row>
    <row r="1247" customFormat="false" ht="15" hidden="false" customHeight="false" outlineLevel="0" collapsed="false">
      <c r="I1247" s="15" t="str">
        <f aca="false">IF(A1247="","",INT(A1247))</f>
        <v/>
      </c>
      <c r="J1247" s="16" t="str">
        <f aca="false">IF(B1247="","",IF(A1247=_xlfn.MINIFS($A$2:$A$5001,$B$2:$B$5001,B1247),1,0))</f>
        <v/>
      </c>
      <c r="K1247" s="16" t="str">
        <f aca="false">IF(B1247="","",IF(AND(D1247="Formalização",E1247="Concluído"),IF(COUNTIFS($B$2:$B$5001,B1247,$E$2:$E$5001,"Em ajustes",$A$2:$A$5001,"&lt;"&amp;I1247)&gt;0,1,0),0))</f>
        <v/>
      </c>
      <c r="L1247" s="16" t="str">
        <f aca="false">IF(B1247="","",IF(A1247=_xlfn.MAXIFS($A$2:$A$5001,$B$2:$B$5001,B1247,$I$2:$I$5001,I1247),1,0))</f>
        <v/>
      </c>
    </row>
    <row r="1248" customFormat="false" ht="15" hidden="false" customHeight="false" outlineLevel="0" collapsed="false">
      <c r="I1248" s="15" t="str">
        <f aca="false">IF(A1248="","",INT(A1248))</f>
        <v/>
      </c>
      <c r="J1248" s="16" t="str">
        <f aca="false">IF(B1248="","",IF(A1248=_xlfn.MINIFS($A$2:$A$5001,$B$2:$B$5001,B1248),1,0))</f>
        <v/>
      </c>
      <c r="K1248" s="16" t="str">
        <f aca="false">IF(B1248="","",IF(AND(D1248="Formalização",E1248="Concluído"),IF(COUNTIFS($B$2:$B$5001,B1248,$E$2:$E$5001,"Em ajustes",$A$2:$A$5001,"&lt;"&amp;I1248)&gt;0,1,0),0))</f>
        <v/>
      </c>
      <c r="L1248" s="16" t="str">
        <f aca="false">IF(B1248="","",IF(A1248=_xlfn.MAXIFS($A$2:$A$5001,$B$2:$B$5001,B1248,$I$2:$I$5001,I1248),1,0))</f>
        <v/>
      </c>
    </row>
    <row r="1249" customFormat="false" ht="15" hidden="false" customHeight="false" outlineLevel="0" collapsed="false">
      <c r="I1249" s="15" t="str">
        <f aca="false">IF(A1249="","",INT(A1249))</f>
        <v/>
      </c>
      <c r="J1249" s="16" t="str">
        <f aca="false">IF(B1249="","",IF(A1249=_xlfn.MINIFS($A$2:$A$5001,$B$2:$B$5001,B1249),1,0))</f>
        <v/>
      </c>
      <c r="K1249" s="16" t="str">
        <f aca="false">IF(B1249="","",IF(AND(D1249="Formalização",E1249="Concluído"),IF(COUNTIFS($B$2:$B$5001,B1249,$E$2:$E$5001,"Em ajustes",$A$2:$A$5001,"&lt;"&amp;I1249)&gt;0,1,0),0))</f>
        <v/>
      </c>
      <c r="L1249" s="16" t="str">
        <f aca="false">IF(B1249="","",IF(A1249=_xlfn.MAXIFS($A$2:$A$5001,$B$2:$B$5001,B1249,$I$2:$I$5001,I1249),1,0))</f>
        <v/>
      </c>
    </row>
    <row r="1250" customFormat="false" ht="15" hidden="false" customHeight="false" outlineLevel="0" collapsed="false">
      <c r="I1250" s="15" t="str">
        <f aca="false">IF(A1250="","",INT(A1250))</f>
        <v/>
      </c>
      <c r="J1250" s="16" t="str">
        <f aca="false">IF(B1250="","",IF(A1250=_xlfn.MINIFS($A$2:$A$5001,$B$2:$B$5001,B1250),1,0))</f>
        <v/>
      </c>
      <c r="K1250" s="16" t="str">
        <f aca="false">IF(B1250="","",IF(AND(D1250="Formalização",E1250="Concluído"),IF(COUNTIFS($B$2:$B$5001,B1250,$E$2:$E$5001,"Em ajustes",$A$2:$A$5001,"&lt;"&amp;I1250)&gt;0,1,0),0))</f>
        <v/>
      </c>
      <c r="L1250" s="16" t="str">
        <f aca="false">IF(B1250="","",IF(A1250=_xlfn.MAXIFS($A$2:$A$5001,$B$2:$B$5001,B1250,$I$2:$I$5001,I1250),1,0))</f>
        <v/>
      </c>
    </row>
    <row r="1251" customFormat="false" ht="15" hidden="false" customHeight="false" outlineLevel="0" collapsed="false">
      <c r="I1251" s="15" t="str">
        <f aca="false">IF(A1251="","",INT(A1251))</f>
        <v/>
      </c>
      <c r="J1251" s="16" t="str">
        <f aca="false">IF(B1251="","",IF(A1251=_xlfn.MINIFS($A$2:$A$5001,$B$2:$B$5001,B1251),1,0))</f>
        <v/>
      </c>
      <c r="K1251" s="16" t="str">
        <f aca="false">IF(B1251="","",IF(AND(D1251="Formalização",E1251="Concluído"),IF(COUNTIFS($B$2:$B$5001,B1251,$E$2:$E$5001,"Em ajustes",$A$2:$A$5001,"&lt;"&amp;I1251)&gt;0,1,0),0))</f>
        <v/>
      </c>
      <c r="L1251" s="16" t="str">
        <f aca="false">IF(B1251="","",IF(A1251=_xlfn.MAXIFS($A$2:$A$5001,$B$2:$B$5001,B1251,$I$2:$I$5001,I1251),1,0))</f>
        <v/>
      </c>
    </row>
    <row r="1252" customFormat="false" ht="15" hidden="false" customHeight="false" outlineLevel="0" collapsed="false">
      <c r="I1252" s="15" t="str">
        <f aca="false">IF(A1252="","",INT(A1252))</f>
        <v/>
      </c>
      <c r="J1252" s="16" t="str">
        <f aca="false">IF(B1252="","",IF(A1252=_xlfn.MINIFS($A$2:$A$5001,$B$2:$B$5001,B1252),1,0))</f>
        <v/>
      </c>
      <c r="K1252" s="16" t="str">
        <f aca="false">IF(B1252="","",IF(AND(D1252="Formalização",E1252="Concluído"),IF(COUNTIFS($B$2:$B$5001,B1252,$E$2:$E$5001,"Em ajustes",$A$2:$A$5001,"&lt;"&amp;I1252)&gt;0,1,0),0))</f>
        <v/>
      </c>
      <c r="L1252" s="16" t="str">
        <f aca="false">IF(B1252="","",IF(A1252=_xlfn.MAXIFS($A$2:$A$5001,$B$2:$B$5001,B1252,$I$2:$I$5001,I1252),1,0))</f>
        <v/>
      </c>
    </row>
    <row r="1253" customFormat="false" ht="15" hidden="false" customHeight="false" outlineLevel="0" collapsed="false">
      <c r="I1253" s="15" t="str">
        <f aca="false">IF(A1253="","",INT(A1253))</f>
        <v/>
      </c>
      <c r="J1253" s="16" t="str">
        <f aca="false">IF(B1253="","",IF(A1253=_xlfn.MINIFS($A$2:$A$5001,$B$2:$B$5001,B1253),1,0))</f>
        <v/>
      </c>
      <c r="K1253" s="16" t="str">
        <f aca="false">IF(B1253="","",IF(AND(D1253="Formalização",E1253="Concluído"),IF(COUNTIFS($B$2:$B$5001,B1253,$E$2:$E$5001,"Em ajustes",$A$2:$A$5001,"&lt;"&amp;I1253)&gt;0,1,0),0))</f>
        <v/>
      </c>
      <c r="L1253" s="16" t="str">
        <f aca="false">IF(B1253="","",IF(A1253=_xlfn.MAXIFS($A$2:$A$5001,$B$2:$B$5001,B1253,$I$2:$I$5001,I1253),1,0))</f>
        <v/>
      </c>
    </row>
    <row r="1254" customFormat="false" ht="15" hidden="false" customHeight="false" outlineLevel="0" collapsed="false">
      <c r="I1254" s="15" t="str">
        <f aca="false">IF(A1254="","",INT(A1254))</f>
        <v/>
      </c>
      <c r="J1254" s="16" t="str">
        <f aca="false">IF(B1254="","",IF(A1254=_xlfn.MINIFS($A$2:$A$5001,$B$2:$B$5001,B1254),1,0))</f>
        <v/>
      </c>
      <c r="K1254" s="16" t="str">
        <f aca="false">IF(B1254="","",IF(AND(D1254="Formalização",E1254="Concluído"),IF(COUNTIFS($B$2:$B$5001,B1254,$E$2:$E$5001,"Em ajustes",$A$2:$A$5001,"&lt;"&amp;I1254)&gt;0,1,0),0))</f>
        <v/>
      </c>
      <c r="L1254" s="16" t="str">
        <f aca="false">IF(B1254="","",IF(A1254=_xlfn.MAXIFS($A$2:$A$5001,$B$2:$B$5001,B1254,$I$2:$I$5001,I1254),1,0))</f>
        <v/>
      </c>
    </row>
    <row r="1255" customFormat="false" ht="15" hidden="false" customHeight="false" outlineLevel="0" collapsed="false">
      <c r="I1255" s="15" t="str">
        <f aca="false">IF(A1255="","",INT(A1255))</f>
        <v/>
      </c>
      <c r="J1255" s="16" t="str">
        <f aca="false">IF(B1255="","",IF(A1255=_xlfn.MINIFS($A$2:$A$5001,$B$2:$B$5001,B1255),1,0))</f>
        <v/>
      </c>
      <c r="K1255" s="16" t="str">
        <f aca="false">IF(B1255="","",IF(AND(D1255="Formalização",E1255="Concluído"),IF(COUNTIFS($B$2:$B$5001,B1255,$E$2:$E$5001,"Em ajustes",$A$2:$A$5001,"&lt;"&amp;I1255)&gt;0,1,0),0))</f>
        <v/>
      </c>
      <c r="L1255" s="16" t="str">
        <f aca="false">IF(B1255="","",IF(A1255=_xlfn.MAXIFS($A$2:$A$5001,$B$2:$B$5001,B1255,$I$2:$I$5001,I1255),1,0))</f>
        <v/>
      </c>
    </row>
    <row r="1256" customFormat="false" ht="15" hidden="false" customHeight="false" outlineLevel="0" collapsed="false">
      <c r="I1256" s="15" t="str">
        <f aca="false">IF(A1256="","",INT(A1256))</f>
        <v/>
      </c>
      <c r="J1256" s="16" t="str">
        <f aca="false">IF(B1256="","",IF(A1256=_xlfn.MINIFS($A$2:$A$5001,$B$2:$B$5001,B1256),1,0))</f>
        <v/>
      </c>
      <c r="K1256" s="16" t="str">
        <f aca="false">IF(B1256="","",IF(AND(D1256="Formalização",E1256="Concluído"),IF(COUNTIFS($B$2:$B$5001,B1256,$E$2:$E$5001,"Em ajustes",$A$2:$A$5001,"&lt;"&amp;I1256)&gt;0,1,0),0))</f>
        <v/>
      </c>
      <c r="L1256" s="16" t="str">
        <f aca="false">IF(B1256="","",IF(A1256=_xlfn.MAXIFS($A$2:$A$5001,$B$2:$B$5001,B1256,$I$2:$I$5001,I1256),1,0))</f>
        <v/>
      </c>
    </row>
    <row r="1257" customFormat="false" ht="15" hidden="false" customHeight="false" outlineLevel="0" collapsed="false">
      <c r="I1257" s="15" t="str">
        <f aca="false">IF(A1257="","",INT(A1257))</f>
        <v/>
      </c>
      <c r="J1257" s="16" t="str">
        <f aca="false">IF(B1257="","",IF(A1257=_xlfn.MINIFS($A$2:$A$5001,$B$2:$B$5001,B1257),1,0))</f>
        <v/>
      </c>
      <c r="K1257" s="16" t="str">
        <f aca="false">IF(B1257="","",IF(AND(D1257="Formalização",E1257="Concluído"),IF(COUNTIFS($B$2:$B$5001,B1257,$E$2:$E$5001,"Em ajustes",$A$2:$A$5001,"&lt;"&amp;I1257)&gt;0,1,0),0))</f>
        <v/>
      </c>
      <c r="L1257" s="16" t="str">
        <f aca="false">IF(B1257="","",IF(A1257=_xlfn.MAXIFS($A$2:$A$5001,$B$2:$B$5001,B1257,$I$2:$I$5001,I1257),1,0))</f>
        <v/>
      </c>
    </row>
    <row r="1258" customFormat="false" ht="15" hidden="false" customHeight="false" outlineLevel="0" collapsed="false">
      <c r="I1258" s="15" t="str">
        <f aca="false">IF(A1258="","",INT(A1258))</f>
        <v/>
      </c>
      <c r="J1258" s="16" t="str">
        <f aca="false">IF(B1258="","",IF(A1258=_xlfn.MINIFS($A$2:$A$5001,$B$2:$B$5001,B1258),1,0))</f>
        <v/>
      </c>
      <c r="K1258" s="16" t="str">
        <f aca="false">IF(B1258="","",IF(AND(D1258="Formalização",E1258="Concluído"),IF(COUNTIFS($B$2:$B$5001,B1258,$E$2:$E$5001,"Em ajustes",$A$2:$A$5001,"&lt;"&amp;I1258)&gt;0,1,0),0))</f>
        <v/>
      </c>
      <c r="L1258" s="16" t="str">
        <f aca="false">IF(B1258="","",IF(A1258=_xlfn.MAXIFS($A$2:$A$5001,$B$2:$B$5001,B1258,$I$2:$I$5001,I1258),1,0))</f>
        <v/>
      </c>
    </row>
    <row r="1259" customFormat="false" ht="15" hidden="false" customHeight="false" outlineLevel="0" collapsed="false">
      <c r="I1259" s="15" t="str">
        <f aca="false">IF(A1259="","",INT(A1259))</f>
        <v/>
      </c>
      <c r="J1259" s="16" t="str">
        <f aca="false">IF(B1259="","",IF(A1259=_xlfn.MINIFS($A$2:$A$5001,$B$2:$B$5001,B1259),1,0))</f>
        <v/>
      </c>
      <c r="K1259" s="16" t="str">
        <f aca="false">IF(B1259="","",IF(AND(D1259="Formalização",E1259="Concluído"),IF(COUNTIFS($B$2:$B$5001,B1259,$E$2:$E$5001,"Em ajustes",$A$2:$A$5001,"&lt;"&amp;I1259)&gt;0,1,0),0))</f>
        <v/>
      </c>
      <c r="L1259" s="16" t="str">
        <f aca="false">IF(B1259="","",IF(A1259=_xlfn.MAXIFS($A$2:$A$5001,$B$2:$B$5001,B1259,$I$2:$I$5001,I1259),1,0))</f>
        <v/>
      </c>
    </row>
    <row r="1260" customFormat="false" ht="15" hidden="false" customHeight="false" outlineLevel="0" collapsed="false">
      <c r="I1260" s="15" t="str">
        <f aca="false">IF(A1260="","",INT(A1260))</f>
        <v/>
      </c>
      <c r="J1260" s="16" t="str">
        <f aca="false">IF(B1260="","",IF(A1260=_xlfn.MINIFS($A$2:$A$5001,$B$2:$B$5001,B1260),1,0))</f>
        <v/>
      </c>
      <c r="K1260" s="16" t="str">
        <f aca="false">IF(B1260="","",IF(AND(D1260="Formalização",E1260="Concluído"),IF(COUNTIFS($B$2:$B$5001,B1260,$E$2:$E$5001,"Em ajustes",$A$2:$A$5001,"&lt;"&amp;I1260)&gt;0,1,0),0))</f>
        <v/>
      </c>
      <c r="L1260" s="16" t="str">
        <f aca="false">IF(B1260="","",IF(A1260=_xlfn.MAXIFS($A$2:$A$5001,$B$2:$B$5001,B1260,$I$2:$I$5001,I1260),1,0))</f>
        <v/>
      </c>
    </row>
    <row r="1261" customFormat="false" ht="15" hidden="false" customHeight="false" outlineLevel="0" collapsed="false">
      <c r="I1261" s="15" t="str">
        <f aca="false">IF(A1261="","",INT(A1261))</f>
        <v/>
      </c>
      <c r="J1261" s="16" t="str">
        <f aca="false">IF(B1261="","",IF(A1261=_xlfn.MINIFS($A$2:$A$5001,$B$2:$B$5001,B1261),1,0))</f>
        <v/>
      </c>
      <c r="K1261" s="16" t="str">
        <f aca="false">IF(B1261="","",IF(AND(D1261="Formalização",E1261="Concluído"),IF(COUNTIFS($B$2:$B$5001,B1261,$E$2:$E$5001,"Em ajustes",$A$2:$A$5001,"&lt;"&amp;I1261)&gt;0,1,0),0))</f>
        <v/>
      </c>
      <c r="L1261" s="16" t="str">
        <f aca="false">IF(B1261="","",IF(A1261=_xlfn.MAXIFS($A$2:$A$5001,$B$2:$B$5001,B1261,$I$2:$I$5001,I1261),1,0))</f>
        <v/>
      </c>
    </row>
    <row r="1262" customFormat="false" ht="15" hidden="false" customHeight="false" outlineLevel="0" collapsed="false">
      <c r="I1262" s="15" t="str">
        <f aca="false">IF(A1262="","",INT(A1262))</f>
        <v/>
      </c>
      <c r="J1262" s="16" t="str">
        <f aca="false">IF(B1262="","",IF(A1262=_xlfn.MINIFS($A$2:$A$5001,$B$2:$B$5001,B1262),1,0))</f>
        <v/>
      </c>
      <c r="K1262" s="16" t="str">
        <f aca="false">IF(B1262="","",IF(AND(D1262="Formalização",E1262="Concluído"),IF(COUNTIFS($B$2:$B$5001,B1262,$E$2:$E$5001,"Em ajustes",$A$2:$A$5001,"&lt;"&amp;I1262)&gt;0,1,0),0))</f>
        <v/>
      </c>
      <c r="L1262" s="16" t="str">
        <f aca="false">IF(B1262="","",IF(A1262=_xlfn.MAXIFS($A$2:$A$5001,$B$2:$B$5001,B1262,$I$2:$I$5001,I1262),1,0))</f>
        <v/>
      </c>
    </row>
    <row r="1263" customFormat="false" ht="15" hidden="false" customHeight="false" outlineLevel="0" collapsed="false">
      <c r="I1263" s="15" t="str">
        <f aca="false">IF(A1263="","",INT(A1263))</f>
        <v/>
      </c>
      <c r="J1263" s="16" t="str">
        <f aca="false">IF(B1263="","",IF(A1263=_xlfn.MINIFS($A$2:$A$5001,$B$2:$B$5001,B1263),1,0))</f>
        <v/>
      </c>
      <c r="K1263" s="16" t="str">
        <f aca="false">IF(B1263="","",IF(AND(D1263="Formalização",E1263="Concluído"),IF(COUNTIFS($B$2:$B$5001,B1263,$E$2:$E$5001,"Em ajustes",$A$2:$A$5001,"&lt;"&amp;I1263)&gt;0,1,0),0))</f>
        <v/>
      </c>
      <c r="L1263" s="16" t="str">
        <f aca="false">IF(B1263="","",IF(A1263=_xlfn.MAXIFS($A$2:$A$5001,$B$2:$B$5001,B1263,$I$2:$I$5001,I1263),1,0))</f>
        <v/>
      </c>
    </row>
    <row r="1264" customFormat="false" ht="15" hidden="false" customHeight="false" outlineLevel="0" collapsed="false">
      <c r="I1264" s="15" t="str">
        <f aca="false">IF(A1264="","",INT(A1264))</f>
        <v/>
      </c>
      <c r="J1264" s="16" t="str">
        <f aca="false">IF(B1264="","",IF(A1264=_xlfn.MINIFS($A$2:$A$5001,$B$2:$B$5001,B1264),1,0))</f>
        <v/>
      </c>
      <c r="K1264" s="16" t="str">
        <f aca="false">IF(B1264="","",IF(AND(D1264="Formalização",E1264="Concluído"),IF(COUNTIFS($B$2:$B$5001,B1264,$E$2:$E$5001,"Em ajustes",$A$2:$A$5001,"&lt;"&amp;I1264)&gt;0,1,0),0))</f>
        <v/>
      </c>
      <c r="L1264" s="16" t="str">
        <f aca="false">IF(B1264="","",IF(A1264=_xlfn.MAXIFS($A$2:$A$5001,$B$2:$B$5001,B1264,$I$2:$I$5001,I1264),1,0))</f>
        <v/>
      </c>
    </row>
    <row r="1265" customFormat="false" ht="15" hidden="false" customHeight="false" outlineLevel="0" collapsed="false">
      <c r="I1265" s="15" t="str">
        <f aca="false">IF(A1265="","",INT(A1265))</f>
        <v/>
      </c>
      <c r="J1265" s="16" t="str">
        <f aca="false">IF(B1265="","",IF(A1265=_xlfn.MINIFS($A$2:$A$5001,$B$2:$B$5001,B1265),1,0))</f>
        <v/>
      </c>
      <c r="K1265" s="16" t="str">
        <f aca="false">IF(B1265="","",IF(AND(D1265="Formalização",E1265="Concluído"),IF(COUNTIFS($B$2:$B$5001,B1265,$E$2:$E$5001,"Em ajustes",$A$2:$A$5001,"&lt;"&amp;I1265)&gt;0,1,0),0))</f>
        <v/>
      </c>
      <c r="L1265" s="16" t="str">
        <f aca="false">IF(B1265="","",IF(A1265=_xlfn.MAXIFS($A$2:$A$5001,$B$2:$B$5001,B1265,$I$2:$I$5001,I1265),1,0))</f>
        <v/>
      </c>
    </row>
    <row r="1266" customFormat="false" ht="15" hidden="false" customHeight="false" outlineLevel="0" collapsed="false">
      <c r="I1266" s="15" t="str">
        <f aca="false">IF(A1266="","",INT(A1266))</f>
        <v/>
      </c>
      <c r="J1266" s="16" t="str">
        <f aca="false">IF(B1266="","",IF(A1266=_xlfn.MINIFS($A$2:$A$5001,$B$2:$B$5001,B1266),1,0))</f>
        <v/>
      </c>
      <c r="K1266" s="16" t="str">
        <f aca="false">IF(B1266="","",IF(AND(D1266="Formalização",E1266="Concluído"),IF(COUNTIFS($B$2:$B$5001,B1266,$E$2:$E$5001,"Em ajustes",$A$2:$A$5001,"&lt;"&amp;I1266)&gt;0,1,0),0))</f>
        <v/>
      </c>
      <c r="L1266" s="16" t="str">
        <f aca="false">IF(B1266="","",IF(A1266=_xlfn.MAXIFS($A$2:$A$5001,$B$2:$B$5001,B1266,$I$2:$I$5001,I1266),1,0))</f>
        <v/>
      </c>
    </row>
    <row r="1267" customFormat="false" ht="15" hidden="false" customHeight="false" outlineLevel="0" collapsed="false">
      <c r="I1267" s="15" t="str">
        <f aca="false">IF(A1267="","",INT(A1267))</f>
        <v/>
      </c>
      <c r="J1267" s="16" t="str">
        <f aca="false">IF(B1267="","",IF(A1267=_xlfn.MINIFS($A$2:$A$5001,$B$2:$B$5001,B1267),1,0))</f>
        <v/>
      </c>
      <c r="K1267" s="16" t="str">
        <f aca="false">IF(B1267="","",IF(AND(D1267="Formalização",E1267="Concluído"),IF(COUNTIFS($B$2:$B$5001,B1267,$E$2:$E$5001,"Em ajustes",$A$2:$A$5001,"&lt;"&amp;I1267)&gt;0,1,0),0))</f>
        <v/>
      </c>
      <c r="L1267" s="16" t="str">
        <f aca="false">IF(B1267="","",IF(A1267=_xlfn.MAXIFS($A$2:$A$5001,$B$2:$B$5001,B1267,$I$2:$I$5001,I1267),1,0))</f>
        <v/>
      </c>
    </row>
    <row r="1268" customFormat="false" ht="15" hidden="false" customHeight="false" outlineLevel="0" collapsed="false">
      <c r="I1268" s="15" t="str">
        <f aca="false">IF(A1268="","",INT(A1268))</f>
        <v/>
      </c>
      <c r="J1268" s="16" t="str">
        <f aca="false">IF(B1268="","",IF(A1268=_xlfn.MINIFS($A$2:$A$5001,$B$2:$B$5001,B1268),1,0))</f>
        <v/>
      </c>
      <c r="K1268" s="16" t="str">
        <f aca="false">IF(B1268="","",IF(AND(D1268="Formalização",E1268="Concluído"),IF(COUNTIFS($B$2:$B$5001,B1268,$E$2:$E$5001,"Em ajustes",$A$2:$A$5001,"&lt;"&amp;I1268)&gt;0,1,0),0))</f>
        <v/>
      </c>
      <c r="L1268" s="16" t="str">
        <f aca="false">IF(B1268="","",IF(A1268=_xlfn.MAXIFS($A$2:$A$5001,$B$2:$B$5001,B1268,$I$2:$I$5001,I1268),1,0))</f>
        <v/>
      </c>
    </row>
    <row r="1269" customFormat="false" ht="15" hidden="false" customHeight="false" outlineLevel="0" collapsed="false">
      <c r="I1269" s="15" t="str">
        <f aca="false">IF(A1269="","",INT(A1269))</f>
        <v/>
      </c>
      <c r="J1269" s="16" t="str">
        <f aca="false">IF(B1269="","",IF(A1269=_xlfn.MINIFS($A$2:$A$5001,$B$2:$B$5001,B1269),1,0))</f>
        <v/>
      </c>
      <c r="K1269" s="16" t="str">
        <f aca="false">IF(B1269="","",IF(AND(D1269="Formalização",E1269="Concluído"),IF(COUNTIFS($B$2:$B$5001,B1269,$E$2:$E$5001,"Em ajustes",$A$2:$A$5001,"&lt;"&amp;I1269)&gt;0,1,0),0))</f>
        <v/>
      </c>
      <c r="L1269" s="16" t="str">
        <f aca="false">IF(B1269="","",IF(A1269=_xlfn.MAXIFS($A$2:$A$5001,$B$2:$B$5001,B1269,$I$2:$I$5001,I1269),1,0))</f>
        <v/>
      </c>
    </row>
    <row r="1270" customFormat="false" ht="15" hidden="false" customHeight="false" outlineLevel="0" collapsed="false">
      <c r="I1270" s="15" t="str">
        <f aca="false">IF(A1270="","",INT(A1270))</f>
        <v/>
      </c>
      <c r="J1270" s="16" t="str">
        <f aca="false">IF(B1270="","",IF(A1270=_xlfn.MINIFS($A$2:$A$5001,$B$2:$B$5001,B1270),1,0))</f>
        <v/>
      </c>
      <c r="K1270" s="16" t="str">
        <f aca="false">IF(B1270="","",IF(AND(D1270="Formalização",E1270="Concluído"),IF(COUNTIFS($B$2:$B$5001,B1270,$E$2:$E$5001,"Em ajustes",$A$2:$A$5001,"&lt;"&amp;I1270)&gt;0,1,0),0))</f>
        <v/>
      </c>
      <c r="L1270" s="16" t="str">
        <f aca="false">IF(B1270="","",IF(A1270=_xlfn.MAXIFS($A$2:$A$5001,$B$2:$B$5001,B1270,$I$2:$I$5001,I1270),1,0))</f>
        <v/>
      </c>
    </row>
    <row r="1271" customFormat="false" ht="15" hidden="false" customHeight="false" outlineLevel="0" collapsed="false">
      <c r="I1271" s="15" t="str">
        <f aca="false">IF(A1271="","",INT(A1271))</f>
        <v/>
      </c>
      <c r="J1271" s="16" t="str">
        <f aca="false">IF(B1271="","",IF(A1271=_xlfn.MINIFS($A$2:$A$5001,$B$2:$B$5001,B1271),1,0))</f>
        <v/>
      </c>
      <c r="K1271" s="16" t="str">
        <f aca="false">IF(B1271="","",IF(AND(D1271="Formalização",E1271="Concluído"),IF(COUNTIFS($B$2:$B$5001,B1271,$E$2:$E$5001,"Em ajustes",$A$2:$A$5001,"&lt;"&amp;I1271)&gt;0,1,0),0))</f>
        <v/>
      </c>
      <c r="L1271" s="16" t="str">
        <f aca="false">IF(B1271="","",IF(A1271=_xlfn.MAXIFS($A$2:$A$5001,$B$2:$B$5001,B1271,$I$2:$I$5001,I1271),1,0))</f>
        <v/>
      </c>
    </row>
    <row r="1272" customFormat="false" ht="15" hidden="false" customHeight="false" outlineLevel="0" collapsed="false">
      <c r="I1272" s="15" t="str">
        <f aca="false">IF(A1272="","",INT(A1272))</f>
        <v/>
      </c>
      <c r="J1272" s="16" t="str">
        <f aca="false">IF(B1272="","",IF(A1272=_xlfn.MINIFS($A$2:$A$5001,$B$2:$B$5001,B1272),1,0))</f>
        <v/>
      </c>
      <c r="K1272" s="16" t="str">
        <f aca="false">IF(B1272="","",IF(AND(D1272="Formalização",E1272="Concluído"),IF(COUNTIFS($B$2:$B$5001,B1272,$E$2:$E$5001,"Em ajustes",$A$2:$A$5001,"&lt;"&amp;I1272)&gt;0,1,0),0))</f>
        <v/>
      </c>
      <c r="L1272" s="16" t="str">
        <f aca="false">IF(B1272="","",IF(A1272=_xlfn.MAXIFS($A$2:$A$5001,$B$2:$B$5001,B1272,$I$2:$I$5001,I1272),1,0))</f>
        <v/>
      </c>
    </row>
    <row r="1273" customFormat="false" ht="15" hidden="false" customHeight="false" outlineLevel="0" collapsed="false">
      <c r="I1273" s="15" t="str">
        <f aca="false">IF(A1273="","",INT(A1273))</f>
        <v/>
      </c>
      <c r="J1273" s="16" t="str">
        <f aca="false">IF(B1273="","",IF(A1273=_xlfn.MINIFS($A$2:$A$5001,$B$2:$B$5001,B1273),1,0))</f>
        <v/>
      </c>
      <c r="K1273" s="16" t="str">
        <f aca="false">IF(B1273="","",IF(AND(D1273="Formalização",E1273="Concluído"),IF(COUNTIFS($B$2:$B$5001,B1273,$E$2:$E$5001,"Em ajustes",$A$2:$A$5001,"&lt;"&amp;I1273)&gt;0,1,0),0))</f>
        <v/>
      </c>
      <c r="L1273" s="16" t="str">
        <f aca="false">IF(B1273="","",IF(A1273=_xlfn.MAXIFS($A$2:$A$5001,$B$2:$B$5001,B1273,$I$2:$I$5001,I1273),1,0))</f>
        <v/>
      </c>
    </row>
    <row r="1274" customFormat="false" ht="15" hidden="false" customHeight="false" outlineLevel="0" collapsed="false">
      <c r="I1274" s="15" t="str">
        <f aca="false">IF(A1274="","",INT(A1274))</f>
        <v/>
      </c>
      <c r="J1274" s="16" t="str">
        <f aca="false">IF(B1274="","",IF(A1274=_xlfn.MINIFS($A$2:$A$5001,$B$2:$B$5001,B1274),1,0))</f>
        <v/>
      </c>
      <c r="K1274" s="16" t="str">
        <f aca="false">IF(B1274="","",IF(AND(D1274="Formalização",E1274="Concluído"),IF(COUNTIFS($B$2:$B$5001,B1274,$E$2:$E$5001,"Em ajustes",$A$2:$A$5001,"&lt;"&amp;I1274)&gt;0,1,0),0))</f>
        <v/>
      </c>
      <c r="L1274" s="16" t="str">
        <f aca="false">IF(B1274="","",IF(A1274=_xlfn.MAXIFS($A$2:$A$5001,$B$2:$B$5001,B1274,$I$2:$I$5001,I1274),1,0))</f>
        <v/>
      </c>
    </row>
    <row r="1275" customFormat="false" ht="15" hidden="false" customHeight="false" outlineLevel="0" collapsed="false">
      <c r="I1275" s="15" t="str">
        <f aca="false">IF(A1275="","",INT(A1275))</f>
        <v/>
      </c>
      <c r="J1275" s="16" t="str">
        <f aca="false">IF(B1275="","",IF(A1275=_xlfn.MINIFS($A$2:$A$5001,$B$2:$B$5001,B1275),1,0))</f>
        <v/>
      </c>
      <c r="K1275" s="16" t="str">
        <f aca="false">IF(B1275="","",IF(AND(D1275="Formalização",E1275="Concluído"),IF(COUNTIFS($B$2:$B$5001,B1275,$E$2:$E$5001,"Em ajustes",$A$2:$A$5001,"&lt;"&amp;I1275)&gt;0,1,0),0))</f>
        <v/>
      </c>
      <c r="L1275" s="16" t="str">
        <f aca="false">IF(B1275="","",IF(A1275=_xlfn.MAXIFS($A$2:$A$5001,$B$2:$B$5001,B1275,$I$2:$I$5001,I1275),1,0))</f>
        <v/>
      </c>
    </row>
    <row r="1276" customFormat="false" ht="15" hidden="false" customHeight="false" outlineLevel="0" collapsed="false">
      <c r="I1276" s="15" t="str">
        <f aca="false">IF(A1276="","",INT(A1276))</f>
        <v/>
      </c>
      <c r="J1276" s="16" t="str">
        <f aca="false">IF(B1276="","",IF(A1276=_xlfn.MINIFS($A$2:$A$5001,$B$2:$B$5001,B1276),1,0))</f>
        <v/>
      </c>
      <c r="K1276" s="16" t="str">
        <f aca="false">IF(B1276="","",IF(AND(D1276="Formalização",E1276="Concluído"),IF(COUNTIFS($B$2:$B$5001,B1276,$E$2:$E$5001,"Em ajustes",$A$2:$A$5001,"&lt;"&amp;I1276)&gt;0,1,0),0))</f>
        <v/>
      </c>
      <c r="L1276" s="16" t="str">
        <f aca="false">IF(B1276="","",IF(A1276=_xlfn.MAXIFS($A$2:$A$5001,$B$2:$B$5001,B1276,$I$2:$I$5001,I1276),1,0))</f>
        <v/>
      </c>
    </row>
    <row r="1277" customFormat="false" ht="15" hidden="false" customHeight="false" outlineLevel="0" collapsed="false">
      <c r="I1277" s="15" t="str">
        <f aca="false">IF(A1277="","",INT(A1277))</f>
        <v/>
      </c>
      <c r="J1277" s="16" t="str">
        <f aca="false">IF(B1277="","",IF(A1277=_xlfn.MINIFS($A$2:$A$5001,$B$2:$B$5001,B1277),1,0))</f>
        <v/>
      </c>
      <c r="K1277" s="16" t="str">
        <f aca="false">IF(B1277="","",IF(AND(D1277="Formalização",E1277="Concluído"),IF(COUNTIFS($B$2:$B$5001,B1277,$E$2:$E$5001,"Em ajustes",$A$2:$A$5001,"&lt;"&amp;I1277)&gt;0,1,0),0))</f>
        <v/>
      </c>
      <c r="L1277" s="16" t="str">
        <f aca="false">IF(B1277="","",IF(A1277=_xlfn.MAXIFS($A$2:$A$5001,$B$2:$B$5001,B1277,$I$2:$I$5001,I1277),1,0))</f>
        <v/>
      </c>
    </row>
    <row r="1278" customFormat="false" ht="15" hidden="false" customHeight="false" outlineLevel="0" collapsed="false">
      <c r="I1278" s="15" t="str">
        <f aca="false">IF(A1278="","",INT(A1278))</f>
        <v/>
      </c>
      <c r="J1278" s="16" t="str">
        <f aca="false">IF(B1278="","",IF(A1278=_xlfn.MINIFS($A$2:$A$5001,$B$2:$B$5001,B1278),1,0))</f>
        <v/>
      </c>
      <c r="K1278" s="16" t="str">
        <f aca="false">IF(B1278="","",IF(AND(D1278="Formalização",E1278="Concluído"),IF(COUNTIFS($B$2:$B$5001,B1278,$E$2:$E$5001,"Em ajustes",$A$2:$A$5001,"&lt;"&amp;I1278)&gt;0,1,0),0))</f>
        <v/>
      </c>
      <c r="L1278" s="16" t="str">
        <f aca="false">IF(B1278="","",IF(A1278=_xlfn.MAXIFS($A$2:$A$5001,$B$2:$B$5001,B1278,$I$2:$I$5001,I1278),1,0))</f>
        <v/>
      </c>
    </row>
    <row r="1279" customFormat="false" ht="15" hidden="false" customHeight="false" outlineLevel="0" collapsed="false">
      <c r="I1279" s="15" t="str">
        <f aca="false">IF(A1279="","",INT(A1279))</f>
        <v/>
      </c>
      <c r="J1279" s="16" t="str">
        <f aca="false">IF(B1279="","",IF(A1279=_xlfn.MINIFS($A$2:$A$5001,$B$2:$B$5001,B1279),1,0))</f>
        <v/>
      </c>
      <c r="K1279" s="16" t="str">
        <f aca="false">IF(B1279="","",IF(AND(D1279="Formalização",E1279="Concluído"),IF(COUNTIFS($B$2:$B$5001,B1279,$E$2:$E$5001,"Em ajustes",$A$2:$A$5001,"&lt;"&amp;I1279)&gt;0,1,0),0))</f>
        <v/>
      </c>
      <c r="L1279" s="16" t="str">
        <f aca="false">IF(B1279="","",IF(A1279=_xlfn.MAXIFS($A$2:$A$5001,$B$2:$B$5001,B1279,$I$2:$I$5001,I1279),1,0))</f>
        <v/>
      </c>
    </row>
    <row r="1280" customFormat="false" ht="15" hidden="false" customHeight="false" outlineLevel="0" collapsed="false">
      <c r="I1280" s="15" t="str">
        <f aca="false">IF(A1280="","",INT(A1280))</f>
        <v/>
      </c>
      <c r="J1280" s="16" t="str">
        <f aca="false">IF(B1280="","",IF(A1280=_xlfn.MINIFS($A$2:$A$5001,$B$2:$B$5001,B1280),1,0))</f>
        <v/>
      </c>
      <c r="K1280" s="16" t="str">
        <f aca="false">IF(B1280="","",IF(AND(D1280="Formalização",E1280="Concluído"),IF(COUNTIFS($B$2:$B$5001,B1280,$E$2:$E$5001,"Em ajustes",$A$2:$A$5001,"&lt;"&amp;I1280)&gt;0,1,0),0))</f>
        <v/>
      </c>
      <c r="L1280" s="16" t="str">
        <f aca="false">IF(B1280="","",IF(A1280=_xlfn.MAXIFS($A$2:$A$5001,$B$2:$B$5001,B1280,$I$2:$I$5001,I1280),1,0))</f>
        <v/>
      </c>
    </row>
    <row r="1281" customFormat="false" ht="15" hidden="false" customHeight="false" outlineLevel="0" collapsed="false">
      <c r="I1281" s="15" t="str">
        <f aca="false">IF(A1281="","",INT(A1281))</f>
        <v/>
      </c>
      <c r="J1281" s="16" t="str">
        <f aca="false">IF(B1281="","",IF(A1281=_xlfn.MINIFS($A$2:$A$5001,$B$2:$B$5001,B1281),1,0))</f>
        <v/>
      </c>
      <c r="K1281" s="16" t="str">
        <f aca="false">IF(B1281="","",IF(AND(D1281="Formalização",E1281="Concluído"),IF(COUNTIFS($B$2:$B$5001,B1281,$E$2:$E$5001,"Em ajustes",$A$2:$A$5001,"&lt;"&amp;I1281)&gt;0,1,0),0))</f>
        <v/>
      </c>
      <c r="L1281" s="16" t="str">
        <f aca="false">IF(B1281="","",IF(A1281=_xlfn.MAXIFS($A$2:$A$5001,$B$2:$B$5001,B1281,$I$2:$I$5001,I1281),1,0))</f>
        <v/>
      </c>
    </row>
    <row r="1282" customFormat="false" ht="15" hidden="false" customHeight="false" outlineLevel="0" collapsed="false">
      <c r="I1282" s="15" t="str">
        <f aca="false">IF(A1282="","",INT(A1282))</f>
        <v/>
      </c>
      <c r="J1282" s="16" t="str">
        <f aca="false">IF(B1282="","",IF(A1282=_xlfn.MINIFS($A$2:$A$5001,$B$2:$B$5001,B1282),1,0))</f>
        <v/>
      </c>
      <c r="K1282" s="16" t="str">
        <f aca="false">IF(B1282="","",IF(AND(D1282="Formalização",E1282="Concluído"),IF(COUNTIFS($B$2:$B$5001,B1282,$E$2:$E$5001,"Em ajustes",$A$2:$A$5001,"&lt;"&amp;I1282)&gt;0,1,0),0))</f>
        <v/>
      </c>
      <c r="L1282" s="16" t="str">
        <f aca="false">IF(B1282="","",IF(A1282=_xlfn.MAXIFS($A$2:$A$5001,$B$2:$B$5001,B1282,$I$2:$I$5001,I1282),1,0))</f>
        <v/>
      </c>
    </row>
    <row r="1283" customFormat="false" ht="15" hidden="false" customHeight="false" outlineLevel="0" collapsed="false">
      <c r="I1283" s="15" t="str">
        <f aca="false">IF(A1283="","",INT(A1283))</f>
        <v/>
      </c>
      <c r="J1283" s="16" t="str">
        <f aca="false">IF(B1283="","",IF(A1283=_xlfn.MINIFS($A$2:$A$5001,$B$2:$B$5001,B1283),1,0))</f>
        <v/>
      </c>
      <c r="K1283" s="16" t="str">
        <f aca="false">IF(B1283="","",IF(AND(D1283="Formalização",E1283="Concluído"),IF(COUNTIFS($B$2:$B$5001,B1283,$E$2:$E$5001,"Em ajustes",$A$2:$A$5001,"&lt;"&amp;I1283)&gt;0,1,0),0))</f>
        <v/>
      </c>
      <c r="L1283" s="16" t="str">
        <f aca="false">IF(B1283="","",IF(A1283=_xlfn.MAXIFS($A$2:$A$5001,$B$2:$B$5001,B1283,$I$2:$I$5001,I1283),1,0))</f>
        <v/>
      </c>
    </row>
    <row r="1284" customFormat="false" ht="15" hidden="false" customHeight="false" outlineLevel="0" collapsed="false">
      <c r="I1284" s="15" t="str">
        <f aca="false">IF(A1284="","",INT(A1284))</f>
        <v/>
      </c>
      <c r="J1284" s="16" t="str">
        <f aca="false">IF(B1284="","",IF(A1284=_xlfn.MINIFS($A$2:$A$5001,$B$2:$B$5001,B1284),1,0))</f>
        <v/>
      </c>
      <c r="K1284" s="16" t="str">
        <f aca="false">IF(B1284="","",IF(AND(D1284="Formalização",E1284="Concluído"),IF(COUNTIFS($B$2:$B$5001,B1284,$E$2:$E$5001,"Em ajustes",$A$2:$A$5001,"&lt;"&amp;I1284)&gt;0,1,0),0))</f>
        <v/>
      </c>
      <c r="L1284" s="16" t="str">
        <f aca="false">IF(B1284="","",IF(A1284=_xlfn.MAXIFS($A$2:$A$5001,$B$2:$B$5001,B1284,$I$2:$I$5001,I1284),1,0))</f>
        <v/>
      </c>
    </row>
    <row r="1285" customFormat="false" ht="15" hidden="false" customHeight="false" outlineLevel="0" collapsed="false">
      <c r="I1285" s="15" t="str">
        <f aca="false">IF(A1285="","",INT(A1285))</f>
        <v/>
      </c>
      <c r="J1285" s="16" t="str">
        <f aca="false">IF(B1285="","",IF(A1285=_xlfn.MINIFS($A$2:$A$5001,$B$2:$B$5001,B1285),1,0))</f>
        <v/>
      </c>
      <c r="K1285" s="16" t="str">
        <f aca="false">IF(B1285="","",IF(AND(D1285="Formalização",E1285="Concluído"),IF(COUNTIFS($B$2:$B$5001,B1285,$E$2:$E$5001,"Em ajustes",$A$2:$A$5001,"&lt;"&amp;I1285)&gt;0,1,0),0))</f>
        <v/>
      </c>
      <c r="L1285" s="16" t="str">
        <f aca="false">IF(B1285="","",IF(A1285=_xlfn.MAXIFS($A$2:$A$5001,$B$2:$B$5001,B1285,$I$2:$I$5001,I1285),1,0))</f>
        <v/>
      </c>
    </row>
    <row r="1286" customFormat="false" ht="15" hidden="false" customHeight="false" outlineLevel="0" collapsed="false">
      <c r="I1286" s="15" t="str">
        <f aca="false">IF(A1286="","",INT(A1286))</f>
        <v/>
      </c>
      <c r="J1286" s="16" t="str">
        <f aca="false">IF(B1286="","",IF(A1286=_xlfn.MINIFS($A$2:$A$5001,$B$2:$B$5001,B1286),1,0))</f>
        <v/>
      </c>
      <c r="K1286" s="16" t="str">
        <f aca="false">IF(B1286="","",IF(AND(D1286="Formalização",E1286="Concluído"),IF(COUNTIFS($B$2:$B$5001,B1286,$E$2:$E$5001,"Em ajustes",$A$2:$A$5001,"&lt;"&amp;I1286)&gt;0,1,0),0))</f>
        <v/>
      </c>
      <c r="L1286" s="16" t="str">
        <f aca="false">IF(B1286="","",IF(A1286=_xlfn.MAXIFS($A$2:$A$5001,$B$2:$B$5001,B1286,$I$2:$I$5001,I1286),1,0))</f>
        <v/>
      </c>
    </row>
    <row r="1287" customFormat="false" ht="15" hidden="false" customHeight="false" outlineLevel="0" collapsed="false">
      <c r="I1287" s="15" t="str">
        <f aca="false">IF(A1287="","",INT(A1287))</f>
        <v/>
      </c>
      <c r="J1287" s="16" t="str">
        <f aca="false">IF(B1287="","",IF(A1287=_xlfn.MINIFS($A$2:$A$5001,$B$2:$B$5001,B1287),1,0))</f>
        <v/>
      </c>
      <c r="K1287" s="16" t="str">
        <f aca="false">IF(B1287="","",IF(AND(D1287="Formalização",E1287="Concluído"),IF(COUNTIFS($B$2:$B$5001,B1287,$E$2:$E$5001,"Em ajustes",$A$2:$A$5001,"&lt;"&amp;I1287)&gt;0,1,0),0))</f>
        <v/>
      </c>
      <c r="L1287" s="16" t="str">
        <f aca="false">IF(B1287="","",IF(A1287=_xlfn.MAXIFS($A$2:$A$5001,$B$2:$B$5001,B1287,$I$2:$I$5001,I1287),1,0))</f>
        <v/>
      </c>
    </row>
    <row r="1288" customFormat="false" ht="15" hidden="false" customHeight="false" outlineLevel="0" collapsed="false">
      <c r="I1288" s="15" t="str">
        <f aca="false">IF(A1288="","",INT(A1288))</f>
        <v/>
      </c>
      <c r="J1288" s="16" t="str">
        <f aca="false">IF(B1288="","",IF(A1288=_xlfn.MINIFS($A$2:$A$5001,$B$2:$B$5001,B1288),1,0))</f>
        <v/>
      </c>
      <c r="K1288" s="16" t="str">
        <f aca="false">IF(B1288="","",IF(AND(D1288="Formalização",E1288="Concluído"),IF(COUNTIFS($B$2:$B$5001,B1288,$E$2:$E$5001,"Em ajustes",$A$2:$A$5001,"&lt;"&amp;I1288)&gt;0,1,0),0))</f>
        <v/>
      </c>
      <c r="L1288" s="16" t="str">
        <f aca="false">IF(B1288="","",IF(A1288=_xlfn.MAXIFS($A$2:$A$5001,$B$2:$B$5001,B1288,$I$2:$I$5001,I1288),1,0))</f>
        <v/>
      </c>
    </row>
    <row r="1289" customFormat="false" ht="15" hidden="false" customHeight="false" outlineLevel="0" collapsed="false">
      <c r="I1289" s="15" t="str">
        <f aca="false">IF(A1289="","",INT(A1289))</f>
        <v/>
      </c>
      <c r="J1289" s="16" t="str">
        <f aca="false">IF(B1289="","",IF(A1289=_xlfn.MINIFS($A$2:$A$5001,$B$2:$B$5001,B1289),1,0))</f>
        <v/>
      </c>
      <c r="K1289" s="16" t="str">
        <f aca="false">IF(B1289="","",IF(AND(D1289="Formalização",E1289="Concluído"),IF(COUNTIFS($B$2:$B$5001,B1289,$E$2:$E$5001,"Em ajustes",$A$2:$A$5001,"&lt;"&amp;I1289)&gt;0,1,0),0))</f>
        <v/>
      </c>
      <c r="L1289" s="16" t="str">
        <f aca="false">IF(B1289="","",IF(A1289=_xlfn.MAXIFS($A$2:$A$5001,$B$2:$B$5001,B1289,$I$2:$I$5001,I1289),1,0))</f>
        <v/>
      </c>
    </row>
    <row r="1290" customFormat="false" ht="15" hidden="false" customHeight="false" outlineLevel="0" collapsed="false">
      <c r="I1290" s="15" t="str">
        <f aca="false">IF(A1290="","",INT(A1290))</f>
        <v/>
      </c>
      <c r="J1290" s="16" t="str">
        <f aca="false">IF(B1290="","",IF(A1290=_xlfn.MINIFS($A$2:$A$5001,$B$2:$B$5001,B1290),1,0))</f>
        <v/>
      </c>
      <c r="K1290" s="16" t="str">
        <f aca="false">IF(B1290="","",IF(AND(D1290="Formalização",E1290="Concluído"),IF(COUNTIFS($B$2:$B$5001,B1290,$E$2:$E$5001,"Em ajustes",$A$2:$A$5001,"&lt;"&amp;I1290)&gt;0,1,0),0))</f>
        <v/>
      </c>
      <c r="L1290" s="16" t="str">
        <f aca="false">IF(B1290="","",IF(A1290=_xlfn.MAXIFS($A$2:$A$5001,$B$2:$B$5001,B1290,$I$2:$I$5001,I1290),1,0))</f>
        <v/>
      </c>
    </row>
    <row r="1291" customFormat="false" ht="15" hidden="false" customHeight="false" outlineLevel="0" collapsed="false">
      <c r="I1291" s="15" t="str">
        <f aca="false">IF(A1291="","",INT(A1291))</f>
        <v/>
      </c>
      <c r="J1291" s="16" t="str">
        <f aca="false">IF(B1291="","",IF(A1291=_xlfn.MINIFS($A$2:$A$5001,$B$2:$B$5001,B1291),1,0))</f>
        <v/>
      </c>
      <c r="K1291" s="16" t="str">
        <f aca="false">IF(B1291="","",IF(AND(D1291="Formalização",E1291="Concluído"),IF(COUNTIFS($B$2:$B$5001,B1291,$E$2:$E$5001,"Em ajustes",$A$2:$A$5001,"&lt;"&amp;I1291)&gt;0,1,0),0))</f>
        <v/>
      </c>
      <c r="L1291" s="16" t="str">
        <f aca="false">IF(B1291="","",IF(A1291=_xlfn.MAXIFS($A$2:$A$5001,$B$2:$B$5001,B1291,$I$2:$I$5001,I1291),1,0))</f>
        <v/>
      </c>
    </row>
    <row r="1292" customFormat="false" ht="15" hidden="false" customHeight="false" outlineLevel="0" collapsed="false">
      <c r="I1292" s="15" t="str">
        <f aca="false">IF(A1292="","",INT(A1292))</f>
        <v/>
      </c>
      <c r="J1292" s="16" t="str">
        <f aca="false">IF(B1292="","",IF(A1292=_xlfn.MINIFS($A$2:$A$5001,$B$2:$B$5001,B1292),1,0))</f>
        <v/>
      </c>
      <c r="K1292" s="16" t="str">
        <f aca="false">IF(B1292="","",IF(AND(D1292="Formalização",E1292="Concluído"),IF(COUNTIFS($B$2:$B$5001,B1292,$E$2:$E$5001,"Em ajustes",$A$2:$A$5001,"&lt;"&amp;I1292)&gt;0,1,0),0))</f>
        <v/>
      </c>
      <c r="L1292" s="16" t="str">
        <f aca="false">IF(B1292="","",IF(A1292=_xlfn.MAXIFS($A$2:$A$5001,$B$2:$B$5001,B1292,$I$2:$I$5001,I1292),1,0))</f>
        <v/>
      </c>
    </row>
    <row r="1293" customFormat="false" ht="15" hidden="false" customHeight="false" outlineLevel="0" collapsed="false">
      <c r="I1293" s="15" t="str">
        <f aca="false">IF(A1293="","",INT(A1293))</f>
        <v/>
      </c>
      <c r="J1293" s="16" t="str">
        <f aca="false">IF(B1293="","",IF(A1293=_xlfn.MINIFS($A$2:$A$5001,$B$2:$B$5001,B1293),1,0))</f>
        <v/>
      </c>
      <c r="K1293" s="16" t="str">
        <f aca="false">IF(B1293="","",IF(AND(D1293="Formalização",E1293="Concluído"),IF(COUNTIFS($B$2:$B$5001,B1293,$E$2:$E$5001,"Em ajustes",$A$2:$A$5001,"&lt;"&amp;I1293)&gt;0,1,0),0))</f>
        <v/>
      </c>
      <c r="L1293" s="16" t="str">
        <f aca="false">IF(B1293="","",IF(A1293=_xlfn.MAXIFS($A$2:$A$5001,$B$2:$B$5001,B1293,$I$2:$I$5001,I1293),1,0))</f>
        <v/>
      </c>
    </row>
    <row r="1294" customFormat="false" ht="15" hidden="false" customHeight="false" outlineLevel="0" collapsed="false">
      <c r="I1294" s="15" t="str">
        <f aca="false">IF(A1294="","",INT(A1294))</f>
        <v/>
      </c>
      <c r="J1294" s="16" t="str">
        <f aca="false">IF(B1294="","",IF(A1294=_xlfn.MINIFS($A$2:$A$5001,$B$2:$B$5001,B1294),1,0))</f>
        <v/>
      </c>
      <c r="K1294" s="16" t="str">
        <f aca="false">IF(B1294="","",IF(AND(D1294="Formalização",E1294="Concluído"),IF(COUNTIFS($B$2:$B$5001,B1294,$E$2:$E$5001,"Em ajustes",$A$2:$A$5001,"&lt;"&amp;I1294)&gt;0,1,0),0))</f>
        <v/>
      </c>
      <c r="L1294" s="16" t="str">
        <f aca="false">IF(B1294="","",IF(A1294=_xlfn.MAXIFS($A$2:$A$5001,$B$2:$B$5001,B1294,$I$2:$I$5001,I1294),1,0))</f>
        <v/>
      </c>
    </row>
    <row r="1295" customFormat="false" ht="15" hidden="false" customHeight="false" outlineLevel="0" collapsed="false">
      <c r="I1295" s="15" t="str">
        <f aca="false">IF(A1295="","",INT(A1295))</f>
        <v/>
      </c>
      <c r="J1295" s="16" t="str">
        <f aca="false">IF(B1295="","",IF(A1295=_xlfn.MINIFS($A$2:$A$5001,$B$2:$B$5001,B1295),1,0))</f>
        <v/>
      </c>
      <c r="K1295" s="16" t="str">
        <f aca="false">IF(B1295="","",IF(AND(D1295="Formalização",E1295="Concluído"),IF(COUNTIFS($B$2:$B$5001,B1295,$E$2:$E$5001,"Em ajustes",$A$2:$A$5001,"&lt;"&amp;I1295)&gt;0,1,0),0))</f>
        <v/>
      </c>
      <c r="L1295" s="16" t="str">
        <f aca="false">IF(B1295="","",IF(A1295=_xlfn.MAXIFS($A$2:$A$5001,$B$2:$B$5001,B1295,$I$2:$I$5001,I1295),1,0))</f>
        <v/>
      </c>
    </row>
    <row r="1296" customFormat="false" ht="15" hidden="false" customHeight="false" outlineLevel="0" collapsed="false">
      <c r="I1296" s="15" t="str">
        <f aca="false">IF(A1296="","",INT(A1296))</f>
        <v/>
      </c>
      <c r="J1296" s="16" t="str">
        <f aca="false">IF(B1296="","",IF(A1296=_xlfn.MINIFS($A$2:$A$5001,$B$2:$B$5001,B1296),1,0))</f>
        <v/>
      </c>
      <c r="K1296" s="16" t="str">
        <f aca="false">IF(B1296="","",IF(AND(D1296="Formalização",E1296="Concluído"),IF(COUNTIFS($B$2:$B$5001,B1296,$E$2:$E$5001,"Em ajustes",$A$2:$A$5001,"&lt;"&amp;I1296)&gt;0,1,0),0))</f>
        <v/>
      </c>
      <c r="L1296" s="16" t="str">
        <f aca="false">IF(B1296="","",IF(A1296=_xlfn.MAXIFS($A$2:$A$5001,$B$2:$B$5001,B1296,$I$2:$I$5001,I1296),1,0))</f>
        <v/>
      </c>
    </row>
    <row r="1297" customFormat="false" ht="15" hidden="false" customHeight="false" outlineLevel="0" collapsed="false">
      <c r="I1297" s="15" t="str">
        <f aca="false">IF(A1297="","",INT(A1297))</f>
        <v/>
      </c>
      <c r="J1297" s="16" t="str">
        <f aca="false">IF(B1297="","",IF(A1297=_xlfn.MINIFS($A$2:$A$5001,$B$2:$B$5001,B1297),1,0))</f>
        <v/>
      </c>
      <c r="K1297" s="16" t="str">
        <f aca="false">IF(B1297="","",IF(AND(D1297="Formalização",E1297="Concluído"),IF(COUNTIFS($B$2:$B$5001,B1297,$E$2:$E$5001,"Em ajustes",$A$2:$A$5001,"&lt;"&amp;I1297)&gt;0,1,0),0))</f>
        <v/>
      </c>
      <c r="L1297" s="16" t="str">
        <f aca="false">IF(B1297="","",IF(A1297=_xlfn.MAXIFS($A$2:$A$5001,$B$2:$B$5001,B1297,$I$2:$I$5001,I1297),1,0))</f>
        <v/>
      </c>
    </row>
    <row r="1298" customFormat="false" ht="15" hidden="false" customHeight="false" outlineLevel="0" collapsed="false">
      <c r="I1298" s="15" t="str">
        <f aca="false">IF(A1298="","",INT(A1298))</f>
        <v/>
      </c>
      <c r="J1298" s="16" t="str">
        <f aca="false">IF(B1298="","",IF(A1298=_xlfn.MINIFS($A$2:$A$5001,$B$2:$B$5001,B1298),1,0))</f>
        <v/>
      </c>
      <c r="K1298" s="16" t="str">
        <f aca="false">IF(B1298="","",IF(AND(D1298="Formalização",E1298="Concluído"),IF(COUNTIFS($B$2:$B$5001,B1298,$E$2:$E$5001,"Em ajustes",$A$2:$A$5001,"&lt;"&amp;I1298)&gt;0,1,0),0))</f>
        <v/>
      </c>
      <c r="L1298" s="16" t="str">
        <f aca="false">IF(B1298="","",IF(A1298=_xlfn.MAXIFS($A$2:$A$5001,$B$2:$B$5001,B1298,$I$2:$I$5001,I1298),1,0))</f>
        <v/>
      </c>
    </row>
    <row r="1299" customFormat="false" ht="15" hidden="false" customHeight="false" outlineLevel="0" collapsed="false">
      <c r="I1299" s="15" t="str">
        <f aca="false">IF(A1299="","",INT(A1299))</f>
        <v/>
      </c>
      <c r="J1299" s="16" t="str">
        <f aca="false">IF(B1299="","",IF(A1299=_xlfn.MINIFS($A$2:$A$5001,$B$2:$B$5001,B1299),1,0))</f>
        <v/>
      </c>
      <c r="K1299" s="16" t="str">
        <f aca="false">IF(B1299="","",IF(AND(D1299="Formalização",E1299="Concluído"),IF(COUNTIFS($B$2:$B$5001,B1299,$E$2:$E$5001,"Em ajustes",$A$2:$A$5001,"&lt;"&amp;I1299)&gt;0,1,0),0))</f>
        <v/>
      </c>
      <c r="L1299" s="16" t="str">
        <f aca="false">IF(B1299="","",IF(A1299=_xlfn.MAXIFS($A$2:$A$5001,$B$2:$B$5001,B1299,$I$2:$I$5001,I1299),1,0))</f>
        <v/>
      </c>
    </row>
    <row r="1300" customFormat="false" ht="15" hidden="false" customHeight="false" outlineLevel="0" collapsed="false">
      <c r="I1300" s="15" t="str">
        <f aca="false">IF(A1300="","",INT(A1300))</f>
        <v/>
      </c>
      <c r="J1300" s="16" t="str">
        <f aca="false">IF(B1300="","",IF(A1300=_xlfn.MINIFS($A$2:$A$5001,$B$2:$B$5001,B1300),1,0))</f>
        <v/>
      </c>
      <c r="K1300" s="16" t="str">
        <f aca="false">IF(B1300="","",IF(AND(D1300="Formalização",E1300="Concluído"),IF(COUNTIFS($B$2:$B$5001,B1300,$E$2:$E$5001,"Em ajustes",$A$2:$A$5001,"&lt;"&amp;I1300)&gt;0,1,0),0))</f>
        <v/>
      </c>
      <c r="L1300" s="16" t="str">
        <f aca="false">IF(B1300="","",IF(A1300=_xlfn.MAXIFS($A$2:$A$5001,$B$2:$B$5001,B1300,$I$2:$I$5001,I1300),1,0))</f>
        <v/>
      </c>
    </row>
    <row r="1301" customFormat="false" ht="15" hidden="false" customHeight="false" outlineLevel="0" collapsed="false">
      <c r="I1301" s="15" t="str">
        <f aca="false">IF(A1301="","",INT(A1301))</f>
        <v/>
      </c>
      <c r="J1301" s="16" t="str">
        <f aca="false">IF(B1301="","",IF(A1301=_xlfn.MINIFS($A$2:$A$5001,$B$2:$B$5001,B1301),1,0))</f>
        <v/>
      </c>
      <c r="K1301" s="16" t="str">
        <f aca="false">IF(B1301="","",IF(AND(D1301="Formalização",E1301="Concluído"),IF(COUNTIFS($B$2:$B$5001,B1301,$E$2:$E$5001,"Em ajustes",$A$2:$A$5001,"&lt;"&amp;I1301)&gt;0,1,0),0))</f>
        <v/>
      </c>
      <c r="L1301" s="16" t="str">
        <f aca="false">IF(B1301="","",IF(A1301=_xlfn.MAXIFS($A$2:$A$5001,$B$2:$B$5001,B1301,$I$2:$I$5001,I1301),1,0))</f>
        <v/>
      </c>
    </row>
    <row r="1302" customFormat="false" ht="15" hidden="false" customHeight="false" outlineLevel="0" collapsed="false">
      <c r="I1302" s="15" t="str">
        <f aca="false">IF(A1302="","",INT(A1302))</f>
        <v/>
      </c>
      <c r="J1302" s="16" t="str">
        <f aca="false">IF(B1302="","",IF(A1302=_xlfn.MINIFS($A$2:$A$5001,$B$2:$B$5001,B1302),1,0))</f>
        <v/>
      </c>
      <c r="K1302" s="16" t="str">
        <f aca="false">IF(B1302="","",IF(AND(D1302="Formalização",E1302="Concluído"),IF(COUNTIFS($B$2:$B$5001,B1302,$E$2:$E$5001,"Em ajustes",$A$2:$A$5001,"&lt;"&amp;I1302)&gt;0,1,0),0))</f>
        <v/>
      </c>
      <c r="L1302" s="16" t="str">
        <f aca="false">IF(B1302="","",IF(A1302=_xlfn.MAXIFS($A$2:$A$5001,$B$2:$B$5001,B1302,$I$2:$I$5001,I1302),1,0))</f>
        <v/>
      </c>
    </row>
    <row r="1303" customFormat="false" ht="15" hidden="false" customHeight="false" outlineLevel="0" collapsed="false">
      <c r="I1303" s="15" t="str">
        <f aca="false">IF(A1303="","",INT(A1303))</f>
        <v/>
      </c>
      <c r="J1303" s="16" t="str">
        <f aca="false">IF(B1303="","",IF(A1303=_xlfn.MINIFS($A$2:$A$5001,$B$2:$B$5001,B1303),1,0))</f>
        <v/>
      </c>
      <c r="K1303" s="16" t="str">
        <f aca="false">IF(B1303="","",IF(AND(D1303="Formalização",E1303="Concluído"),IF(COUNTIFS($B$2:$B$5001,B1303,$E$2:$E$5001,"Em ajustes",$A$2:$A$5001,"&lt;"&amp;I1303)&gt;0,1,0),0))</f>
        <v/>
      </c>
      <c r="L1303" s="16" t="str">
        <f aca="false">IF(B1303="","",IF(A1303=_xlfn.MAXIFS($A$2:$A$5001,$B$2:$B$5001,B1303,$I$2:$I$5001,I1303),1,0))</f>
        <v/>
      </c>
    </row>
    <row r="1304" customFormat="false" ht="15" hidden="false" customHeight="false" outlineLevel="0" collapsed="false">
      <c r="I1304" s="15" t="str">
        <f aca="false">IF(A1304="","",INT(A1304))</f>
        <v/>
      </c>
      <c r="J1304" s="16" t="str">
        <f aca="false">IF(B1304="","",IF(A1304=_xlfn.MINIFS($A$2:$A$5001,$B$2:$B$5001,B1304),1,0))</f>
        <v/>
      </c>
      <c r="K1304" s="16" t="str">
        <f aca="false">IF(B1304="","",IF(AND(D1304="Formalização",E1304="Concluído"),IF(COUNTIFS($B$2:$B$5001,B1304,$E$2:$E$5001,"Em ajustes",$A$2:$A$5001,"&lt;"&amp;I1304)&gt;0,1,0),0))</f>
        <v/>
      </c>
      <c r="L1304" s="16" t="str">
        <f aca="false">IF(B1304="","",IF(A1304=_xlfn.MAXIFS($A$2:$A$5001,$B$2:$B$5001,B1304,$I$2:$I$5001,I1304),1,0))</f>
        <v/>
      </c>
    </row>
    <row r="1305" customFormat="false" ht="15" hidden="false" customHeight="false" outlineLevel="0" collapsed="false">
      <c r="I1305" s="15" t="str">
        <f aca="false">IF(A1305="","",INT(A1305))</f>
        <v/>
      </c>
      <c r="J1305" s="16" t="str">
        <f aca="false">IF(B1305="","",IF(A1305=_xlfn.MINIFS($A$2:$A$5001,$B$2:$B$5001,B1305),1,0))</f>
        <v/>
      </c>
      <c r="K1305" s="16" t="str">
        <f aca="false">IF(B1305="","",IF(AND(D1305="Formalização",E1305="Concluído"),IF(COUNTIFS($B$2:$B$5001,B1305,$E$2:$E$5001,"Em ajustes",$A$2:$A$5001,"&lt;"&amp;I1305)&gt;0,1,0),0))</f>
        <v/>
      </c>
      <c r="L1305" s="16" t="str">
        <f aca="false">IF(B1305="","",IF(A1305=_xlfn.MAXIFS($A$2:$A$5001,$B$2:$B$5001,B1305,$I$2:$I$5001,I1305),1,0))</f>
        <v/>
      </c>
    </row>
    <row r="1306" customFormat="false" ht="15" hidden="false" customHeight="false" outlineLevel="0" collapsed="false">
      <c r="I1306" s="15" t="str">
        <f aca="false">IF(A1306="","",INT(A1306))</f>
        <v/>
      </c>
      <c r="J1306" s="16" t="str">
        <f aca="false">IF(B1306="","",IF(A1306=_xlfn.MINIFS($A$2:$A$5001,$B$2:$B$5001,B1306),1,0))</f>
        <v/>
      </c>
      <c r="K1306" s="16" t="str">
        <f aca="false">IF(B1306="","",IF(AND(D1306="Formalização",E1306="Concluído"),IF(COUNTIFS($B$2:$B$5001,B1306,$E$2:$E$5001,"Em ajustes",$A$2:$A$5001,"&lt;"&amp;I1306)&gt;0,1,0),0))</f>
        <v/>
      </c>
      <c r="L1306" s="16" t="str">
        <f aca="false">IF(B1306="","",IF(A1306=_xlfn.MAXIFS($A$2:$A$5001,$B$2:$B$5001,B1306,$I$2:$I$5001,I1306),1,0))</f>
        <v/>
      </c>
    </row>
    <row r="1307" customFormat="false" ht="15" hidden="false" customHeight="false" outlineLevel="0" collapsed="false">
      <c r="I1307" s="15" t="str">
        <f aca="false">IF(A1307="","",INT(A1307))</f>
        <v/>
      </c>
      <c r="J1307" s="16" t="str">
        <f aca="false">IF(B1307="","",IF(A1307=_xlfn.MINIFS($A$2:$A$5001,$B$2:$B$5001,B1307),1,0))</f>
        <v/>
      </c>
      <c r="K1307" s="16" t="str">
        <f aca="false">IF(B1307="","",IF(AND(D1307="Formalização",E1307="Concluído"),IF(COUNTIFS($B$2:$B$5001,B1307,$E$2:$E$5001,"Em ajustes",$A$2:$A$5001,"&lt;"&amp;I1307)&gt;0,1,0),0))</f>
        <v/>
      </c>
      <c r="L1307" s="16" t="str">
        <f aca="false">IF(B1307="","",IF(A1307=_xlfn.MAXIFS($A$2:$A$5001,$B$2:$B$5001,B1307,$I$2:$I$5001,I1307),1,0))</f>
        <v/>
      </c>
    </row>
    <row r="1308" customFormat="false" ht="15" hidden="false" customHeight="false" outlineLevel="0" collapsed="false">
      <c r="I1308" s="15" t="str">
        <f aca="false">IF(A1308="","",INT(A1308))</f>
        <v/>
      </c>
      <c r="J1308" s="16" t="str">
        <f aca="false">IF(B1308="","",IF(A1308=_xlfn.MINIFS($A$2:$A$5001,$B$2:$B$5001,B1308),1,0))</f>
        <v/>
      </c>
      <c r="K1308" s="16" t="str">
        <f aca="false">IF(B1308="","",IF(AND(D1308="Formalização",E1308="Concluído"),IF(COUNTIFS($B$2:$B$5001,B1308,$E$2:$E$5001,"Em ajustes",$A$2:$A$5001,"&lt;"&amp;I1308)&gt;0,1,0),0))</f>
        <v/>
      </c>
      <c r="L1308" s="16" t="str">
        <f aca="false">IF(B1308="","",IF(A1308=_xlfn.MAXIFS($A$2:$A$5001,$B$2:$B$5001,B1308,$I$2:$I$5001,I1308),1,0))</f>
        <v/>
      </c>
    </row>
    <row r="1309" customFormat="false" ht="15" hidden="false" customHeight="false" outlineLevel="0" collapsed="false">
      <c r="I1309" s="15" t="str">
        <f aca="false">IF(A1309="","",INT(A1309))</f>
        <v/>
      </c>
      <c r="J1309" s="16" t="str">
        <f aca="false">IF(B1309="","",IF(A1309=_xlfn.MINIFS($A$2:$A$5001,$B$2:$B$5001,B1309),1,0))</f>
        <v/>
      </c>
      <c r="K1309" s="16" t="str">
        <f aca="false">IF(B1309="","",IF(AND(D1309="Formalização",E1309="Concluído"),IF(COUNTIFS($B$2:$B$5001,B1309,$E$2:$E$5001,"Em ajustes",$A$2:$A$5001,"&lt;"&amp;I1309)&gt;0,1,0),0))</f>
        <v/>
      </c>
      <c r="L1309" s="16" t="str">
        <f aca="false">IF(B1309="","",IF(A1309=_xlfn.MAXIFS($A$2:$A$5001,$B$2:$B$5001,B1309,$I$2:$I$5001,I1309),1,0))</f>
        <v/>
      </c>
    </row>
    <row r="1310" customFormat="false" ht="15" hidden="false" customHeight="false" outlineLevel="0" collapsed="false">
      <c r="I1310" s="15" t="str">
        <f aca="false">IF(A1310="","",INT(A1310))</f>
        <v/>
      </c>
      <c r="J1310" s="16" t="str">
        <f aca="false">IF(B1310="","",IF(A1310=_xlfn.MINIFS($A$2:$A$5001,$B$2:$B$5001,B1310),1,0))</f>
        <v/>
      </c>
      <c r="K1310" s="16" t="str">
        <f aca="false">IF(B1310="","",IF(AND(D1310="Formalização",E1310="Concluído"),IF(COUNTIFS($B$2:$B$5001,B1310,$E$2:$E$5001,"Em ajustes",$A$2:$A$5001,"&lt;"&amp;I1310)&gt;0,1,0),0))</f>
        <v/>
      </c>
      <c r="L1310" s="16" t="str">
        <f aca="false">IF(B1310="","",IF(A1310=_xlfn.MAXIFS($A$2:$A$5001,$B$2:$B$5001,B1310,$I$2:$I$5001,I1310),1,0))</f>
        <v/>
      </c>
    </row>
    <row r="1311" customFormat="false" ht="15" hidden="false" customHeight="false" outlineLevel="0" collapsed="false">
      <c r="I1311" s="15" t="str">
        <f aca="false">IF(A1311="","",INT(A1311))</f>
        <v/>
      </c>
      <c r="J1311" s="16" t="str">
        <f aca="false">IF(B1311="","",IF(A1311=_xlfn.MINIFS($A$2:$A$5001,$B$2:$B$5001,B1311),1,0))</f>
        <v/>
      </c>
      <c r="K1311" s="16" t="str">
        <f aca="false">IF(B1311="","",IF(AND(D1311="Formalização",E1311="Concluído"),IF(COUNTIFS($B$2:$B$5001,B1311,$E$2:$E$5001,"Em ajustes",$A$2:$A$5001,"&lt;"&amp;I1311)&gt;0,1,0),0))</f>
        <v/>
      </c>
      <c r="L1311" s="16" t="str">
        <f aca="false">IF(B1311="","",IF(A1311=_xlfn.MAXIFS($A$2:$A$5001,$B$2:$B$5001,B1311,$I$2:$I$5001,I1311),1,0))</f>
        <v/>
      </c>
    </row>
    <row r="1312" customFormat="false" ht="15" hidden="false" customHeight="false" outlineLevel="0" collapsed="false">
      <c r="I1312" s="15" t="str">
        <f aca="false">IF(A1312="","",INT(A1312))</f>
        <v/>
      </c>
      <c r="J1312" s="16" t="str">
        <f aca="false">IF(B1312="","",IF(A1312=_xlfn.MINIFS($A$2:$A$5001,$B$2:$B$5001,B1312),1,0))</f>
        <v/>
      </c>
      <c r="K1312" s="16" t="str">
        <f aca="false">IF(B1312="","",IF(AND(D1312="Formalização",E1312="Concluído"),IF(COUNTIFS($B$2:$B$5001,B1312,$E$2:$E$5001,"Em ajustes",$A$2:$A$5001,"&lt;"&amp;I1312)&gt;0,1,0),0))</f>
        <v/>
      </c>
      <c r="L1312" s="16" t="str">
        <f aca="false">IF(B1312="","",IF(A1312=_xlfn.MAXIFS($A$2:$A$5001,$B$2:$B$5001,B1312,$I$2:$I$5001,I1312),1,0))</f>
        <v/>
      </c>
    </row>
    <row r="1313" customFormat="false" ht="15" hidden="false" customHeight="false" outlineLevel="0" collapsed="false">
      <c r="I1313" s="15" t="str">
        <f aca="false">IF(A1313="","",INT(A1313))</f>
        <v/>
      </c>
      <c r="J1313" s="16" t="str">
        <f aca="false">IF(B1313="","",IF(A1313=_xlfn.MINIFS($A$2:$A$5001,$B$2:$B$5001,B1313),1,0))</f>
        <v/>
      </c>
      <c r="K1313" s="16" t="str">
        <f aca="false">IF(B1313="","",IF(AND(D1313="Formalização",E1313="Concluído"),IF(COUNTIFS($B$2:$B$5001,B1313,$E$2:$E$5001,"Em ajustes",$A$2:$A$5001,"&lt;"&amp;I1313)&gt;0,1,0),0))</f>
        <v/>
      </c>
      <c r="L1313" s="16" t="str">
        <f aca="false">IF(B1313="","",IF(A1313=_xlfn.MAXIFS($A$2:$A$5001,$B$2:$B$5001,B1313,$I$2:$I$5001,I1313),1,0))</f>
        <v/>
      </c>
    </row>
    <row r="1314" customFormat="false" ht="15" hidden="false" customHeight="false" outlineLevel="0" collapsed="false">
      <c r="I1314" s="15" t="str">
        <f aca="false">IF(A1314="","",INT(A1314))</f>
        <v/>
      </c>
      <c r="J1314" s="16" t="str">
        <f aca="false">IF(B1314="","",IF(A1314=_xlfn.MINIFS($A$2:$A$5001,$B$2:$B$5001,B1314),1,0))</f>
        <v/>
      </c>
      <c r="K1314" s="16" t="str">
        <f aca="false">IF(B1314="","",IF(AND(D1314="Formalização",E1314="Concluído"),IF(COUNTIFS($B$2:$B$5001,B1314,$E$2:$E$5001,"Em ajustes",$A$2:$A$5001,"&lt;"&amp;I1314)&gt;0,1,0),0))</f>
        <v/>
      </c>
      <c r="L1314" s="16" t="str">
        <f aca="false">IF(B1314="","",IF(A1314=_xlfn.MAXIFS($A$2:$A$5001,$B$2:$B$5001,B1314,$I$2:$I$5001,I1314),1,0))</f>
        <v/>
      </c>
    </row>
    <row r="1315" customFormat="false" ht="15" hidden="false" customHeight="false" outlineLevel="0" collapsed="false">
      <c r="I1315" s="15" t="str">
        <f aca="false">IF(A1315="","",INT(A1315))</f>
        <v/>
      </c>
      <c r="J1315" s="16" t="str">
        <f aca="false">IF(B1315="","",IF(A1315=_xlfn.MINIFS($A$2:$A$5001,$B$2:$B$5001,B1315),1,0))</f>
        <v/>
      </c>
      <c r="K1315" s="16" t="str">
        <f aca="false">IF(B1315="","",IF(AND(D1315="Formalização",E1315="Concluído"),IF(COUNTIFS($B$2:$B$5001,B1315,$E$2:$E$5001,"Em ajustes",$A$2:$A$5001,"&lt;"&amp;I1315)&gt;0,1,0),0))</f>
        <v/>
      </c>
      <c r="L1315" s="16" t="str">
        <f aca="false">IF(B1315="","",IF(A1315=_xlfn.MAXIFS($A$2:$A$5001,$B$2:$B$5001,B1315,$I$2:$I$5001,I1315),1,0))</f>
        <v/>
      </c>
    </row>
    <row r="1316" customFormat="false" ht="15" hidden="false" customHeight="false" outlineLevel="0" collapsed="false">
      <c r="I1316" s="15" t="str">
        <f aca="false">IF(A1316="","",INT(A1316))</f>
        <v/>
      </c>
      <c r="J1316" s="16" t="str">
        <f aca="false">IF(B1316="","",IF(A1316=_xlfn.MINIFS($A$2:$A$5001,$B$2:$B$5001,B1316),1,0))</f>
        <v/>
      </c>
      <c r="K1316" s="16" t="str">
        <f aca="false">IF(B1316="","",IF(AND(D1316="Formalização",E1316="Concluído"),IF(COUNTIFS($B$2:$B$5001,B1316,$E$2:$E$5001,"Em ajustes",$A$2:$A$5001,"&lt;"&amp;I1316)&gt;0,1,0),0))</f>
        <v/>
      </c>
      <c r="L1316" s="16" t="str">
        <f aca="false">IF(B1316="","",IF(A1316=_xlfn.MAXIFS($A$2:$A$5001,$B$2:$B$5001,B1316,$I$2:$I$5001,I1316),1,0))</f>
        <v/>
      </c>
    </row>
    <row r="1317" customFormat="false" ht="15" hidden="false" customHeight="false" outlineLevel="0" collapsed="false">
      <c r="I1317" s="15" t="str">
        <f aca="false">IF(A1317="","",INT(A1317))</f>
        <v/>
      </c>
      <c r="J1317" s="16" t="str">
        <f aca="false">IF(B1317="","",IF(A1317=_xlfn.MINIFS($A$2:$A$5001,$B$2:$B$5001,B1317),1,0))</f>
        <v/>
      </c>
      <c r="K1317" s="16" t="str">
        <f aca="false">IF(B1317="","",IF(AND(D1317="Formalização",E1317="Concluído"),IF(COUNTIFS($B$2:$B$5001,B1317,$E$2:$E$5001,"Em ajustes",$A$2:$A$5001,"&lt;"&amp;I1317)&gt;0,1,0),0))</f>
        <v/>
      </c>
      <c r="L1317" s="16" t="str">
        <f aca="false">IF(B1317="","",IF(A1317=_xlfn.MAXIFS($A$2:$A$5001,$B$2:$B$5001,B1317,$I$2:$I$5001,I1317),1,0))</f>
        <v/>
      </c>
    </row>
    <row r="1318" customFormat="false" ht="15" hidden="false" customHeight="false" outlineLevel="0" collapsed="false">
      <c r="I1318" s="15" t="str">
        <f aca="false">IF(A1318="","",INT(A1318))</f>
        <v/>
      </c>
      <c r="J1318" s="16" t="str">
        <f aca="false">IF(B1318="","",IF(A1318=_xlfn.MINIFS($A$2:$A$5001,$B$2:$B$5001,B1318),1,0))</f>
        <v/>
      </c>
      <c r="K1318" s="16" t="str">
        <f aca="false">IF(B1318="","",IF(AND(D1318="Formalização",E1318="Concluído"),IF(COUNTIFS($B$2:$B$5001,B1318,$E$2:$E$5001,"Em ajustes",$A$2:$A$5001,"&lt;"&amp;I1318)&gt;0,1,0),0))</f>
        <v/>
      </c>
      <c r="L1318" s="16" t="str">
        <f aca="false">IF(B1318="","",IF(A1318=_xlfn.MAXIFS($A$2:$A$5001,$B$2:$B$5001,B1318,$I$2:$I$5001,I1318),1,0))</f>
        <v/>
      </c>
    </row>
    <row r="1319" customFormat="false" ht="15" hidden="false" customHeight="false" outlineLevel="0" collapsed="false">
      <c r="I1319" s="15" t="str">
        <f aca="false">IF(A1319="","",INT(A1319))</f>
        <v/>
      </c>
      <c r="J1319" s="16" t="str">
        <f aca="false">IF(B1319="","",IF(A1319=_xlfn.MINIFS($A$2:$A$5001,$B$2:$B$5001,B1319),1,0))</f>
        <v/>
      </c>
      <c r="K1319" s="16" t="str">
        <f aca="false">IF(B1319="","",IF(AND(D1319="Formalização",E1319="Concluído"),IF(COUNTIFS($B$2:$B$5001,B1319,$E$2:$E$5001,"Em ajustes",$A$2:$A$5001,"&lt;"&amp;I1319)&gt;0,1,0),0))</f>
        <v/>
      </c>
      <c r="L1319" s="16" t="str">
        <f aca="false">IF(B1319="","",IF(A1319=_xlfn.MAXIFS($A$2:$A$5001,$B$2:$B$5001,B1319,$I$2:$I$5001,I1319),1,0))</f>
        <v/>
      </c>
    </row>
    <row r="1320" customFormat="false" ht="15" hidden="false" customHeight="false" outlineLevel="0" collapsed="false">
      <c r="I1320" s="15" t="str">
        <f aca="false">IF(A1320="","",INT(A1320))</f>
        <v/>
      </c>
      <c r="J1320" s="16" t="str">
        <f aca="false">IF(B1320="","",IF(A1320=_xlfn.MINIFS($A$2:$A$5001,$B$2:$B$5001,B1320),1,0))</f>
        <v/>
      </c>
      <c r="K1320" s="16" t="str">
        <f aca="false">IF(B1320="","",IF(AND(D1320="Formalização",E1320="Concluído"),IF(COUNTIFS($B$2:$B$5001,B1320,$E$2:$E$5001,"Em ajustes",$A$2:$A$5001,"&lt;"&amp;I1320)&gt;0,1,0),0))</f>
        <v/>
      </c>
      <c r="L1320" s="16" t="str">
        <f aca="false">IF(B1320="","",IF(A1320=_xlfn.MAXIFS($A$2:$A$5001,$B$2:$B$5001,B1320,$I$2:$I$5001,I1320),1,0))</f>
        <v/>
      </c>
    </row>
    <row r="1321" customFormat="false" ht="15" hidden="false" customHeight="false" outlineLevel="0" collapsed="false">
      <c r="I1321" s="15" t="str">
        <f aca="false">IF(A1321="","",INT(A1321))</f>
        <v/>
      </c>
      <c r="J1321" s="16" t="str">
        <f aca="false">IF(B1321="","",IF(A1321=_xlfn.MINIFS($A$2:$A$5001,$B$2:$B$5001,B1321),1,0))</f>
        <v/>
      </c>
      <c r="K1321" s="16" t="str">
        <f aca="false">IF(B1321="","",IF(AND(D1321="Formalização",E1321="Concluído"),IF(COUNTIFS($B$2:$B$5001,B1321,$E$2:$E$5001,"Em ajustes",$A$2:$A$5001,"&lt;"&amp;I1321)&gt;0,1,0),0))</f>
        <v/>
      </c>
      <c r="L1321" s="16" t="str">
        <f aca="false">IF(B1321="","",IF(A1321=_xlfn.MAXIFS($A$2:$A$5001,$B$2:$B$5001,B1321,$I$2:$I$5001,I1321),1,0))</f>
        <v/>
      </c>
    </row>
    <row r="1322" customFormat="false" ht="15" hidden="false" customHeight="false" outlineLevel="0" collapsed="false">
      <c r="I1322" s="15" t="str">
        <f aca="false">IF(A1322="","",INT(A1322))</f>
        <v/>
      </c>
      <c r="J1322" s="16" t="str">
        <f aca="false">IF(B1322="","",IF(A1322=_xlfn.MINIFS($A$2:$A$5001,$B$2:$B$5001,B1322),1,0))</f>
        <v/>
      </c>
      <c r="K1322" s="16" t="str">
        <f aca="false">IF(B1322="","",IF(AND(D1322="Formalização",E1322="Concluído"),IF(COUNTIFS($B$2:$B$5001,B1322,$E$2:$E$5001,"Em ajustes",$A$2:$A$5001,"&lt;"&amp;I1322)&gt;0,1,0),0))</f>
        <v/>
      </c>
      <c r="L1322" s="16" t="str">
        <f aca="false">IF(B1322="","",IF(A1322=_xlfn.MAXIFS($A$2:$A$5001,$B$2:$B$5001,B1322,$I$2:$I$5001,I1322),1,0))</f>
        <v/>
      </c>
    </row>
    <row r="1323" customFormat="false" ht="15" hidden="false" customHeight="false" outlineLevel="0" collapsed="false">
      <c r="I1323" s="15" t="str">
        <f aca="false">IF(A1323="","",INT(A1323))</f>
        <v/>
      </c>
      <c r="J1323" s="16" t="str">
        <f aca="false">IF(B1323="","",IF(A1323=_xlfn.MINIFS($A$2:$A$5001,$B$2:$B$5001,B1323),1,0))</f>
        <v/>
      </c>
      <c r="K1323" s="16" t="str">
        <f aca="false">IF(B1323="","",IF(AND(D1323="Formalização",E1323="Concluído"),IF(COUNTIFS($B$2:$B$5001,B1323,$E$2:$E$5001,"Em ajustes",$A$2:$A$5001,"&lt;"&amp;I1323)&gt;0,1,0),0))</f>
        <v/>
      </c>
      <c r="L1323" s="16" t="str">
        <f aca="false">IF(B1323="","",IF(A1323=_xlfn.MAXIFS($A$2:$A$5001,$B$2:$B$5001,B1323,$I$2:$I$5001,I1323),1,0))</f>
        <v/>
      </c>
    </row>
    <row r="1324" customFormat="false" ht="15" hidden="false" customHeight="false" outlineLevel="0" collapsed="false">
      <c r="I1324" s="15" t="str">
        <f aca="false">IF(A1324="","",INT(A1324))</f>
        <v/>
      </c>
      <c r="J1324" s="16" t="str">
        <f aca="false">IF(B1324="","",IF(A1324=_xlfn.MINIFS($A$2:$A$5001,$B$2:$B$5001,B1324),1,0))</f>
        <v/>
      </c>
      <c r="K1324" s="16" t="str">
        <f aca="false">IF(B1324="","",IF(AND(D1324="Formalização",E1324="Concluído"),IF(COUNTIFS($B$2:$B$5001,B1324,$E$2:$E$5001,"Em ajustes",$A$2:$A$5001,"&lt;"&amp;I1324)&gt;0,1,0),0))</f>
        <v/>
      </c>
      <c r="L1324" s="16" t="str">
        <f aca="false">IF(B1324="","",IF(A1324=_xlfn.MAXIFS($A$2:$A$5001,$B$2:$B$5001,B1324,$I$2:$I$5001,I1324),1,0))</f>
        <v/>
      </c>
    </row>
    <row r="1325" customFormat="false" ht="15" hidden="false" customHeight="false" outlineLevel="0" collapsed="false">
      <c r="I1325" s="15" t="str">
        <f aca="false">IF(A1325="","",INT(A1325))</f>
        <v/>
      </c>
      <c r="J1325" s="16" t="str">
        <f aca="false">IF(B1325="","",IF(A1325=_xlfn.MINIFS($A$2:$A$5001,$B$2:$B$5001,B1325),1,0))</f>
        <v/>
      </c>
      <c r="K1325" s="16" t="str">
        <f aca="false">IF(B1325="","",IF(AND(D1325="Formalização",E1325="Concluído"),IF(COUNTIFS($B$2:$B$5001,B1325,$E$2:$E$5001,"Em ajustes",$A$2:$A$5001,"&lt;"&amp;I1325)&gt;0,1,0),0))</f>
        <v/>
      </c>
      <c r="L1325" s="16" t="str">
        <f aca="false">IF(B1325="","",IF(A1325=_xlfn.MAXIFS($A$2:$A$5001,$B$2:$B$5001,B1325,$I$2:$I$5001,I1325),1,0))</f>
        <v/>
      </c>
    </row>
    <row r="1326" customFormat="false" ht="15" hidden="false" customHeight="false" outlineLevel="0" collapsed="false">
      <c r="I1326" s="15" t="str">
        <f aca="false">IF(A1326="","",INT(A1326))</f>
        <v/>
      </c>
      <c r="J1326" s="16" t="str">
        <f aca="false">IF(B1326="","",IF(A1326=_xlfn.MINIFS($A$2:$A$5001,$B$2:$B$5001,B1326),1,0))</f>
        <v/>
      </c>
      <c r="K1326" s="16" t="str">
        <f aca="false">IF(B1326="","",IF(AND(D1326="Formalização",E1326="Concluído"),IF(COUNTIFS($B$2:$B$5001,B1326,$E$2:$E$5001,"Em ajustes",$A$2:$A$5001,"&lt;"&amp;I1326)&gt;0,1,0),0))</f>
        <v/>
      </c>
      <c r="L1326" s="16" t="str">
        <f aca="false">IF(B1326="","",IF(A1326=_xlfn.MAXIFS($A$2:$A$5001,$B$2:$B$5001,B1326,$I$2:$I$5001,I1326),1,0))</f>
        <v/>
      </c>
    </row>
    <row r="1327" customFormat="false" ht="15" hidden="false" customHeight="false" outlineLevel="0" collapsed="false">
      <c r="I1327" s="15" t="str">
        <f aca="false">IF(A1327="","",INT(A1327))</f>
        <v/>
      </c>
      <c r="J1327" s="16" t="str">
        <f aca="false">IF(B1327="","",IF(A1327=_xlfn.MINIFS($A$2:$A$5001,$B$2:$B$5001,B1327),1,0))</f>
        <v/>
      </c>
      <c r="K1327" s="16" t="str">
        <f aca="false">IF(B1327="","",IF(AND(D1327="Formalização",E1327="Concluído"),IF(COUNTIFS($B$2:$B$5001,B1327,$E$2:$E$5001,"Em ajustes",$A$2:$A$5001,"&lt;"&amp;I1327)&gt;0,1,0),0))</f>
        <v/>
      </c>
      <c r="L1327" s="16" t="str">
        <f aca="false">IF(B1327="","",IF(A1327=_xlfn.MAXIFS($A$2:$A$5001,$B$2:$B$5001,B1327,$I$2:$I$5001,I1327),1,0))</f>
        <v/>
      </c>
    </row>
    <row r="1328" customFormat="false" ht="15" hidden="false" customHeight="false" outlineLevel="0" collapsed="false">
      <c r="I1328" s="15" t="str">
        <f aca="false">IF(A1328="","",INT(A1328))</f>
        <v/>
      </c>
      <c r="J1328" s="16" t="str">
        <f aca="false">IF(B1328="","",IF(A1328=_xlfn.MINIFS($A$2:$A$5001,$B$2:$B$5001,B1328),1,0))</f>
        <v/>
      </c>
      <c r="K1328" s="16" t="str">
        <f aca="false">IF(B1328="","",IF(AND(D1328="Formalização",E1328="Concluído"),IF(COUNTIFS($B$2:$B$5001,B1328,$E$2:$E$5001,"Em ajustes",$A$2:$A$5001,"&lt;"&amp;I1328)&gt;0,1,0),0))</f>
        <v/>
      </c>
      <c r="L1328" s="16" t="str">
        <f aca="false">IF(B1328="","",IF(A1328=_xlfn.MAXIFS($A$2:$A$5001,$B$2:$B$5001,B1328,$I$2:$I$5001,I1328),1,0))</f>
        <v/>
      </c>
    </row>
    <row r="1329" customFormat="false" ht="15" hidden="false" customHeight="false" outlineLevel="0" collapsed="false">
      <c r="I1329" s="15" t="str">
        <f aca="false">IF(A1329="","",INT(A1329))</f>
        <v/>
      </c>
      <c r="J1329" s="16" t="str">
        <f aca="false">IF(B1329="","",IF(A1329=_xlfn.MINIFS($A$2:$A$5001,$B$2:$B$5001,B1329),1,0))</f>
        <v/>
      </c>
      <c r="K1329" s="16" t="str">
        <f aca="false">IF(B1329="","",IF(AND(D1329="Formalização",E1329="Concluído"),IF(COUNTIFS($B$2:$B$5001,B1329,$E$2:$E$5001,"Em ajustes",$A$2:$A$5001,"&lt;"&amp;I1329)&gt;0,1,0),0))</f>
        <v/>
      </c>
      <c r="L1329" s="16" t="str">
        <f aca="false">IF(B1329="","",IF(A1329=_xlfn.MAXIFS($A$2:$A$5001,$B$2:$B$5001,B1329,$I$2:$I$5001,I1329),1,0))</f>
        <v/>
      </c>
    </row>
    <row r="1330" customFormat="false" ht="15" hidden="false" customHeight="false" outlineLevel="0" collapsed="false">
      <c r="I1330" s="15" t="str">
        <f aca="false">IF(A1330="","",INT(A1330))</f>
        <v/>
      </c>
      <c r="J1330" s="16" t="str">
        <f aca="false">IF(B1330="","",IF(A1330=_xlfn.MINIFS($A$2:$A$5001,$B$2:$B$5001,B1330),1,0))</f>
        <v/>
      </c>
      <c r="K1330" s="16" t="str">
        <f aca="false">IF(B1330="","",IF(AND(D1330="Formalização",E1330="Concluído"),IF(COUNTIFS($B$2:$B$5001,B1330,$E$2:$E$5001,"Em ajustes",$A$2:$A$5001,"&lt;"&amp;I1330)&gt;0,1,0),0))</f>
        <v/>
      </c>
      <c r="L1330" s="16" t="str">
        <f aca="false">IF(B1330="","",IF(A1330=_xlfn.MAXIFS($A$2:$A$5001,$B$2:$B$5001,B1330,$I$2:$I$5001,I1330),1,0))</f>
        <v/>
      </c>
    </row>
    <row r="1331" customFormat="false" ht="15" hidden="false" customHeight="false" outlineLevel="0" collapsed="false">
      <c r="I1331" s="15" t="str">
        <f aca="false">IF(A1331="","",INT(A1331))</f>
        <v/>
      </c>
      <c r="J1331" s="16" t="str">
        <f aca="false">IF(B1331="","",IF(A1331=_xlfn.MINIFS($A$2:$A$5001,$B$2:$B$5001,B1331),1,0))</f>
        <v/>
      </c>
      <c r="K1331" s="16" t="str">
        <f aca="false">IF(B1331="","",IF(AND(D1331="Formalização",E1331="Concluído"),IF(COUNTIFS($B$2:$B$5001,B1331,$E$2:$E$5001,"Em ajustes",$A$2:$A$5001,"&lt;"&amp;I1331)&gt;0,1,0),0))</f>
        <v/>
      </c>
      <c r="L1331" s="16" t="str">
        <f aca="false">IF(B1331="","",IF(A1331=_xlfn.MAXIFS($A$2:$A$5001,$B$2:$B$5001,B1331,$I$2:$I$5001,I1331),1,0))</f>
        <v/>
      </c>
    </row>
    <row r="1332" customFormat="false" ht="15" hidden="false" customHeight="false" outlineLevel="0" collapsed="false">
      <c r="I1332" s="15" t="str">
        <f aca="false">IF(A1332="","",INT(A1332))</f>
        <v/>
      </c>
      <c r="J1332" s="16" t="str">
        <f aca="false">IF(B1332="","",IF(A1332=_xlfn.MINIFS($A$2:$A$5001,$B$2:$B$5001,B1332),1,0))</f>
        <v/>
      </c>
      <c r="K1332" s="16" t="str">
        <f aca="false">IF(B1332="","",IF(AND(D1332="Formalização",E1332="Concluído"),IF(COUNTIFS($B$2:$B$5001,B1332,$E$2:$E$5001,"Em ajustes",$A$2:$A$5001,"&lt;"&amp;I1332)&gt;0,1,0),0))</f>
        <v/>
      </c>
      <c r="L1332" s="16" t="str">
        <f aca="false">IF(B1332="","",IF(A1332=_xlfn.MAXIFS($A$2:$A$5001,$B$2:$B$5001,B1332,$I$2:$I$5001,I1332),1,0))</f>
        <v/>
      </c>
    </row>
    <row r="1333" customFormat="false" ht="15" hidden="false" customHeight="false" outlineLevel="0" collapsed="false">
      <c r="I1333" s="15" t="str">
        <f aca="false">IF(A1333="","",INT(A1333))</f>
        <v/>
      </c>
      <c r="J1333" s="16" t="str">
        <f aca="false">IF(B1333="","",IF(A1333=_xlfn.MINIFS($A$2:$A$5001,$B$2:$B$5001,B1333),1,0))</f>
        <v/>
      </c>
      <c r="K1333" s="16" t="str">
        <f aca="false">IF(B1333="","",IF(AND(D1333="Formalização",E1333="Concluído"),IF(COUNTIFS($B$2:$B$5001,B1333,$E$2:$E$5001,"Em ajustes",$A$2:$A$5001,"&lt;"&amp;I1333)&gt;0,1,0),0))</f>
        <v/>
      </c>
      <c r="L1333" s="16" t="str">
        <f aca="false">IF(B1333="","",IF(A1333=_xlfn.MAXIFS($A$2:$A$5001,$B$2:$B$5001,B1333,$I$2:$I$5001,I1333),1,0))</f>
        <v/>
      </c>
    </row>
    <row r="1334" customFormat="false" ht="15" hidden="false" customHeight="false" outlineLevel="0" collapsed="false">
      <c r="I1334" s="15" t="str">
        <f aca="false">IF(A1334="","",INT(A1334))</f>
        <v/>
      </c>
      <c r="J1334" s="16" t="str">
        <f aca="false">IF(B1334="","",IF(A1334=_xlfn.MINIFS($A$2:$A$5001,$B$2:$B$5001,B1334),1,0))</f>
        <v/>
      </c>
      <c r="K1334" s="16" t="str">
        <f aca="false">IF(B1334="","",IF(AND(D1334="Formalização",E1334="Concluído"),IF(COUNTIFS($B$2:$B$5001,B1334,$E$2:$E$5001,"Em ajustes",$A$2:$A$5001,"&lt;"&amp;I1334)&gt;0,1,0),0))</f>
        <v/>
      </c>
      <c r="L1334" s="16" t="str">
        <f aca="false">IF(B1334="","",IF(A1334=_xlfn.MAXIFS($A$2:$A$5001,$B$2:$B$5001,B1334,$I$2:$I$5001,I1334),1,0))</f>
        <v/>
      </c>
    </row>
    <row r="1335" customFormat="false" ht="15" hidden="false" customHeight="false" outlineLevel="0" collapsed="false">
      <c r="I1335" s="15" t="str">
        <f aca="false">IF(A1335="","",INT(A1335))</f>
        <v/>
      </c>
      <c r="J1335" s="16" t="str">
        <f aca="false">IF(B1335="","",IF(A1335=_xlfn.MINIFS($A$2:$A$5001,$B$2:$B$5001,B1335),1,0))</f>
        <v/>
      </c>
      <c r="K1335" s="16" t="str">
        <f aca="false">IF(B1335="","",IF(AND(D1335="Formalização",E1335="Concluído"),IF(COUNTIFS($B$2:$B$5001,B1335,$E$2:$E$5001,"Em ajustes",$A$2:$A$5001,"&lt;"&amp;I1335)&gt;0,1,0),0))</f>
        <v/>
      </c>
      <c r="L1335" s="16" t="str">
        <f aca="false">IF(B1335="","",IF(A1335=_xlfn.MAXIFS($A$2:$A$5001,$B$2:$B$5001,B1335,$I$2:$I$5001,I1335),1,0))</f>
        <v/>
      </c>
    </row>
    <row r="1336" customFormat="false" ht="15" hidden="false" customHeight="false" outlineLevel="0" collapsed="false">
      <c r="I1336" s="15" t="str">
        <f aca="false">IF(A1336="","",INT(A1336))</f>
        <v/>
      </c>
      <c r="J1336" s="16" t="str">
        <f aca="false">IF(B1336="","",IF(A1336=_xlfn.MINIFS($A$2:$A$5001,$B$2:$B$5001,B1336),1,0))</f>
        <v/>
      </c>
      <c r="K1336" s="16" t="str">
        <f aca="false">IF(B1336="","",IF(AND(D1336="Formalização",E1336="Concluído"),IF(COUNTIFS($B$2:$B$5001,B1336,$E$2:$E$5001,"Em ajustes",$A$2:$A$5001,"&lt;"&amp;I1336)&gt;0,1,0),0))</f>
        <v/>
      </c>
      <c r="L1336" s="16" t="str">
        <f aca="false">IF(B1336="","",IF(A1336=_xlfn.MAXIFS($A$2:$A$5001,$B$2:$B$5001,B1336,$I$2:$I$5001,I1336),1,0))</f>
        <v/>
      </c>
    </row>
    <row r="1337" customFormat="false" ht="15" hidden="false" customHeight="false" outlineLevel="0" collapsed="false">
      <c r="I1337" s="15" t="str">
        <f aca="false">IF(A1337="","",INT(A1337))</f>
        <v/>
      </c>
      <c r="J1337" s="16" t="str">
        <f aca="false">IF(B1337="","",IF(A1337=_xlfn.MINIFS($A$2:$A$5001,$B$2:$B$5001,B1337),1,0))</f>
        <v/>
      </c>
      <c r="K1337" s="16" t="str">
        <f aca="false">IF(B1337="","",IF(AND(D1337="Formalização",E1337="Concluído"),IF(COUNTIFS($B$2:$B$5001,B1337,$E$2:$E$5001,"Em ajustes",$A$2:$A$5001,"&lt;"&amp;I1337)&gt;0,1,0),0))</f>
        <v/>
      </c>
      <c r="L1337" s="16" t="str">
        <f aca="false">IF(B1337="","",IF(A1337=_xlfn.MAXIFS($A$2:$A$5001,$B$2:$B$5001,B1337,$I$2:$I$5001,I1337),1,0))</f>
        <v/>
      </c>
    </row>
    <row r="1338" customFormat="false" ht="15" hidden="false" customHeight="false" outlineLevel="0" collapsed="false">
      <c r="I1338" s="15" t="str">
        <f aca="false">IF(A1338="","",INT(A1338))</f>
        <v/>
      </c>
      <c r="J1338" s="16" t="str">
        <f aca="false">IF(B1338="","",IF(A1338=_xlfn.MINIFS($A$2:$A$5001,$B$2:$B$5001,B1338),1,0))</f>
        <v/>
      </c>
      <c r="K1338" s="16" t="str">
        <f aca="false">IF(B1338="","",IF(AND(D1338="Formalização",E1338="Concluído"),IF(COUNTIFS($B$2:$B$5001,B1338,$E$2:$E$5001,"Em ajustes",$A$2:$A$5001,"&lt;"&amp;I1338)&gt;0,1,0),0))</f>
        <v/>
      </c>
      <c r="L1338" s="16" t="str">
        <f aca="false">IF(B1338="","",IF(A1338=_xlfn.MAXIFS($A$2:$A$5001,$B$2:$B$5001,B1338,$I$2:$I$5001,I1338),1,0))</f>
        <v/>
      </c>
    </row>
    <row r="1339" customFormat="false" ht="15" hidden="false" customHeight="false" outlineLevel="0" collapsed="false">
      <c r="I1339" s="15" t="str">
        <f aca="false">IF(A1339="","",INT(A1339))</f>
        <v/>
      </c>
      <c r="J1339" s="16" t="str">
        <f aca="false">IF(B1339="","",IF(A1339=_xlfn.MINIFS($A$2:$A$5001,$B$2:$B$5001,B1339),1,0))</f>
        <v/>
      </c>
      <c r="K1339" s="16" t="str">
        <f aca="false">IF(B1339="","",IF(AND(D1339="Formalização",E1339="Concluído"),IF(COUNTIFS($B$2:$B$5001,B1339,$E$2:$E$5001,"Em ajustes",$A$2:$A$5001,"&lt;"&amp;I1339)&gt;0,1,0),0))</f>
        <v/>
      </c>
      <c r="L1339" s="16" t="str">
        <f aca="false">IF(B1339="","",IF(A1339=_xlfn.MAXIFS($A$2:$A$5001,$B$2:$B$5001,B1339,$I$2:$I$5001,I1339),1,0))</f>
        <v/>
      </c>
    </row>
    <row r="1340" customFormat="false" ht="15" hidden="false" customHeight="false" outlineLevel="0" collapsed="false">
      <c r="I1340" s="15" t="str">
        <f aca="false">IF(A1340="","",INT(A1340))</f>
        <v/>
      </c>
      <c r="J1340" s="16" t="str">
        <f aca="false">IF(B1340="","",IF(A1340=_xlfn.MINIFS($A$2:$A$5001,$B$2:$B$5001,B1340),1,0))</f>
        <v/>
      </c>
      <c r="K1340" s="16" t="str">
        <f aca="false">IF(B1340="","",IF(AND(D1340="Formalização",E1340="Concluído"),IF(COUNTIFS($B$2:$B$5001,B1340,$E$2:$E$5001,"Em ajustes",$A$2:$A$5001,"&lt;"&amp;I1340)&gt;0,1,0),0))</f>
        <v/>
      </c>
      <c r="L1340" s="16" t="str">
        <f aca="false">IF(B1340="","",IF(A1340=_xlfn.MAXIFS($A$2:$A$5001,$B$2:$B$5001,B1340,$I$2:$I$5001,I1340),1,0))</f>
        <v/>
      </c>
    </row>
    <row r="1341" customFormat="false" ht="15" hidden="false" customHeight="false" outlineLevel="0" collapsed="false">
      <c r="I1341" s="15" t="str">
        <f aca="false">IF(A1341="","",INT(A1341))</f>
        <v/>
      </c>
      <c r="J1341" s="16" t="str">
        <f aca="false">IF(B1341="","",IF(A1341=_xlfn.MINIFS($A$2:$A$5001,$B$2:$B$5001,B1341),1,0))</f>
        <v/>
      </c>
      <c r="K1341" s="16" t="str">
        <f aca="false">IF(B1341="","",IF(AND(D1341="Formalização",E1341="Concluído"),IF(COUNTIFS($B$2:$B$5001,B1341,$E$2:$E$5001,"Em ajustes",$A$2:$A$5001,"&lt;"&amp;I1341)&gt;0,1,0),0))</f>
        <v/>
      </c>
      <c r="L1341" s="16" t="str">
        <f aca="false">IF(B1341="","",IF(A1341=_xlfn.MAXIFS($A$2:$A$5001,$B$2:$B$5001,B1341,$I$2:$I$5001,I1341),1,0))</f>
        <v/>
      </c>
    </row>
    <row r="1342" customFormat="false" ht="15" hidden="false" customHeight="false" outlineLevel="0" collapsed="false">
      <c r="I1342" s="15" t="str">
        <f aca="false">IF(A1342="","",INT(A1342))</f>
        <v/>
      </c>
      <c r="J1342" s="16" t="str">
        <f aca="false">IF(B1342="","",IF(A1342=_xlfn.MINIFS($A$2:$A$5001,$B$2:$B$5001,B1342),1,0))</f>
        <v/>
      </c>
      <c r="K1342" s="16" t="str">
        <f aca="false">IF(B1342="","",IF(AND(D1342="Formalização",E1342="Concluído"),IF(COUNTIFS($B$2:$B$5001,B1342,$E$2:$E$5001,"Em ajustes",$A$2:$A$5001,"&lt;"&amp;I1342)&gt;0,1,0),0))</f>
        <v/>
      </c>
      <c r="L1342" s="16" t="str">
        <f aca="false">IF(B1342="","",IF(A1342=_xlfn.MAXIFS($A$2:$A$5001,$B$2:$B$5001,B1342,$I$2:$I$5001,I1342),1,0))</f>
        <v/>
      </c>
    </row>
    <row r="1343" customFormat="false" ht="15" hidden="false" customHeight="false" outlineLevel="0" collapsed="false">
      <c r="I1343" s="15" t="str">
        <f aca="false">IF(A1343="","",INT(A1343))</f>
        <v/>
      </c>
      <c r="J1343" s="16" t="str">
        <f aca="false">IF(B1343="","",IF(A1343=_xlfn.MINIFS($A$2:$A$5001,$B$2:$B$5001,B1343),1,0))</f>
        <v/>
      </c>
      <c r="K1343" s="16" t="str">
        <f aca="false">IF(B1343="","",IF(AND(D1343="Formalização",E1343="Concluído"),IF(COUNTIFS($B$2:$B$5001,B1343,$E$2:$E$5001,"Em ajustes",$A$2:$A$5001,"&lt;"&amp;I1343)&gt;0,1,0),0))</f>
        <v/>
      </c>
      <c r="L1343" s="16" t="str">
        <f aca="false">IF(B1343="","",IF(A1343=_xlfn.MAXIFS($A$2:$A$5001,$B$2:$B$5001,B1343,$I$2:$I$5001,I1343),1,0))</f>
        <v/>
      </c>
    </row>
    <row r="1344" customFormat="false" ht="15" hidden="false" customHeight="false" outlineLevel="0" collapsed="false">
      <c r="I1344" s="15" t="str">
        <f aca="false">IF(A1344="","",INT(A1344))</f>
        <v/>
      </c>
      <c r="J1344" s="16" t="str">
        <f aca="false">IF(B1344="","",IF(A1344=_xlfn.MINIFS($A$2:$A$5001,$B$2:$B$5001,B1344),1,0))</f>
        <v/>
      </c>
      <c r="K1344" s="16" t="str">
        <f aca="false">IF(B1344="","",IF(AND(D1344="Formalização",E1344="Concluído"),IF(COUNTIFS($B$2:$B$5001,B1344,$E$2:$E$5001,"Em ajustes",$A$2:$A$5001,"&lt;"&amp;I1344)&gt;0,1,0),0))</f>
        <v/>
      </c>
      <c r="L1344" s="16" t="str">
        <f aca="false">IF(B1344="","",IF(A1344=_xlfn.MAXIFS($A$2:$A$5001,$B$2:$B$5001,B1344,$I$2:$I$5001,I1344),1,0))</f>
        <v/>
      </c>
    </row>
    <row r="1345" customFormat="false" ht="15" hidden="false" customHeight="false" outlineLevel="0" collapsed="false">
      <c r="I1345" s="15" t="str">
        <f aca="false">IF(A1345="","",INT(A1345))</f>
        <v/>
      </c>
      <c r="J1345" s="16" t="str">
        <f aca="false">IF(B1345="","",IF(A1345=_xlfn.MINIFS($A$2:$A$5001,$B$2:$B$5001,B1345),1,0))</f>
        <v/>
      </c>
      <c r="K1345" s="16" t="str">
        <f aca="false">IF(B1345="","",IF(AND(D1345="Formalização",E1345="Concluído"),IF(COUNTIFS($B$2:$B$5001,B1345,$E$2:$E$5001,"Em ajustes",$A$2:$A$5001,"&lt;"&amp;I1345)&gt;0,1,0),0))</f>
        <v/>
      </c>
      <c r="L1345" s="16" t="str">
        <f aca="false">IF(B1345="","",IF(A1345=_xlfn.MAXIFS($A$2:$A$5001,$B$2:$B$5001,B1345,$I$2:$I$5001,I1345),1,0))</f>
        <v/>
      </c>
    </row>
    <row r="1346" customFormat="false" ht="15" hidden="false" customHeight="false" outlineLevel="0" collapsed="false">
      <c r="I1346" s="15" t="str">
        <f aca="false">IF(A1346="","",INT(A1346))</f>
        <v/>
      </c>
      <c r="J1346" s="16" t="str">
        <f aca="false">IF(B1346="","",IF(A1346=_xlfn.MINIFS($A$2:$A$5001,$B$2:$B$5001,B1346),1,0))</f>
        <v/>
      </c>
      <c r="K1346" s="16" t="str">
        <f aca="false">IF(B1346="","",IF(AND(D1346="Formalização",E1346="Concluído"),IF(COUNTIFS($B$2:$B$5001,B1346,$E$2:$E$5001,"Em ajustes",$A$2:$A$5001,"&lt;"&amp;I1346)&gt;0,1,0),0))</f>
        <v/>
      </c>
      <c r="L1346" s="16" t="str">
        <f aca="false">IF(B1346="","",IF(A1346=_xlfn.MAXIFS($A$2:$A$5001,$B$2:$B$5001,B1346,$I$2:$I$5001,I1346),1,0))</f>
        <v/>
      </c>
    </row>
    <row r="1347" customFormat="false" ht="15" hidden="false" customHeight="false" outlineLevel="0" collapsed="false">
      <c r="I1347" s="15" t="str">
        <f aca="false">IF(A1347="","",INT(A1347))</f>
        <v/>
      </c>
      <c r="J1347" s="16" t="str">
        <f aca="false">IF(B1347="","",IF(A1347=_xlfn.MINIFS($A$2:$A$5001,$B$2:$B$5001,B1347),1,0))</f>
        <v/>
      </c>
      <c r="K1347" s="16" t="str">
        <f aca="false">IF(B1347="","",IF(AND(D1347="Formalização",E1347="Concluído"),IF(COUNTIFS($B$2:$B$5001,B1347,$E$2:$E$5001,"Em ajustes",$A$2:$A$5001,"&lt;"&amp;I1347)&gt;0,1,0),0))</f>
        <v/>
      </c>
      <c r="L1347" s="16" t="str">
        <f aca="false">IF(B1347="","",IF(A1347=_xlfn.MAXIFS($A$2:$A$5001,$B$2:$B$5001,B1347,$I$2:$I$5001,I1347),1,0))</f>
        <v/>
      </c>
    </row>
    <row r="1348" customFormat="false" ht="15" hidden="false" customHeight="false" outlineLevel="0" collapsed="false">
      <c r="I1348" s="15" t="str">
        <f aca="false">IF(A1348="","",INT(A1348))</f>
        <v/>
      </c>
      <c r="J1348" s="16" t="str">
        <f aca="false">IF(B1348="","",IF(A1348=_xlfn.MINIFS($A$2:$A$5001,$B$2:$B$5001,B1348),1,0))</f>
        <v/>
      </c>
      <c r="K1348" s="16" t="str">
        <f aca="false">IF(B1348="","",IF(AND(D1348="Formalização",E1348="Concluído"),IF(COUNTIFS($B$2:$B$5001,B1348,$E$2:$E$5001,"Em ajustes",$A$2:$A$5001,"&lt;"&amp;I1348)&gt;0,1,0),0))</f>
        <v/>
      </c>
      <c r="L1348" s="16" t="str">
        <f aca="false">IF(B1348="","",IF(A1348=_xlfn.MAXIFS($A$2:$A$5001,$B$2:$B$5001,B1348,$I$2:$I$5001,I1348),1,0))</f>
        <v/>
      </c>
    </row>
    <row r="1349" customFormat="false" ht="15" hidden="false" customHeight="false" outlineLevel="0" collapsed="false">
      <c r="I1349" s="15" t="str">
        <f aca="false">IF(A1349="","",INT(A1349))</f>
        <v/>
      </c>
      <c r="J1349" s="16" t="str">
        <f aca="false">IF(B1349="","",IF(A1349=_xlfn.MINIFS($A$2:$A$5001,$B$2:$B$5001,B1349),1,0))</f>
        <v/>
      </c>
      <c r="K1349" s="16" t="str">
        <f aca="false">IF(B1349="","",IF(AND(D1349="Formalização",E1349="Concluído"),IF(COUNTIFS($B$2:$B$5001,B1349,$E$2:$E$5001,"Em ajustes",$A$2:$A$5001,"&lt;"&amp;I1349)&gt;0,1,0),0))</f>
        <v/>
      </c>
      <c r="L1349" s="16" t="str">
        <f aca="false">IF(B1349="","",IF(A1349=_xlfn.MAXIFS($A$2:$A$5001,$B$2:$B$5001,B1349,$I$2:$I$5001,I1349),1,0))</f>
        <v/>
      </c>
    </row>
    <row r="1350" customFormat="false" ht="15" hidden="false" customHeight="false" outlineLevel="0" collapsed="false">
      <c r="I1350" s="15" t="str">
        <f aca="false">IF(A1350="","",INT(A1350))</f>
        <v/>
      </c>
      <c r="J1350" s="16" t="str">
        <f aca="false">IF(B1350="","",IF(A1350=_xlfn.MINIFS($A$2:$A$5001,$B$2:$B$5001,B1350),1,0))</f>
        <v/>
      </c>
      <c r="K1350" s="16" t="str">
        <f aca="false">IF(B1350="","",IF(AND(D1350="Formalização",E1350="Concluído"),IF(COUNTIFS($B$2:$B$5001,B1350,$E$2:$E$5001,"Em ajustes",$A$2:$A$5001,"&lt;"&amp;I1350)&gt;0,1,0),0))</f>
        <v/>
      </c>
      <c r="L1350" s="16" t="str">
        <f aca="false">IF(B1350="","",IF(A1350=_xlfn.MAXIFS($A$2:$A$5001,$B$2:$B$5001,B1350,$I$2:$I$5001,I1350),1,0))</f>
        <v/>
      </c>
    </row>
    <row r="1351" customFormat="false" ht="15" hidden="false" customHeight="false" outlineLevel="0" collapsed="false">
      <c r="I1351" s="15" t="str">
        <f aca="false">IF(A1351="","",INT(A1351))</f>
        <v/>
      </c>
      <c r="J1351" s="16" t="str">
        <f aca="false">IF(B1351="","",IF(A1351=_xlfn.MINIFS($A$2:$A$5001,$B$2:$B$5001,B1351),1,0))</f>
        <v/>
      </c>
      <c r="K1351" s="16" t="str">
        <f aca="false">IF(B1351="","",IF(AND(D1351="Formalização",E1351="Concluído"),IF(COUNTIFS($B$2:$B$5001,B1351,$E$2:$E$5001,"Em ajustes",$A$2:$A$5001,"&lt;"&amp;I1351)&gt;0,1,0),0))</f>
        <v/>
      </c>
      <c r="L1351" s="16" t="str">
        <f aca="false">IF(B1351="","",IF(A1351=_xlfn.MAXIFS($A$2:$A$5001,$B$2:$B$5001,B1351,$I$2:$I$5001,I1351),1,0))</f>
        <v/>
      </c>
    </row>
    <row r="1352" customFormat="false" ht="15" hidden="false" customHeight="false" outlineLevel="0" collapsed="false">
      <c r="I1352" s="15" t="str">
        <f aca="false">IF(A1352="","",INT(A1352))</f>
        <v/>
      </c>
      <c r="J1352" s="16" t="str">
        <f aca="false">IF(B1352="","",IF(A1352=_xlfn.MINIFS($A$2:$A$5001,$B$2:$B$5001,B1352),1,0))</f>
        <v/>
      </c>
      <c r="K1352" s="16" t="str">
        <f aca="false">IF(B1352="","",IF(AND(D1352="Formalização",E1352="Concluído"),IF(COUNTIFS($B$2:$B$5001,B1352,$E$2:$E$5001,"Em ajustes",$A$2:$A$5001,"&lt;"&amp;I1352)&gt;0,1,0),0))</f>
        <v/>
      </c>
      <c r="L1352" s="16" t="str">
        <f aca="false">IF(B1352="","",IF(A1352=_xlfn.MAXIFS($A$2:$A$5001,$B$2:$B$5001,B1352,$I$2:$I$5001,I1352),1,0))</f>
        <v/>
      </c>
    </row>
    <row r="1353" customFormat="false" ht="15" hidden="false" customHeight="false" outlineLevel="0" collapsed="false">
      <c r="I1353" s="15" t="str">
        <f aca="false">IF(A1353="","",INT(A1353))</f>
        <v/>
      </c>
      <c r="J1353" s="16" t="str">
        <f aca="false">IF(B1353="","",IF(A1353=_xlfn.MINIFS($A$2:$A$5001,$B$2:$B$5001,B1353),1,0))</f>
        <v/>
      </c>
      <c r="K1353" s="16" t="str">
        <f aca="false">IF(B1353="","",IF(AND(D1353="Formalização",E1353="Concluído"),IF(COUNTIFS($B$2:$B$5001,B1353,$E$2:$E$5001,"Em ajustes",$A$2:$A$5001,"&lt;"&amp;I1353)&gt;0,1,0),0))</f>
        <v/>
      </c>
      <c r="L1353" s="16" t="str">
        <f aca="false">IF(B1353="","",IF(A1353=_xlfn.MAXIFS($A$2:$A$5001,$B$2:$B$5001,B1353,$I$2:$I$5001,I1353),1,0))</f>
        <v/>
      </c>
    </row>
    <row r="1354" customFormat="false" ht="15" hidden="false" customHeight="false" outlineLevel="0" collapsed="false">
      <c r="I1354" s="15" t="str">
        <f aca="false">IF(A1354="","",INT(A1354))</f>
        <v/>
      </c>
      <c r="J1354" s="16" t="str">
        <f aca="false">IF(B1354="","",IF(A1354=_xlfn.MINIFS($A$2:$A$5001,$B$2:$B$5001,B1354),1,0))</f>
        <v/>
      </c>
      <c r="K1354" s="16" t="str">
        <f aca="false">IF(B1354="","",IF(AND(D1354="Formalização",E1354="Concluído"),IF(COUNTIFS($B$2:$B$5001,B1354,$E$2:$E$5001,"Em ajustes",$A$2:$A$5001,"&lt;"&amp;I1354)&gt;0,1,0),0))</f>
        <v/>
      </c>
      <c r="L1354" s="16" t="str">
        <f aca="false">IF(B1354="","",IF(A1354=_xlfn.MAXIFS($A$2:$A$5001,$B$2:$B$5001,B1354,$I$2:$I$5001,I1354),1,0))</f>
        <v/>
      </c>
    </row>
    <row r="1355" customFormat="false" ht="15" hidden="false" customHeight="false" outlineLevel="0" collapsed="false">
      <c r="I1355" s="15" t="str">
        <f aca="false">IF(A1355="","",INT(A1355))</f>
        <v/>
      </c>
      <c r="J1355" s="16" t="str">
        <f aca="false">IF(B1355="","",IF(A1355=_xlfn.MINIFS($A$2:$A$5001,$B$2:$B$5001,B1355),1,0))</f>
        <v/>
      </c>
      <c r="K1355" s="16" t="str">
        <f aca="false">IF(B1355="","",IF(AND(D1355="Formalização",E1355="Concluído"),IF(COUNTIFS($B$2:$B$5001,B1355,$E$2:$E$5001,"Em ajustes",$A$2:$A$5001,"&lt;"&amp;I1355)&gt;0,1,0),0))</f>
        <v/>
      </c>
      <c r="L1355" s="16" t="str">
        <f aca="false">IF(B1355="","",IF(A1355=_xlfn.MAXIFS($A$2:$A$5001,$B$2:$B$5001,B1355,$I$2:$I$5001,I1355),1,0))</f>
        <v/>
      </c>
    </row>
    <row r="1356" customFormat="false" ht="15" hidden="false" customHeight="false" outlineLevel="0" collapsed="false">
      <c r="I1356" s="15" t="str">
        <f aca="false">IF(A1356="","",INT(A1356))</f>
        <v/>
      </c>
      <c r="J1356" s="16" t="str">
        <f aca="false">IF(B1356="","",IF(A1356=_xlfn.MINIFS($A$2:$A$5001,$B$2:$B$5001,B1356),1,0))</f>
        <v/>
      </c>
      <c r="K1356" s="16" t="str">
        <f aca="false">IF(B1356="","",IF(AND(D1356="Formalização",E1356="Concluído"),IF(COUNTIFS($B$2:$B$5001,B1356,$E$2:$E$5001,"Em ajustes",$A$2:$A$5001,"&lt;"&amp;I1356)&gt;0,1,0),0))</f>
        <v/>
      </c>
      <c r="L1356" s="16" t="str">
        <f aca="false">IF(B1356="","",IF(A1356=_xlfn.MAXIFS($A$2:$A$5001,$B$2:$B$5001,B1356,$I$2:$I$5001,I1356),1,0))</f>
        <v/>
      </c>
    </row>
    <row r="1357" customFormat="false" ht="15" hidden="false" customHeight="false" outlineLevel="0" collapsed="false">
      <c r="I1357" s="15" t="str">
        <f aca="false">IF(A1357="","",INT(A1357))</f>
        <v/>
      </c>
      <c r="J1357" s="16" t="str">
        <f aca="false">IF(B1357="","",IF(A1357=_xlfn.MINIFS($A$2:$A$5001,$B$2:$B$5001,B1357),1,0))</f>
        <v/>
      </c>
      <c r="K1357" s="16" t="str">
        <f aca="false">IF(B1357="","",IF(AND(D1357="Formalização",E1357="Concluído"),IF(COUNTIFS($B$2:$B$5001,B1357,$E$2:$E$5001,"Em ajustes",$A$2:$A$5001,"&lt;"&amp;I1357)&gt;0,1,0),0))</f>
        <v/>
      </c>
      <c r="L1357" s="16" t="str">
        <f aca="false">IF(B1357="","",IF(A1357=_xlfn.MAXIFS($A$2:$A$5001,$B$2:$B$5001,B1357,$I$2:$I$5001,I1357),1,0))</f>
        <v/>
      </c>
    </row>
    <row r="1358" customFormat="false" ht="15" hidden="false" customHeight="false" outlineLevel="0" collapsed="false">
      <c r="I1358" s="15" t="str">
        <f aca="false">IF(A1358="","",INT(A1358))</f>
        <v/>
      </c>
      <c r="J1358" s="16" t="str">
        <f aca="false">IF(B1358="","",IF(A1358=_xlfn.MINIFS($A$2:$A$5001,$B$2:$B$5001,B1358),1,0))</f>
        <v/>
      </c>
      <c r="K1358" s="16" t="str">
        <f aca="false">IF(B1358="","",IF(AND(D1358="Formalização",E1358="Concluído"),IF(COUNTIFS($B$2:$B$5001,B1358,$E$2:$E$5001,"Em ajustes",$A$2:$A$5001,"&lt;"&amp;I1358)&gt;0,1,0),0))</f>
        <v/>
      </c>
      <c r="L1358" s="16" t="str">
        <f aca="false">IF(B1358="","",IF(A1358=_xlfn.MAXIFS($A$2:$A$5001,$B$2:$B$5001,B1358,$I$2:$I$5001,I1358),1,0))</f>
        <v/>
      </c>
    </row>
    <row r="1359" customFormat="false" ht="15" hidden="false" customHeight="false" outlineLevel="0" collapsed="false">
      <c r="I1359" s="15" t="str">
        <f aca="false">IF(A1359="","",INT(A1359))</f>
        <v/>
      </c>
      <c r="J1359" s="16" t="str">
        <f aca="false">IF(B1359="","",IF(A1359=_xlfn.MINIFS($A$2:$A$5001,$B$2:$B$5001,B1359),1,0))</f>
        <v/>
      </c>
      <c r="K1359" s="16" t="str">
        <f aca="false">IF(B1359="","",IF(AND(D1359="Formalização",E1359="Concluído"),IF(COUNTIFS($B$2:$B$5001,B1359,$E$2:$E$5001,"Em ajustes",$A$2:$A$5001,"&lt;"&amp;I1359)&gt;0,1,0),0))</f>
        <v/>
      </c>
      <c r="L1359" s="16" t="str">
        <f aca="false">IF(B1359="","",IF(A1359=_xlfn.MAXIFS($A$2:$A$5001,$B$2:$B$5001,B1359,$I$2:$I$5001,I1359),1,0))</f>
        <v/>
      </c>
    </row>
    <row r="1360" customFormat="false" ht="15" hidden="false" customHeight="false" outlineLevel="0" collapsed="false">
      <c r="I1360" s="15" t="str">
        <f aca="false">IF(A1360="","",INT(A1360))</f>
        <v/>
      </c>
      <c r="J1360" s="16" t="str">
        <f aca="false">IF(B1360="","",IF(A1360=_xlfn.MINIFS($A$2:$A$5001,$B$2:$B$5001,B1360),1,0))</f>
        <v/>
      </c>
      <c r="K1360" s="16" t="str">
        <f aca="false">IF(B1360="","",IF(AND(D1360="Formalização",E1360="Concluído"),IF(COUNTIFS($B$2:$B$5001,B1360,$E$2:$E$5001,"Em ajustes",$A$2:$A$5001,"&lt;"&amp;I1360)&gt;0,1,0),0))</f>
        <v/>
      </c>
      <c r="L1360" s="16" t="str">
        <f aca="false">IF(B1360="","",IF(A1360=_xlfn.MAXIFS($A$2:$A$5001,$B$2:$B$5001,B1360,$I$2:$I$5001,I1360),1,0))</f>
        <v/>
      </c>
    </row>
    <row r="1361" customFormat="false" ht="15" hidden="false" customHeight="false" outlineLevel="0" collapsed="false">
      <c r="I1361" s="15" t="str">
        <f aca="false">IF(A1361="","",INT(A1361))</f>
        <v/>
      </c>
      <c r="J1361" s="16" t="str">
        <f aca="false">IF(B1361="","",IF(A1361=_xlfn.MINIFS($A$2:$A$5001,$B$2:$B$5001,B1361),1,0))</f>
        <v/>
      </c>
      <c r="K1361" s="16" t="str">
        <f aca="false">IF(B1361="","",IF(AND(D1361="Formalização",E1361="Concluído"),IF(COUNTIFS($B$2:$B$5001,B1361,$E$2:$E$5001,"Em ajustes",$A$2:$A$5001,"&lt;"&amp;I1361)&gt;0,1,0),0))</f>
        <v/>
      </c>
      <c r="L1361" s="16" t="str">
        <f aca="false">IF(B1361="","",IF(A1361=_xlfn.MAXIFS($A$2:$A$5001,$B$2:$B$5001,B1361,$I$2:$I$5001,I1361),1,0))</f>
        <v/>
      </c>
    </row>
    <row r="1362" customFormat="false" ht="15" hidden="false" customHeight="false" outlineLevel="0" collapsed="false">
      <c r="I1362" s="15" t="str">
        <f aca="false">IF(A1362="","",INT(A1362))</f>
        <v/>
      </c>
      <c r="J1362" s="16" t="str">
        <f aca="false">IF(B1362="","",IF(A1362=_xlfn.MINIFS($A$2:$A$5001,$B$2:$B$5001,B1362),1,0))</f>
        <v/>
      </c>
      <c r="K1362" s="16" t="str">
        <f aca="false">IF(B1362="","",IF(AND(D1362="Formalização",E1362="Concluído"),IF(COUNTIFS($B$2:$B$5001,B1362,$E$2:$E$5001,"Em ajustes",$A$2:$A$5001,"&lt;"&amp;I1362)&gt;0,1,0),0))</f>
        <v/>
      </c>
      <c r="L1362" s="16" t="str">
        <f aca="false">IF(B1362="","",IF(A1362=_xlfn.MAXIFS($A$2:$A$5001,$B$2:$B$5001,B1362,$I$2:$I$5001,I1362),1,0))</f>
        <v/>
      </c>
    </row>
    <row r="1363" customFormat="false" ht="15" hidden="false" customHeight="false" outlineLevel="0" collapsed="false">
      <c r="I1363" s="15" t="str">
        <f aca="false">IF(A1363="","",INT(A1363))</f>
        <v/>
      </c>
      <c r="J1363" s="16" t="str">
        <f aca="false">IF(B1363="","",IF(A1363=_xlfn.MINIFS($A$2:$A$5001,$B$2:$B$5001,B1363),1,0))</f>
        <v/>
      </c>
      <c r="K1363" s="16" t="str">
        <f aca="false">IF(B1363="","",IF(AND(D1363="Formalização",E1363="Concluído"),IF(COUNTIFS($B$2:$B$5001,B1363,$E$2:$E$5001,"Em ajustes",$A$2:$A$5001,"&lt;"&amp;I1363)&gt;0,1,0),0))</f>
        <v/>
      </c>
      <c r="L1363" s="16" t="str">
        <f aca="false">IF(B1363="","",IF(A1363=_xlfn.MAXIFS($A$2:$A$5001,$B$2:$B$5001,B1363,$I$2:$I$5001,I1363),1,0))</f>
        <v/>
      </c>
    </row>
    <row r="1364" customFormat="false" ht="15" hidden="false" customHeight="false" outlineLevel="0" collapsed="false">
      <c r="I1364" s="15" t="str">
        <f aca="false">IF(A1364="","",INT(A1364))</f>
        <v/>
      </c>
      <c r="J1364" s="16" t="str">
        <f aca="false">IF(B1364="","",IF(A1364=_xlfn.MINIFS($A$2:$A$5001,$B$2:$B$5001,B1364),1,0))</f>
        <v/>
      </c>
      <c r="K1364" s="16" t="str">
        <f aca="false">IF(B1364="","",IF(AND(D1364="Formalização",E1364="Concluído"),IF(COUNTIFS($B$2:$B$5001,B1364,$E$2:$E$5001,"Em ajustes",$A$2:$A$5001,"&lt;"&amp;I1364)&gt;0,1,0),0))</f>
        <v/>
      </c>
      <c r="L1364" s="16" t="str">
        <f aca="false">IF(B1364="","",IF(A1364=_xlfn.MAXIFS($A$2:$A$5001,$B$2:$B$5001,B1364,$I$2:$I$5001,I1364),1,0))</f>
        <v/>
      </c>
    </row>
    <row r="1365" customFormat="false" ht="15" hidden="false" customHeight="false" outlineLevel="0" collapsed="false">
      <c r="I1365" s="15" t="str">
        <f aca="false">IF(A1365="","",INT(A1365))</f>
        <v/>
      </c>
      <c r="J1365" s="16" t="str">
        <f aca="false">IF(B1365="","",IF(A1365=_xlfn.MINIFS($A$2:$A$5001,$B$2:$B$5001,B1365),1,0))</f>
        <v/>
      </c>
      <c r="K1365" s="16" t="str">
        <f aca="false">IF(B1365="","",IF(AND(D1365="Formalização",E1365="Concluído"),IF(COUNTIFS($B$2:$B$5001,B1365,$E$2:$E$5001,"Em ajustes",$A$2:$A$5001,"&lt;"&amp;I1365)&gt;0,1,0),0))</f>
        <v/>
      </c>
      <c r="L1365" s="16" t="str">
        <f aca="false">IF(B1365="","",IF(A1365=_xlfn.MAXIFS($A$2:$A$5001,$B$2:$B$5001,B1365,$I$2:$I$5001,I1365),1,0))</f>
        <v/>
      </c>
    </row>
    <row r="1366" customFormat="false" ht="15" hidden="false" customHeight="false" outlineLevel="0" collapsed="false">
      <c r="I1366" s="15" t="str">
        <f aca="false">IF(A1366="","",INT(A1366))</f>
        <v/>
      </c>
      <c r="J1366" s="16" t="str">
        <f aca="false">IF(B1366="","",IF(A1366=_xlfn.MINIFS($A$2:$A$5001,$B$2:$B$5001,B1366),1,0))</f>
        <v/>
      </c>
      <c r="K1366" s="16" t="str">
        <f aca="false">IF(B1366="","",IF(AND(D1366="Formalização",E1366="Concluído"),IF(COUNTIFS($B$2:$B$5001,B1366,$E$2:$E$5001,"Em ajustes",$A$2:$A$5001,"&lt;"&amp;I1366)&gt;0,1,0),0))</f>
        <v/>
      </c>
      <c r="L1366" s="16" t="str">
        <f aca="false">IF(B1366="","",IF(A1366=_xlfn.MAXIFS($A$2:$A$5001,$B$2:$B$5001,B1366,$I$2:$I$5001,I1366),1,0))</f>
        <v/>
      </c>
    </row>
    <row r="1367" customFormat="false" ht="15" hidden="false" customHeight="false" outlineLevel="0" collapsed="false">
      <c r="I1367" s="15" t="str">
        <f aca="false">IF(A1367="","",INT(A1367))</f>
        <v/>
      </c>
      <c r="J1367" s="16" t="str">
        <f aca="false">IF(B1367="","",IF(A1367=_xlfn.MINIFS($A$2:$A$5001,$B$2:$B$5001,B1367),1,0))</f>
        <v/>
      </c>
      <c r="K1367" s="16" t="str">
        <f aca="false">IF(B1367="","",IF(AND(D1367="Formalização",E1367="Concluído"),IF(COUNTIFS($B$2:$B$5001,B1367,$E$2:$E$5001,"Em ajustes",$A$2:$A$5001,"&lt;"&amp;I1367)&gt;0,1,0),0))</f>
        <v/>
      </c>
      <c r="L1367" s="16" t="str">
        <f aca="false">IF(B1367="","",IF(A1367=_xlfn.MAXIFS($A$2:$A$5001,$B$2:$B$5001,B1367,$I$2:$I$5001,I1367),1,0))</f>
        <v/>
      </c>
    </row>
    <row r="1368" customFormat="false" ht="15" hidden="false" customHeight="false" outlineLevel="0" collapsed="false">
      <c r="I1368" s="15" t="str">
        <f aca="false">IF(A1368="","",INT(A1368))</f>
        <v/>
      </c>
      <c r="J1368" s="16" t="str">
        <f aca="false">IF(B1368="","",IF(A1368=_xlfn.MINIFS($A$2:$A$5001,$B$2:$B$5001,B1368),1,0))</f>
        <v/>
      </c>
      <c r="K1368" s="16" t="str">
        <f aca="false">IF(B1368="","",IF(AND(D1368="Formalização",E1368="Concluído"),IF(COUNTIFS($B$2:$B$5001,B1368,$E$2:$E$5001,"Em ajustes",$A$2:$A$5001,"&lt;"&amp;I1368)&gt;0,1,0),0))</f>
        <v/>
      </c>
      <c r="L1368" s="16" t="str">
        <f aca="false">IF(B1368="","",IF(A1368=_xlfn.MAXIFS($A$2:$A$5001,$B$2:$B$5001,B1368,$I$2:$I$5001,I1368),1,0))</f>
        <v/>
      </c>
    </row>
    <row r="1369" customFormat="false" ht="15" hidden="false" customHeight="false" outlineLevel="0" collapsed="false">
      <c r="I1369" s="15" t="str">
        <f aca="false">IF(A1369="","",INT(A1369))</f>
        <v/>
      </c>
      <c r="J1369" s="16" t="str">
        <f aca="false">IF(B1369="","",IF(A1369=_xlfn.MINIFS($A$2:$A$5001,$B$2:$B$5001,B1369),1,0))</f>
        <v/>
      </c>
      <c r="K1369" s="16" t="str">
        <f aca="false">IF(B1369="","",IF(AND(D1369="Formalização",E1369="Concluído"),IF(COUNTIFS($B$2:$B$5001,B1369,$E$2:$E$5001,"Em ajustes",$A$2:$A$5001,"&lt;"&amp;I1369)&gt;0,1,0),0))</f>
        <v/>
      </c>
      <c r="L1369" s="16" t="str">
        <f aca="false">IF(B1369="","",IF(A1369=_xlfn.MAXIFS($A$2:$A$5001,$B$2:$B$5001,B1369,$I$2:$I$5001,I1369),1,0))</f>
        <v/>
      </c>
    </row>
    <row r="1370" customFormat="false" ht="15" hidden="false" customHeight="false" outlineLevel="0" collapsed="false">
      <c r="I1370" s="15" t="str">
        <f aca="false">IF(A1370="","",INT(A1370))</f>
        <v/>
      </c>
      <c r="J1370" s="16" t="str">
        <f aca="false">IF(B1370="","",IF(A1370=_xlfn.MINIFS($A$2:$A$5001,$B$2:$B$5001,B1370),1,0))</f>
        <v/>
      </c>
      <c r="K1370" s="16" t="str">
        <f aca="false">IF(B1370="","",IF(AND(D1370="Formalização",E1370="Concluído"),IF(COUNTIFS($B$2:$B$5001,B1370,$E$2:$E$5001,"Em ajustes",$A$2:$A$5001,"&lt;"&amp;I1370)&gt;0,1,0),0))</f>
        <v/>
      </c>
      <c r="L1370" s="16" t="str">
        <f aca="false">IF(B1370="","",IF(A1370=_xlfn.MAXIFS($A$2:$A$5001,$B$2:$B$5001,B1370,$I$2:$I$5001,I1370),1,0))</f>
        <v/>
      </c>
    </row>
    <row r="1371" customFormat="false" ht="15" hidden="false" customHeight="false" outlineLevel="0" collapsed="false">
      <c r="I1371" s="15" t="str">
        <f aca="false">IF(A1371="","",INT(A1371))</f>
        <v/>
      </c>
      <c r="J1371" s="16" t="str">
        <f aca="false">IF(B1371="","",IF(A1371=_xlfn.MINIFS($A$2:$A$5001,$B$2:$B$5001,B1371),1,0))</f>
        <v/>
      </c>
      <c r="K1371" s="16" t="str">
        <f aca="false">IF(B1371="","",IF(AND(D1371="Formalização",E1371="Concluído"),IF(COUNTIFS($B$2:$B$5001,B1371,$E$2:$E$5001,"Em ajustes",$A$2:$A$5001,"&lt;"&amp;I1371)&gt;0,1,0),0))</f>
        <v/>
      </c>
      <c r="L1371" s="16" t="str">
        <f aca="false">IF(B1371="","",IF(A1371=_xlfn.MAXIFS($A$2:$A$5001,$B$2:$B$5001,B1371,$I$2:$I$5001,I1371),1,0))</f>
        <v/>
      </c>
    </row>
    <row r="1372" customFormat="false" ht="15" hidden="false" customHeight="false" outlineLevel="0" collapsed="false">
      <c r="I1372" s="15" t="str">
        <f aca="false">IF(A1372="","",INT(A1372))</f>
        <v/>
      </c>
      <c r="J1372" s="16" t="str">
        <f aca="false">IF(B1372="","",IF(A1372=_xlfn.MINIFS($A$2:$A$5001,$B$2:$B$5001,B1372),1,0))</f>
        <v/>
      </c>
      <c r="K1372" s="16" t="str">
        <f aca="false">IF(B1372="","",IF(AND(D1372="Formalização",E1372="Concluído"),IF(COUNTIFS($B$2:$B$5001,B1372,$E$2:$E$5001,"Em ajustes",$A$2:$A$5001,"&lt;"&amp;I1372)&gt;0,1,0),0))</f>
        <v/>
      </c>
      <c r="L1372" s="16" t="str">
        <f aca="false">IF(B1372="","",IF(A1372=_xlfn.MAXIFS($A$2:$A$5001,$B$2:$B$5001,B1372,$I$2:$I$5001,I1372),1,0))</f>
        <v/>
      </c>
    </row>
    <row r="1373" customFormat="false" ht="15" hidden="false" customHeight="false" outlineLevel="0" collapsed="false">
      <c r="I1373" s="15" t="str">
        <f aca="false">IF(A1373="","",INT(A1373))</f>
        <v/>
      </c>
      <c r="J1373" s="16" t="str">
        <f aca="false">IF(B1373="","",IF(A1373=_xlfn.MINIFS($A$2:$A$5001,$B$2:$B$5001,B1373),1,0))</f>
        <v/>
      </c>
      <c r="K1373" s="16" t="str">
        <f aca="false">IF(B1373="","",IF(AND(D1373="Formalização",E1373="Concluído"),IF(COUNTIFS($B$2:$B$5001,B1373,$E$2:$E$5001,"Em ajustes",$A$2:$A$5001,"&lt;"&amp;I1373)&gt;0,1,0),0))</f>
        <v/>
      </c>
      <c r="L1373" s="16" t="str">
        <f aca="false">IF(B1373="","",IF(A1373=_xlfn.MAXIFS($A$2:$A$5001,$B$2:$B$5001,B1373,$I$2:$I$5001,I1373),1,0))</f>
        <v/>
      </c>
    </row>
    <row r="1374" customFormat="false" ht="15" hidden="false" customHeight="false" outlineLevel="0" collapsed="false">
      <c r="I1374" s="15" t="str">
        <f aca="false">IF(A1374="","",INT(A1374))</f>
        <v/>
      </c>
      <c r="J1374" s="16" t="str">
        <f aca="false">IF(B1374="","",IF(A1374=_xlfn.MINIFS($A$2:$A$5001,$B$2:$B$5001,B1374),1,0))</f>
        <v/>
      </c>
      <c r="K1374" s="16" t="str">
        <f aca="false">IF(B1374="","",IF(AND(D1374="Formalização",E1374="Concluído"),IF(COUNTIFS($B$2:$B$5001,B1374,$E$2:$E$5001,"Em ajustes",$A$2:$A$5001,"&lt;"&amp;I1374)&gt;0,1,0),0))</f>
        <v/>
      </c>
      <c r="L1374" s="16" t="str">
        <f aca="false">IF(B1374="","",IF(A1374=_xlfn.MAXIFS($A$2:$A$5001,$B$2:$B$5001,B1374,$I$2:$I$5001,I1374),1,0))</f>
        <v/>
      </c>
    </row>
    <row r="1375" customFormat="false" ht="15" hidden="false" customHeight="false" outlineLevel="0" collapsed="false">
      <c r="I1375" s="15" t="str">
        <f aca="false">IF(A1375="","",INT(A1375))</f>
        <v/>
      </c>
      <c r="J1375" s="16" t="str">
        <f aca="false">IF(B1375="","",IF(A1375=_xlfn.MINIFS($A$2:$A$5001,$B$2:$B$5001,B1375),1,0))</f>
        <v/>
      </c>
      <c r="K1375" s="16" t="str">
        <f aca="false">IF(B1375="","",IF(AND(D1375="Formalização",E1375="Concluído"),IF(COUNTIFS($B$2:$B$5001,B1375,$E$2:$E$5001,"Em ajustes",$A$2:$A$5001,"&lt;"&amp;I1375)&gt;0,1,0),0))</f>
        <v/>
      </c>
      <c r="L1375" s="16" t="str">
        <f aca="false">IF(B1375="","",IF(A1375=_xlfn.MAXIFS($A$2:$A$5001,$B$2:$B$5001,B1375,$I$2:$I$5001,I1375),1,0))</f>
        <v/>
      </c>
    </row>
    <row r="1376" customFormat="false" ht="15" hidden="false" customHeight="false" outlineLevel="0" collapsed="false">
      <c r="I1376" s="15" t="str">
        <f aca="false">IF(A1376="","",INT(A1376))</f>
        <v/>
      </c>
      <c r="J1376" s="16" t="str">
        <f aca="false">IF(B1376="","",IF(A1376=_xlfn.MINIFS($A$2:$A$5001,$B$2:$B$5001,B1376),1,0))</f>
        <v/>
      </c>
      <c r="K1376" s="16" t="str">
        <f aca="false">IF(B1376="","",IF(AND(D1376="Formalização",E1376="Concluído"),IF(COUNTIFS($B$2:$B$5001,B1376,$E$2:$E$5001,"Em ajustes",$A$2:$A$5001,"&lt;"&amp;I1376)&gt;0,1,0),0))</f>
        <v/>
      </c>
      <c r="L1376" s="16" t="str">
        <f aca="false">IF(B1376="","",IF(A1376=_xlfn.MAXIFS($A$2:$A$5001,$B$2:$B$5001,B1376,$I$2:$I$5001,I1376),1,0))</f>
        <v/>
      </c>
    </row>
    <row r="1377" customFormat="false" ht="15" hidden="false" customHeight="false" outlineLevel="0" collapsed="false">
      <c r="I1377" s="15" t="str">
        <f aca="false">IF(A1377="","",INT(A1377))</f>
        <v/>
      </c>
      <c r="J1377" s="16" t="str">
        <f aca="false">IF(B1377="","",IF(A1377=_xlfn.MINIFS($A$2:$A$5001,$B$2:$B$5001,B1377),1,0))</f>
        <v/>
      </c>
      <c r="K1377" s="16" t="str">
        <f aca="false">IF(B1377="","",IF(AND(D1377="Formalização",E1377="Concluído"),IF(COUNTIFS($B$2:$B$5001,B1377,$E$2:$E$5001,"Em ajustes",$A$2:$A$5001,"&lt;"&amp;I1377)&gt;0,1,0),0))</f>
        <v/>
      </c>
      <c r="L1377" s="16" t="str">
        <f aca="false">IF(B1377="","",IF(A1377=_xlfn.MAXIFS($A$2:$A$5001,$B$2:$B$5001,B1377,$I$2:$I$5001,I1377),1,0))</f>
        <v/>
      </c>
    </row>
    <row r="1378" customFormat="false" ht="15" hidden="false" customHeight="false" outlineLevel="0" collapsed="false">
      <c r="I1378" s="15" t="str">
        <f aca="false">IF(A1378="","",INT(A1378))</f>
        <v/>
      </c>
      <c r="J1378" s="16" t="str">
        <f aca="false">IF(B1378="","",IF(A1378=_xlfn.MINIFS($A$2:$A$5001,$B$2:$B$5001,B1378),1,0))</f>
        <v/>
      </c>
      <c r="K1378" s="16" t="str">
        <f aca="false">IF(B1378="","",IF(AND(D1378="Formalização",E1378="Concluído"),IF(COUNTIFS($B$2:$B$5001,B1378,$E$2:$E$5001,"Em ajustes",$A$2:$A$5001,"&lt;"&amp;I1378)&gt;0,1,0),0))</f>
        <v/>
      </c>
      <c r="L1378" s="16" t="str">
        <f aca="false">IF(B1378="","",IF(A1378=_xlfn.MAXIFS($A$2:$A$5001,$B$2:$B$5001,B1378,$I$2:$I$5001,I1378),1,0))</f>
        <v/>
      </c>
    </row>
    <row r="1379" customFormat="false" ht="15" hidden="false" customHeight="false" outlineLevel="0" collapsed="false">
      <c r="I1379" s="15" t="str">
        <f aca="false">IF(A1379="","",INT(A1379))</f>
        <v/>
      </c>
      <c r="J1379" s="16" t="str">
        <f aca="false">IF(B1379="","",IF(A1379=_xlfn.MINIFS($A$2:$A$5001,$B$2:$B$5001,B1379),1,0))</f>
        <v/>
      </c>
      <c r="K1379" s="16" t="str">
        <f aca="false">IF(B1379="","",IF(AND(D1379="Formalização",E1379="Concluído"),IF(COUNTIFS($B$2:$B$5001,B1379,$E$2:$E$5001,"Em ajustes",$A$2:$A$5001,"&lt;"&amp;I1379)&gt;0,1,0),0))</f>
        <v/>
      </c>
      <c r="L1379" s="16" t="str">
        <f aca="false">IF(B1379="","",IF(A1379=_xlfn.MAXIFS($A$2:$A$5001,$B$2:$B$5001,B1379,$I$2:$I$5001,I1379),1,0))</f>
        <v/>
      </c>
    </row>
    <row r="1380" customFormat="false" ht="15" hidden="false" customHeight="false" outlineLevel="0" collapsed="false">
      <c r="I1380" s="15" t="str">
        <f aca="false">IF(A1380="","",INT(A1380))</f>
        <v/>
      </c>
      <c r="J1380" s="16" t="str">
        <f aca="false">IF(B1380="","",IF(A1380=_xlfn.MINIFS($A$2:$A$5001,$B$2:$B$5001,B1380),1,0))</f>
        <v/>
      </c>
      <c r="K1380" s="16" t="str">
        <f aca="false">IF(B1380="","",IF(AND(D1380="Formalização",E1380="Concluído"),IF(COUNTIFS($B$2:$B$5001,B1380,$E$2:$E$5001,"Em ajustes",$A$2:$A$5001,"&lt;"&amp;I1380)&gt;0,1,0),0))</f>
        <v/>
      </c>
      <c r="L1380" s="16" t="str">
        <f aca="false">IF(B1380="","",IF(A1380=_xlfn.MAXIFS($A$2:$A$5001,$B$2:$B$5001,B1380,$I$2:$I$5001,I1380),1,0))</f>
        <v/>
      </c>
    </row>
    <row r="1381" customFormat="false" ht="15" hidden="false" customHeight="false" outlineLevel="0" collapsed="false">
      <c r="I1381" s="15" t="str">
        <f aca="false">IF(A1381="","",INT(A1381))</f>
        <v/>
      </c>
      <c r="J1381" s="16" t="str">
        <f aca="false">IF(B1381="","",IF(A1381=_xlfn.MINIFS($A$2:$A$5001,$B$2:$B$5001,B1381),1,0))</f>
        <v/>
      </c>
      <c r="K1381" s="16" t="str">
        <f aca="false">IF(B1381="","",IF(AND(D1381="Formalização",E1381="Concluído"),IF(COUNTIFS($B$2:$B$5001,B1381,$E$2:$E$5001,"Em ajustes",$A$2:$A$5001,"&lt;"&amp;I1381)&gt;0,1,0),0))</f>
        <v/>
      </c>
      <c r="L1381" s="16" t="str">
        <f aca="false">IF(B1381="","",IF(A1381=_xlfn.MAXIFS($A$2:$A$5001,$B$2:$B$5001,B1381,$I$2:$I$5001,I1381),1,0))</f>
        <v/>
      </c>
    </row>
    <row r="1382" customFormat="false" ht="15" hidden="false" customHeight="false" outlineLevel="0" collapsed="false">
      <c r="I1382" s="15" t="str">
        <f aca="false">IF(A1382="","",INT(A1382))</f>
        <v/>
      </c>
      <c r="J1382" s="16" t="str">
        <f aca="false">IF(B1382="","",IF(A1382=_xlfn.MINIFS($A$2:$A$5001,$B$2:$B$5001,B1382),1,0))</f>
        <v/>
      </c>
      <c r="K1382" s="16" t="str">
        <f aca="false">IF(B1382="","",IF(AND(D1382="Formalização",E1382="Concluído"),IF(COUNTIFS($B$2:$B$5001,B1382,$E$2:$E$5001,"Em ajustes",$A$2:$A$5001,"&lt;"&amp;I1382)&gt;0,1,0),0))</f>
        <v/>
      </c>
      <c r="L1382" s="16" t="str">
        <f aca="false">IF(B1382="","",IF(A1382=_xlfn.MAXIFS($A$2:$A$5001,$B$2:$B$5001,B1382,$I$2:$I$5001,I1382),1,0))</f>
        <v/>
      </c>
    </row>
    <row r="1383" customFormat="false" ht="15" hidden="false" customHeight="false" outlineLevel="0" collapsed="false">
      <c r="I1383" s="15" t="str">
        <f aca="false">IF(A1383="","",INT(A1383))</f>
        <v/>
      </c>
      <c r="J1383" s="16" t="str">
        <f aca="false">IF(B1383="","",IF(A1383=_xlfn.MINIFS($A$2:$A$5001,$B$2:$B$5001,B1383),1,0))</f>
        <v/>
      </c>
      <c r="K1383" s="16" t="str">
        <f aca="false">IF(B1383="","",IF(AND(D1383="Formalização",E1383="Concluído"),IF(COUNTIFS($B$2:$B$5001,B1383,$E$2:$E$5001,"Em ajustes",$A$2:$A$5001,"&lt;"&amp;I1383)&gt;0,1,0),0))</f>
        <v/>
      </c>
      <c r="L1383" s="16" t="str">
        <f aca="false">IF(B1383="","",IF(A1383=_xlfn.MAXIFS($A$2:$A$5001,$B$2:$B$5001,B1383,$I$2:$I$5001,I1383),1,0))</f>
        <v/>
      </c>
    </row>
    <row r="1384" customFormat="false" ht="15" hidden="false" customHeight="false" outlineLevel="0" collapsed="false">
      <c r="I1384" s="15" t="str">
        <f aca="false">IF(A1384="","",INT(A1384))</f>
        <v/>
      </c>
      <c r="J1384" s="16" t="str">
        <f aca="false">IF(B1384="","",IF(A1384=_xlfn.MINIFS($A$2:$A$5001,$B$2:$B$5001,B1384),1,0))</f>
        <v/>
      </c>
      <c r="K1384" s="16" t="str">
        <f aca="false">IF(B1384="","",IF(AND(D1384="Formalização",E1384="Concluído"),IF(COUNTIFS($B$2:$B$5001,B1384,$E$2:$E$5001,"Em ajustes",$A$2:$A$5001,"&lt;"&amp;I1384)&gt;0,1,0),0))</f>
        <v/>
      </c>
      <c r="L1384" s="16" t="str">
        <f aca="false">IF(B1384="","",IF(A1384=_xlfn.MAXIFS($A$2:$A$5001,$B$2:$B$5001,B1384,$I$2:$I$5001,I1384),1,0))</f>
        <v/>
      </c>
    </row>
    <row r="1385" customFormat="false" ht="15" hidden="false" customHeight="false" outlineLevel="0" collapsed="false">
      <c r="I1385" s="15" t="str">
        <f aca="false">IF(A1385="","",INT(A1385))</f>
        <v/>
      </c>
      <c r="J1385" s="16" t="str">
        <f aca="false">IF(B1385="","",IF(A1385=_xlfn.MINIFS($A$2:$A$5001,$B$2:$B$5001,B1385),1,0))</f>
        <v/>
      </c>
      <c r="K1385" s="16" t="str">
        <f aca="false">IF(B1385="","",IF(AND(D1385="Formalização",E1385="Concluído"),IF(COUNTIFS($B$2:$B$5001,B1385,$E$2:$E$5001,"Em ajustes",$A$2:$A$5001,"&lt;"&amp;I1385)&gt;0,1,0),0))</f>
        <v/>
      </c>
      <c r="L1385" s="16" t="str">
        <f aca="false">IF(B1385="","",IF(A1385=_xlfn.MAXIFS($A$2:$A$5001,$B$2:$B$5001,B1385,$I$2:$I$5001,I1385),1,0))</f>
        <v/>
      </c>
    </row>
    <row r="1386" customFormat="false" ht="15" hidden="false" customHeight="false" outlineLevel="0" collapsed="false">
      <c r="I1386" s="15" t="str">
        <f aca="false">IF(A1386="","",INT(A1386))</f>
        <v/>
      </c>
      <c r="J1386" s="16" t="str">
        <f aca="false">IF(B1386="","",IF(A1386=_xlfn.MINIFS($A$2:$A$5001,$B$2:$B$5001,B1386),1,0))</f>
        <v/>
      </c>
      <c r="K1386" s="16" t="str">
        <f aca="false">IF(B1386="","",IF(AND(D1386="Formalização",E1386="Concluído"),IF(COUNTIFS($B$2:$B$5001,B1386,$E$2:$E$5001,"Em ajustes",$A$2:$A$5001,"&lt;"&amp;I1386)&gt;0,1,0),0))</f>
        <v/>
      </c>
      <c r="L1386" s="16" t="str">
        <f aca="false">IF(B1386="","",IF(A1386=_xlfn.MAXIFS($A$2:$A$5001,$B$2:$B$5001,B1386,$I$2:$I$5001,I1386),1,0))</f>
        <v/>
      </c>
    </row>
    <row r="1387" customFormat="false" ht="15" hidden="false" customHeight="false" outlineLevel="0" collapsed="false">
      <c r="I1387" s="15" t="str">
        <f aca="false">IF(A1387="","",INT(A1387))</f>
        <v/>
      </c>
      <c r="J1387" s="16" t="str">
        <f aca="false">IF(B1387="","",IF(A1387=_xlfn.MINIFS($A$2:$A$5001,$B$2:$B$5001,B1387),1,0))</f>
        <v/>
      </c>
      <c r="K1387" s="16" t="str">
        <f aca="false">IF(B1387="","",IF(AND(D1387="Formalização",E1387="Concluído"),IF(COUNTIFS($B$2:$B$5001,B1387,$E$2:$E$5001,"Em ajustes",$A$2:$A$5001,"&lt;"&amp;I1387)&gt;0,1,0),0))</f>
        <v/>
      </c>
      <c r="L1387" s="16" t="str">
        <f aca="false">IF(B1387="","",IF(A1387=_xlfn.MAXIFS($A$2:$A$5001,$B$2:$B$5001,B1387,$I$2:$I$5001,I1387),1,0))</f>
        <v/>
      </c>
    </row>
    <row r="1388" customFormat="false" ht="15" hidden="false" customHeight="false" outlineLevel="0" collapsed="false">
      <c r="I1388" s="15" t="str">
        <f aca="false">IF(A1388="","",INT(A1388))</f>
        <v/>
      </c>
      <c r="J1388" s="16" t="str">
        <f aca="false">IF(B1388="","",IF(A1388=_xlfn.MINIFS($A$2:$A$5001,$B$2:$B$5001,B1388),1,0))</f>
        <v/>
      </c>
      <c r="K1388" s="16" t="str">
        <f aca="false">IF(B1388="","",IF(AND(D1388="Formalização",E1388="Concluído"),IF(COUNTIFS($B$2:$B$5001,B1388,$E$2:$E$5001,"Em ajustes",$A$2:$A$5001,"&lt;"&amp;I1388)&gt;0,1,0),0))</f>
        <v/>
      </c>
      <c r="L1388" s="16" t="str">
        <f aca="false">IF(B1388="","",IF(A1388=_xlfn.MAXIFS($A$2:$A$5001,$B$2:$B$5001,B1388,$I$2:$I$5001,I1388),1,0))</f>
        <v/>
      </c>
    </row>
    <row r="1389" customFormat="false" ht="15" hidden="false" customHeight="false" outlineLevel="0" collapsed="false">
      <c r="I1389" s="15" t="str">
        <f aca="false">IF(A1389="","",INT(A1389))</f>
        <v/>
      </c>
      <c r="J1389" s="16" t="str">
        <f aca="false">IF(B1389="","",IF(A1389=_xlfn.MINIFS($A$2:$A$5001,$B$2:$B$5001,B1389),1,0))</f>
        <v/>
      </c>
      <c r="K1389" s="16" t="str">
        <f aca="false">IF(B1389="","",IF(AND(D1389="Formalização",E1389="Concluído"),IF(COUNTIFS($B$2:$B$5001,B1389,$E$2:$E$5001,"Em ajustes",$A$2:$A$5001,"&lt;"&amp;I1389)&gt;0,1,0),0))</f>
        <v/>
      </c>
      <c r="L1389" s="16" t="str">
        <f aca="false">IF(B1389="","",IF(A1389=_xlfn.MAXIFS($A$2:$A$5001,$B$2:$B$5001,B1389,$I$2:$I$5001,I1389),1,0))</f>
        <v/>
      </c>
    </row>
    <row r="1390" customFormat="false" ht="15" hidden="false" customHeight="false" outlineLevel="0" collapsed="false">
      <c r="I1390" s="15" t="str">
        <f aca="false">IF(A1390="","",INT(A1390))</f>
        <v/>
      </c>
      <c r="J1390" s="16" t="str">
        <f aca="false">IF(B1390="","",IF(A1390=_xlfn.MINIFS($A$2:$A$5001,$B$2:$B$5001,B1390),1,0))</f>
        <v/>
      </c>
      <c r="K1390" s="16" t="str">
        <f aca="false">IF(B1390="","",IF(AND(D1390="Formalização",E1390="Concluído"),IF(COUNTIFS($B$2:$B$5001,B1390,$E$2:$E$5001,"Em ajustes",$A$2:$A$5001,"&lt;"&amp;I1390)&gt;0,1,0),0))</f>
        <v/>
      </c>
      <c r="L1390" s="16" t="str">
        <f aca="false">IF(B1390="","",IF(A1390=_xlfn.MAXIFS($A$2:$A$5001,$B$2:$B$5001,B1390,$I$2:$I$5001,I1390),1,0))</f>
        <v/>
      </c>
    </row>
    <row r="1391" customFormat="false" ht="15" hidden="false" customHeight="false" outlineLevel="0" collapsed="false">
      <c r="I1391" s="15" t="str">
        <f aca="false">IF(A1391="","",INT(A1391))</f>
        <v/>
      </c>
      <c r="J1391" s="16" t="str">
        <f aca="false">IF(B1391="","",IF(A1391=_xlfn.MINIFS($A$2:$A$5001,$B$2:$B$5001,B1391),1,0))</f>
        <v/>
      </c>
      <c r="K1391" s="16" t="str">
        <f aca="false">IF(B1391="","",IF(AND(D1391="Formalização",E1391="Concluído"),IF(COUNTIFS($B$2:$B$5001,B1391,$E$2:$E$5001,"Em ajustes",$A$2:$A$5001,"&lt;"&amp;I1391)&gt;0,1,0),0))</f>
        <v/>
      </c>
      <c r="L1391" s="16" t="str">
        <f aca="false">IF(B1391="","",IF(A1391=_xlfn.MAXIFS($A$2:$A$5001,$B$2:$B$5001,B1391,$I$2:$I$5001,I1391),1,0))</f>
        <v/>
      </c>
    </row>
    <row r="1392" customFormat="false" ht="15" hidden="false" customHeight="false" outlineLevel="0" collapsed="false">
      <c r="I1392" s="15" t="str">
        <f aca="false">IF(A1392="","",INT(A1392))</f>
        <v/>
      </c>
      <c r="J1392" s="16" t="str">
        <f aca="false">IF(B1392="","",IF(A1392=_xlfn.MINIFS($A$2:$A$5001,$B$2:$B$5001,B1392),1,0))</f>
        <v/>
      </c>
      <c r="K1392" s="16" t="str">
        <f aca="false">IF(B1392="","",IF(AND(D1392="Formalização",E1392="Concluído"),IF(COUNTIFS($B$2:$B$5001,B1392,$E$2:$E$5001,"Em ajustes",$A$2:$A$5001,"&lt;"&amp;I1392)&gt;0,1,0),0))</f>
        <v/>
      </c>
      <c r="L1392" s="16" t="str">
        <f aca="false">IF(B1392="","",IF(A1392=_xlfn.MAXIFS($A$2:$A$5001,$B$2:$B$5001,B1392,$I$2:$I$5001,I1392),1,0))</f>
        <v/>
      </c>
    </row>
    <row r="1393" customFormat="false" ht="15" hidden="false" customHeight="false" outlineLevel="0" collapsed="false">
      <c r="I1393" s="15" t="str">
        <f aca="false">IF(A1393="","",INT(A1393))</f>
        <v/>
      </c>
      <c r="J1393" s="16" t="str">
        <f aca="false">IF(B1393="","",IF(A1393=_xlfn.MINIFS($A$2:$A$5001,$B$2:$B$5001,B1393),1,0))</f>
        <v/>
      </c>
      <c r="K1393" s="16" t="str">
        <f aca="false">IF(B1393="","",IF(AND(D1393="Formalização",E1393="Concluído"),IF(COUNTIFS($B$2:$B$5001,B1393,$E$2:$E$5001,"Em ajustes",$A$2:$A$5001,"&lt;"&amp;I1393)&gt;0,1,0),0))</f>
        <v/>
      </c>
      <c r="L1393" s="16" t="str">
        <f aca="false">IF(B1393="","",IF(A1393=_xlfn.MAXIFS($A$2:$A$5001,$B$2:$B$5001,B1393,$I$2:$I$5001,I1393),1,0))</f>
        <v/>
      </c>
    </row>
    <row r="1394" customFormat="false" ht="15" hidden="false" customHeight="false" outlineLevel="0" collapsed="false">
      <c r="I1394" s="15" t="str">
        <f aca="false">IF(A1394="","",INT(A1394))</f>
        <v/>
      </c>
      <c r="J1394" s="16" t="str">
        <f aca="false">IF(B1394="","",IF(A1394=_xlfn.MINIFS($A$2:$A$5001,$B$2:$B$5001,B1394),1,0))</f>
        <v/>
      </c>
      <c r="K1394" s="16" t="str">
        <f aca="false">IF(B1394="","",IF(AND(D1394="Formalização",E1394="Concluído"),IF(COUNTIFS($B$2:$B$5001,B1394,$E$2:$E$5001,"Em ajustes",$A$2:$A$5001,"&lt;"&amp;I1394)&gt;0,1,0),0))</f>
        <v/>
      </c>
      <c r="L1394" s="16" t="str">
        <f aca="false">IF(B1394="","",IF(A1394=_xlfn.MAXIFS($A$2:$A$5001,$B$2:$B$5001,B1394,$I$2:$I$5001,I1394),1,0))</f>
        <v/>
      </c>
    </row>
    <row r="1395" customFormat="false" ht="15" hidden="false" customHeight="false" outlineLevel="0" collapsed="false">
      <c r="I1395" s="15" t="str">
        <f aca="false">IF(A1395="","",INT(A1395))</f>
        <v/>
      </c>
      <c r="J1395" s="16" t="str">
        <f aca="false">IF(B1395="","",IF(A1395=_xlfn.MINIFS($A$2:$A$5001,$B$2:$B$5001,B1395),1,0))</f>
        <v/>
      </c>
      <c r="K1395" s="16" t="str">
        <f aca="false">IF(B1395="","",IF(AND(D1395="Formalização",E1395="Concluído"),IF(COUNTIFS($B$2:$B$5001,B1395,$E$2:$E$5001,"Em ajustes",$A$2:$A$5001,"&lt;"&amp;I1395)&gt;0,1,0),0))</f>
        <v/>
      </c>
      <c r="L1395" s="16" t="str">
        <f aca="false">IF(B1395="","",IF(A1395=_xlfn.MAXIFS($A$2:$A$5001,$B$2:$B$5001,B1395,$I$2:$I$5001,I1395),1,0))</f>
        <v/>
      </c>
    </row>
    <row r="1396" customFormat="false" ht="15" hidden="false" customHeight="false" outlineLevel="0" collapsed="false">
      <c r="I1396" s="15" t="str">
        <f aca="false">IF(A1396="","",INT(A1396))</f>
        <v/>
      </c>
      <c r="J1396" s="16" t="str">
        <f aca="false">IF(B1396="","",IF(A1396=_xlfn.MINIFS($A$2:$A$5001,$B$2:$B$5001,B1396),1,0))</f>
        <v/>
      </c>
      <c r="K1396" s="16" t="str">
        <f aca="false">IF(B1396="","",IF(AND(D1396="Formalização",E1396="Concluído"),IF(COUNTIFS($B$2:$B$5001,B1396,$E$2:$E$5001,"Em ajustes",$A$2:$A$5001,"&lt;"&amp;I1396)&gt;0,1,0),0))</f>
        <v/>
      </c>
      <c r="L1396" s="16" t="str">
        <f aca="false">IF(B1396="","",IF(A1396=_xlfn.MAXIFS($A$2:$A$5001,$B$2:$B$5001,B1396,$I$2:$I$5001,I1396),1,0))</f>
        <v/>
      </c>
    </row>
    <row r="1397" customFormat="false" ht="15" hidden="false" customHeight="false" outlineLevel="0" collapsed="false">
      <c r="I1397" s="15" t="str">
        <f aca="false">IF(A1397="","",INT(A1397))</f>
        <v/>
      </c>
      <c r="J1397" s="16" t="str">
        <f aca="false">IF(B1397="","",IF(A1397=_xlfn.MINIFS($A$2:$A$5001,$B$2:$B$5001,B1397),1,0))</f>
        <v/>
      </c>
      <c r="K1397" s="16" t="str">
        <f aca="false">IF(B1397="","",IF(AND(D1397="Formalização",E1397="Concluído"),IF(COUNTIFS($B$2:$B$5001,B1397,$E$2:$E$5001,"Em ajustes",$A$2:$A$5001,"&lt;"&amp;I1397)&gt;0,1,0),0))</f>
        <v/>
      </c>
      <c r="L1397" s="16" t="str">
        <f aca="false">IF(B1397="","",IF(A1397=_xlfn.MAXIFS($A$2:$A$5001,$B$2:$B$5001,B1397,$I$2:$I$5001,I1397),1,0))</f>
        <v/>
      </c>
    </row>
    <row r="1398" customFormat="false" ht="15" hidden="false" customHeight="false" outlineLevel="0" collapsed="false">
      <c r="I1398" s="15" t="str">
        <f aca="false">IF(A1398="","",INT(A1398))</f>
        <v/>
      </c>
      <c r="J1398" s="16" t="str">
        <f aca="false">IF(B1398="","",IF(A1398=_xlfn.MINIFS($A$2:$A$5001,$B$2:$B$5001,B1398),1,0))</f>
        <v/>
      </c>
      <c r="K1398" s="16" t="str">
        <f aca="false">IF(B1398="","",IF(AND(D1398="Formalização",E1398="Concluído"),IF(COUNTIFS($B$2:$B$5001,B1398,$E$2:$E$5001,"Em ajustes",$A$2:$A$5001,"&lt;"&amp;I1398)&gt;0,1,0),0))</f>
        <v/>
      </c>
      <c r="L1398" s="16" t="str">
        <f aca="false">IF(B1398="","",IF(A1398=_xlfn.MAXIFS($A$2:$A$5001,$B$2:$B$5001,B1398,$I$2:$I$5001,I1398),1,0))</f>
        <v/>
      </c>
    </row>
    <row r="1399" customFormat="false" ht="15" hidden="false" customHeight="false" outlineLevel="0" collapsed="false">
      <c r="I1399" s="15" t="str">
        <f aca="false">IF(A1399="","",INT(A1399))</f>
        <v/>
      </c>
      <c r="J1399" s="16" t="str">
        <f aca="false">IF(B1399="","",IF(A1399=_xlfn.MINIFS($A$2:$A$5001,$B$2:$B$5001,B1399),1,0))</f>
        <v/>
      </c>
      <c r="K1399" s="16" t="str">
        <f aca="false">IF(B1399="","",IF(AND(D1399="Formalização",E1399="Concluído"),IF(COUNTIFS($B$2:$B$5001,B1399,$E$2:$E$5001,"Em ajustes",$A$2:$A$5001,"&lt;"&amp;I1399)&gt;0,1,0),0))</f>
        <v/>
      </c>
      <c r="L1399" s="16" t="str">
        <f aca="false">IF(B1399="","",IF(A1399=_xlfn.MAXIFS($A$2:$A$5001,$B$2:$B$5001,B1399,$I$2:$I$5001,I1399),1,0))</f>
        <v/>
      </c>
    </row>
    <row r="1400" customFormat="false" ht="15" hidden="false" customHeight="false" outlineLevel="0" collapsed="false">
      <c r="I1400" s="15" t="str">
        <f aca="false">IF(A1400="","",INT(A1400))</f>
        <v/>
      </c>
      <c r="J1400" s="16" t="str">
        <f aca="false">IF(B1400="","",IF(A1400=_xlfn.MINIFS($A$2:$A$5001,$B$2:$B$5001,B1400),1,0))</f>
        <v/>
      </c>
      <c r="K1400" s="16" t="str">
        <f aca="false">IF(B1400="","",IF(AND(D1400="Formalização",E1400="Concluído"),IF(COUNTIFS($B$2:$B$5001,B1400,$E$2:$E$5001,"Em ajustes",$A$2:$A$5001,"&lt;"&amp;I1400)&gt;0,1,0),0))</f>
        <v/>
      </c>
      <c r="L1400" s="16" t="str">
        <f aca="false">IF(B1400="","",IF(A1400=_xlfn.MAXIFS($A$2:$A$5001,$B$2:$B$5001,B1400,$I$2:$I$5001,I1400),1,0))</f>
        <v/>
      </c>
    </row>
    <row r="1401" customFormat="false" ht="15" hidden="false" customHeight="false" outlineLevel="0" collapsed="false">
      <c r="I1401" s="15" t="str">
        <f aca="false">IF(A1401="","",INT(A1401))</f>
        <v/>
      </c>
      <c r="J1401" s="16" t="str">
        <f aca="false">IF(B1401="","",IF(A1401=_xlfn.MINIFS($A$2:$A$5001,$B$2:$B$5001,B1401),1,0))</f>
        <v/>
      </c>
      <c r="K1401" s="16" t="str">
        <f aca="false">IF(B1401="","",IF(AND(D1401="Formalização",E1401="Concluído"),IF(COUNTIFS($B$2:$B$5001,B1401,$E$2:$E$5001,"Em ajustes",$A$2:$A$5001,"&lt;"&amp;I1401)&gt;0,1,0),0))</f>
        <v/>
      </c>
      <c r="L1401" s="16" t="str">
        <f aca="false">IF(B1401="","",IF(A1401=_xlfn.MAXIFS($A$2:$A$5001,$B$2:$B$5001,B1401,$I$2:$I$5001,I1401),1,0))</f>
        <v/>
      </c>
    </row>
    <row r="1402" customFormat="false" ht="15" hidden="false" customHeight="false" outlineLevel="0" collapsed="false">
      <c r="I1402" s="15" t="str">
        <f aca="false">IF(A1402="","",INT(A1402))</f>
        <v/>
      </c>
      <c r="J1402" s="16" t="str">
        <f aca="false">IF(B1402="","",IF(A1402=_xlfn.MINIFS($A$2:$A$5001,$B$2:$B$5001,B1402),1,0))</f>
        <v/>
      </c>
      <c r="K1402" s="16" t="str">
        <f aca="false">IF(B1402="","",IF(AND(D1402="Formalização",E1402="Concluído"),IF(COUNTIFS($B$2:$B$5001,B1402,$E$2:$E$5001,"Em ajustes",$A$2:$A$5001,"&lt;"&amp;I1402)&gt;0,1,0),0))</f>
        <v/>
      </c>
      <c r="L1402" s="16" t="str">
        <f aca="false">IF(B1402="","",IF(A1402=_xlfn.MAXIFS($A$2:$A$5001,$B$2:$B$5001,B1402,$I$2:$I$5001,I1402),1,0))</f>
        <v/>
      </c>
    </row>
    <row r="1403" customFormat="false" ht="15" hidden="false" customHeight="false" outlineLevel="0" collapsed="false">
      <c r="I1403" s="15" t="str">
        <f aca="false">IF(A1403="","",INT(A1403))</f>
        <v/>
      </c>
      <c r="J1403" s="16" t="str">
        <f aca="false">IF(B1403="","",IF(A1403=_xlfn.MINIFS($A$2:$A$5001,$B$2:$B$5001,B1403),1,0))</f>
        <v/>
      </c>
      <c r="K1403" s="16" t="str">
        <f aca="false">IF(B1403="","",IF(AND(D1403="Formalização",E1403="Concluído"),IF(COUNTIFS($B$2:$B$5001,B1403,$E$2:$E$5001,"Em ajustes",$A$2:$A$5001,"&lt;"&amp;I1403)&gt;0,1,0),0))</f>
        <v/>
      </c>
      <c r="L1403" s="16" t="str">
        <f aca="false">IF(B1403="","",IF(A1403=_xlfn.MAXIFS($A$2:$A$5001,$B$2:$B$5001,B1403,$I$2:$I$5001,I1403),1,0))</f>
        <v/>
      </c>
    </row>
    <row r="1404" customFormat="false" ht="15" hidden="false" customHeight="false" outlineLevel="0" collapsed="false">
      <c r="I1404" s="15" t="str">
        <f aca="false">IF(A1404="","",INT(A1404))</f>
        <v/>
      </c>
      <c r="J1404" s="16" t="str">
        <f aca="false">IF(B1404="","",IF(A1404=_xlfn.MINIFS($A$2:$A$5001,$B$2:$B$5001,B1404),1,0))</f>
        <v/>
      </c>
      <c r="K1404" s="16" t="str">
        <f aca="false">IF(B1404="","",IF(AND(D1404="Formalização",E1404="Concluído"),IF(COUNTIFS($B$2:$B$5001,B1404,$E$2:$E$5001,"Em ajustes",$A$2:$A$5001,"&lt;"&amp;I1404)&gt;0,1,0),0))</f>
        <v/>
      </c>
      <c r="L1404" s="16" t="str">
        <f aca="false">IF(B1404="","",IF(A1404=_xlfn.MAXIFS($A$2:$A$5001,$B$2:$B$5001,B1404,$I$2:$I$5001,I1404),1,0))</f>
        <v/>
      </c>
    </row>
    <row r="1405" customFormat="false" ht="15" hidden="false" customHeight="false" outlineLevel="0" collapsed="false">
      <c r="I1405" s="15" t="str">
        <f aca="false">IF(A1405="","",INT(A1405))</f>
        <v/>
      </c>
      <c r="J1405" s="16" t="str">
        <f aca="false">IF(B1405="","",IF(A1405=_xlfn.MINIFS($A$2:$A$5001,$B$2:$B$5001,B1405),1,0))</f>
        <v/>
      </c>
      <c r="K1405" s="16" t="str">
        <f aca="false">IF(B1405="","",IF(AND(D1405="Formalização",E1405="Concluído"),IF(COUNTIFS($B$2:$B$5001,B1405,$E$2:$E$5001,"Em ajustes",$A$2:$A$5001,"&lt;"&amp;I1405)&gt;0,1,0),0))</f>
        <v/>
      </c>
      <c r="L1405" s="16" t="str">
        <f aca="false">IF(B1405="","",IF(A1405=_xlfn.MAXIFS($A$2:$A$5001,$B$2:$B$5001,B1405,$I$2:$I$5001,I1405),1,0))</f>
        <v/>
      </c>
    </row>
    <row r="1406" customFormat="false" ht="15" hidden="false" customHeight="false" outlineLevel="0" collapsed="false">
      <c r="I1406" s="15" t="str">
        <f aca="false">IF(A1406="","",INT(A1406))</f>
        <v/>
      </c>
      <c r="J1406" s="16" t="str">
        <f aca="false">IF(B1406="","",IF(A1406=_xlfn.MINIFS($A$2:$A$5001,$B$2:$B$5001,B1406),1,0))</f>
        <v/>
      </c>
      <c r="K1406" s="16" t="str">
        <f aca="false">IF(B1406="","",IF(AND(D1406="Formalização",E1406="Concluído"),IF(COUNTIFS($B$2:$B$5001,B1406,$E$2:$E$5001,"Em ajustes",$A$2:$A$5001,"&lt;"&amp;I1406)&gt;0,1,0),0))</f>
        <v/>
      </c>
      <c r="L1406" s="16" t="str">
        <f aca="false">IF(B1406="","",IF(A1406=_xlfn.MAXIFS($A$2:$A$5001,$B$2:$B$5001,B1406,$I$2:$I$5001,I1406),1,0))</f>
        <v/>
      </c>
    </row>
    <row r="1407" customFormat="false" ht="15" hidden="false" customHeight="false" outlineLevel="0" collapsed="false">
      <c r="I1407" s="15" t="str">
        <f aca="false">IF(A1407="","",INT(A1407))</f>
        <v/>
      </c>
      <c r="J1407" s="16" t="str">
        <f aca="false">IF(B1407="","",IF(A1407=_xlfn.MINIFS($A$2:$A$5001,$B$2:$B$5001,B1407),1,0))</f>
        <v/>
      </c>
      <c r="K1407" s="16" t="str">
        <f aca="false">IF(B1407="","",IF(AND(D1407="Formalização",E1407="Concluído"),IF(COUNTIFS($B$2:$B$5001,B1407,$E$2:$E$5001,"Em ajustes",$A$2:$A$5001,"&lt;"&amp;I1407)&gt;0,1,0),0))</f>
        <v/>
      </c>
      <c r="L1407" s="16" t="str">
        <f aca="false">IF(B1407="","",IF(A1407=_xlfn.MAXIFS($A$2:$A$5001,$B$2:$B$5001,B1407,$I$2:$I$5001,I1407),1,0))</f>
        <v/>
      </c>
    </row>
    <row r="1408" customFormat="false" ht="15" hidden="false" customHeight="false" outlineLevel="0" collapsed="false">
      <c r="I1408" s="15" t="str">
        <f aca="false">IF(A1408="","",INT(A1408))</f>
        <v/>
      </c>
      <c r="J1408" s="16" t="str">
        <f aca="false">IF(B1408="","",IF(A1408=_xlfn.MINIFS($A$2:$A$5001,$B$2:$B$5001,B1408),1,0))</f>
        <v/>
      </c>
      <c r="K1408" s="16" t="str">
        <f aca="false">IF(B1408="","",IF(AND(D1408="Formalização",E1408="Concluído"),IF(COUNTIFS($B$2:$B$5001,B1408,$E$2:$E$5001,"Em ajustes",$A$2:$A$5001,"&lt;"&amp;I1408)&gt;0,1,0),0))</f>
        <v/>
      </c>
      <c r="L1408" s="16" t="str">
        <f aca="false">IF(B1408="","",IF(A1408=_xlfn.MAXIFS($A$2:$A$5001,$B$2:$B$5001,B1408,$I$2:$I$5001,I1408),1,0))</f>
        <v/>
      </c>
    </row>
    <row r="1409" customFormat="false" ht="15" hidden="false" customHeight="false" outlineLevel="0" collapsed="false">
      <c r="I1409" s="15" t="str">
        <f aca="false">IF(A1409="","",INT(A1409))</f>
        <v/>
      </c>
      <c r="J1409" s="16" t="str">
        <f aca="false">IF(B1409="","",IF(A1409=_xlfn.MINIFS($A$2:$A$5001,$B$2:$B$5001,B1409),1,0))</f>
        <v/>
      </c>
      <c r="K1409" s="16" t="str">
        <f aca="false">IF(B1409="","",IF(AND(D1409="Formalização",E1409="Concluído"),IF(COUNTIFS($B$2:$B$5001,B1409,$E$2:$E$5001,"Em ajustes",$A$2:$A$5001,"&lt;"&amp;I1409)&gt;0,1,0),0))</f>
        <v/>
      </c>
      <c r="L1409" s="16" t="str">
        <f aca="false">IF(B1409="","",IF(A1409=_xlfn.MAXIFS($A$2:$A$5001,$B$2:$B$5001,B1409,$I$2:$I$5001,I1409),1,0))</f>
        <v/>
      </c>
    </row>
    <row r="1410" customFormat="false" ht="15" hidden="false" customHeight="false" outlineLevel="0" collapsed="false">
      <c r="I1410" s="15" t="str">
        <f aca="false">IF(A1410="","",INT(A1410))</f>
        <v/>
      </c>
      <c r="J1410" s="16" t="str">
        <f aca="false">IF(B1410="","",IF(A1410=_xlfn.MINIFS($A$2:$A$5001,$B$2:$B$5001,B1410),1,0))</f>
        <v/>
      </c>
      <c r="K1410" s="16" t="str">
        <f aca="false">IF(B1410="","",IF(AND(D1410="Formalização",E1410="Concluído"),IF(COUNTIFS($B$2:$B$5001,B1410,$E$2:$E$5001,"Em ajustes",$A$2:$A$5001,"&lt;"&amp;I1410)&gt;0,1,0),0))</f>
        <v/>
      </c>
      <c r="L1410" s="16" t="str">
        <f aca="false">IF(B1410="","",IF(A1410=_xlfn.MAXIFS($A$2:$A$5001,$B$2:$B$5001,B1410,$I$2:$I$5001,I1410),1,0))</f>
        <v/>
      </c>
    </row>
    <row r="1411" customFormat="false" ht="15" hidden="false" customHeight="false" outlineLevel="0" collapsed="false">
      <c r="I1411" s="15" t="str">
        <f aca="false">IF(A1411="","",INT(A1411))</f>
        <v/>
      </c>
      <c r="J1411" s="16" t="str">
        <f aca="false">IF(B1411="","",IF(A1411=_xlfn.MINIFS($A$2:$A$5001,$B$2:$B$5001,B1411),1,0))</f>
        <v/>
      </c>
      <c r="K1411" s="16" t="str">
        <f aca="false">IF(B1411="","",IF(AND(D1411="Formalização",E1411="Concluído"),IF(COUNTIFS($B$2:$B$5001,B1411,$E$2:$E$5001,"Em ajustes",$A$2:$A$5001,"&lt;"&amp;I1411)&gt;0,1,0),0))</f>
        <v/>
      </c>
      <c r="L1411" s="16" t="str">
        <f aca="false">IF(B1411="","",IF(A1411=_xlfn.MAXIFS($A$2:$A$5001,$B$2:$B$5001,B1411,$I$2:$I$5001,I1411),1,0))</f>
        <v/>
      </c>
    </row>
    <row r="1412" customFormat="false" ht="15" hidden="false" customHeight="false" outlineLevel="0" collapsed="false">
      <c r="I1412" s="15" t="str">
        <f aca="false">IF(A1412="","",INT(A1412))</f>
        <v/>
      </c>
      <c r="J1412" s="16" t="str">
        <f aca="false">IF(B1412="","",IF(A1412=_xlfn.MINIFS($A$2:$A$5001,$B$2:$B$5001,B1412),1,0))</f>
        <v/>
      </c>
      <c r="K1412" s="16" t="str">
        <f aca="false">IF(B1412="","",IF(AND(D1412="Formalização",E1412="Concluído"),IF(COUNTIFS($B$2:$B$5001,B1412,$E$2:$E$5001,"Em ajustes",$A$2:$A$5001,"&lt;"&amp;I1412)&gt;0,1,0),0))</f>
        <v/>
      </c>
      <c r="L1412" s="16" t="str">
        <f aca="false">IF(B1412="","",IF(A1412=_xlfn.MAXIFS($A$2:$A$5001,$B$2:$B$5001,B1412,$I$2:$I$5001,I1412),1,0))</f>
        <v/>
      </c>
    </row>
    <row r="1413" customFormat="false" ht="15" hidden="false" customHeight="false" outlineLevel="0" collapsed="false">
      <c r="I1413" s="15" t="str">
        <f aca="false">IF(A1413="","",INT(A1413))</f>
        <v/>
      </c>
      <c r="J1413" s="16" t="str">
        <f aca="false">IF(B1413="","",IF(A1413=_xlfn.MINIFS($A$2:$A$5001,$B$2:$B$5001,B1413),1,0))</f>
        <v/>
      </c>
      <c r="K1413" s="16" t="str">
        <f aca="false">IF(B1413="","",IF(AND(D1413="Formalização",E1413="Concluído"),IF(COUNTIFS($B$2:$B$5001,B1413,$E$2:$E$5001,"Em ajustes",$A$2:$A$5001,"&lt;"&amp;I1413)&gt;0,1,0),0))</f>
        <v/>
      </c>
      <c r="L1413" s="16" t="str">
        <f aca="false">IF(B1413="","",IF(A1413=_xlfn.MAXIFS($A$2:$A$5001,$B$2:$B$5001,B1413,$I$2:$I$5001,I1413),1,0))</f>
        <v/>
      </c>
    </row>
    <row r="1414" customFormat="false" ht="15" hidden="false" customHeight="false" outlineLevel="0" collapsed="false">
      <c r="I1414" s="15" t="str">
        <f aca="false">IF(A1414="","",INT(A1414))</f>
        <v/>
      </c>
      <c r="J1414" s="16" t="str">
        <f aca="false">IF(B1414="","",IF(A1414=_xlfn.MINIFS($A$2:$A$5001,$B$2:$B$5001,B1414),1,0))</f>
        <v/>
      </c>
      <c r="K1414" s="16" t="str">
        <f aca="false">IF(B1414="","",IF(AND(D1414="Formalização",E1414="Concluído"),IF(COUNTIFS($B$2:$B$5001,B1414,$E$2:$E$5001,"Em ajustes",$A$2:$A$5001,"&lt;"&amp;I1414)&gt;0,1,0),0))</f>
        <v/>
      </c>
      <c r="L1414" s="16" t="str">
        <f aca="false">IF(B1414="","",IF(A1414=_xlfn.MAXIFS($A$2:$A$5001,$B$2:$B$5001,B1414,$I$2:$I$5001,I1414),1,0))</f>
        <v/>
      </c>
    </row>
    <row r="1415" customFormat="false" ht="15" hidden="false" customHeight="false" outlineLevel="0" collapsed="false">
      <c r="I1415" s="15" t="str">
        <f aca="false">IF(A1415="","",INT(A1415))</f>
        <v/>
      </c>
      <c r="J1415" s="16" t="str">
        <f aca="false">IF(B1415="","",IF(A1415=_xlfn.MINIFS($A$2:$A$5001,$B$2:$B$5001,B1415),1,0))</f>
        <v/>
      </c>
      <c r="K1415" s="16" t="str">
        <f aca="false">IF(B1415="","",IF(AND(D1415="Formalização",E1415="Concluído"),IF(COUNTIFS($B$2:$B$5001,B1415,$E$2:$E$5001,"Em ajustes",$A$2:$A$5001,"&lt;"&amp;I1415)&gt;0,1,0),0))</f>
        <v/>
      </c>
      <c r="L1415" s="16" t="str">
        <f aca="false">IF(B1415="","",IF(A1415=_xlfn.MAXIFS($A$2:$A$5001,$B$2:$B$5001,B1415,$I$2:$I$5001,I1415),1,0))</f>
        <v/>
      </c>
    </row>
    <row r="1416" customFormat="false" ht="15" hidden="false" customHeight="false" outlineLevel="0" collapsed="false">
      <c r="I1416" s="15" t="str">
        <f aca="false">IF(A1416="","",INT(A1416))</f>
        <v/>
      </c>
      <c r="J1416" s="16" t="str">
        <f aca="false">IF(B1416="","",IF(A1416=_xlfn.MINIFS($A$2:$A$5001,$B$2:$B$5001,B1416),1,0))</f>
        <v/>
      </c>
      <c r="K1416" s="16" t="str">
        <f aca="false">IF(B1416="","",IF(AND(D1416="Formalização",E1416="Concluído"),IF(COUNTIFS($B$2:$B$5001,B1416,$E$2:$E$5001,"Em ajustes",$A$2:$A$5001,"&lt;"&amp;I1416)&gt;0,1,0),0))</f>
        <v/>
      </c>
      <c r="L1416" s="16" t="str">
        <f aca="false">IF(B1416="","",IF(A1416=_xlfn.MAXIFS($A$2:$A$5001,$B$2:$B$5001,B1416,$I$2:$I$5001,I1416),1,0))</f>
        <v/>
      </c>
    </row>
    <row r="1417" customFormat="false" ht="15" hidden="false" customHeight="false" outlineLevel="0" collapsed="false">
      <c r="I1417" s="15" t="str">
        <f aca="false">IF(A1417="","",INT(A1417))</f>
        <v/>
      </c>
      <c r="J1417" s="16" t="str">
        <f aca="false">IF(B1417="","",IF(A1417=_xlfn.MINIFS($A$2:$A$5001,$B$2:$B$5001,B1417),1,0))</f>
        <v/>
      </c>
      <c r="K1417" s="16" t="str">
        <f aca="false">IF(B1417="","",IF(AND(D1417="Formalização",E1417="Concluído"),IF(COUNTIFS($B$2:$B$5001,B1417,$E$2:$E$5001,"Em ajustes",$A$2:$A$5001,"&lt;"&amp;I1417)&gt;0,1,0),0))</f>
        <v/>
      </c>
      <c r="L1417" s="16" t="str">
        <f aca="false">IF(B1417="","",IF(A1417=_xlfn.MAXIFS($A$2:$A$5001,$B$2:$B$5001,B1417,$I$2:$I$5001,I1417),1,0))</f>
        <v/>
      </c>
    </row>
    <row r="1418" customFormat="false" ht="15" hidden="false" customHeight="false" outlineLevel="0" collapsed="false">
      <c r="I1418" s="15" t="str">
        <f aca="false">IF(A1418="","",INT(A1418))</f>
        <v/>
      </c>
      <c r="J1418" s="16" t="str">
        <f aca="false">IF(B1418="","",IF(A1418=_xlfn.MINIFS($A$2:$A$5001,$B$2:$B$5001,B1418),1,0))</f>
        <v/>
      </c>
      <c r="K1418" s="16" t="str">
        <f aca="false">IF(B1418="","",IF(AND(D1418="Formalização",E1418="Concluído"),IF(COUNTIFS($B$2:$B$5001,B1418,$E$2:$E$5001,"Em ajustes",$A$2:$A$5001,"&lt;"&amp;I1418)&gt;0,1,0),0))</f>
        <v/>
      </c>
      <c r="L1418" s="16" t="str">
        <f aca="false">IF(B1418="","",IF(A1418=_xlfn.MAXIFS($A$2:$A$5001,$B$2:$B$5001,B1418,$I$2:$I$5001,I1418),1,0))</f>
        <v/>
      </c>
    </row>
    <row r="1419" customFormat="false" ht="15" hidden="false" customHeight="false" outlineLevel="0" collapsed="false">
      <c r="I1419" s="15" t="str">
        <f aca="false">IF(A1419="","",INT(A1419))</f>
        <v/>
      </c>
      <c r="J1419" s="16" t="str">
        <f aca="false">IF(B1419="","",IF(A1419=_xlfn.MINIFS($A$2:$A$5001,$B$2:$B$5001,B1419),1,0))</f>
        <v/>
      </c>
      <c r="K1419" s="16" t="str">
        <f aca="false">IF(B1419="","",IF(AND(D1419="Formalização",E1419="Concluído"),IF(COUNTIFS($B$2:$B$5001,B1419,$E$2:$E$5001,"Em ajustes",$A$2:$A$5001,"&lt;"&amp;I1419)&gt;0,1,0),0))</f>
        <v/>
      </c>
      <c r="L1419" s="16" t="str">
        <f aca="false">IF(B1419="","",IF(A1419=_xlfn.MAXIFS($A$2:$A$5001,$B$2:$B$5001,B1419,$I$2:$I$5001,I1419),1,0))</f>
        <v/>
      </c>
    </row>
    <row r="1420" customFormat="false" ht="15" hidden="false" customHeight="false" outlineLevel="0" collapsed="false">
      <c r="I1420" s="15" t="str">
        <f aca="false">IF(A1420="","",INT(A1420))</f>
        <v/>
      </c>
      <c r="J1420" s="16" t="str">
        <f aca="false">IF(B1420="","",IF(A1420=_xlfn.MINIFS($A$2:$A$5001,$B$2:$B$5001,B1420),1,0))</f>
        <v/>
      </c>
      <c r="K1420" s="16" t="str">
        <f aca="false">IF(B1420="","",IF(AND(D1420="Formalização",E1420="Concluído"),IF(COUNTIFS($B$2:$B$5001,B1420,$E$2:$E$5001,"Em ajustes",$A$2:$A$5001,"&lt;"&amp;I1420)&gt;0,1,0),0))</f>
        <v/>
      </c>
      <c r="L1420" s="16" t="str">
        <f aca="false">IF(B1420="","",IF(A1420=_xlfn.MAXIFS($A$2:$A$5001,$B$2:$B$5001,B1420,$I$2:$I$5001,I1420),1,0))</f>
        <v/>
      </c>
    </row>
    <row r="1421" customFormat="false" ht="15" hidden="false" customHeight="false" outlineLevel="0" collapsed="false">
      <c r="I1421" s="15" t="str">
        <f aca="false">IF(A1421="","",INT(A1421))</f>
        <v/>
      </c>
      <c r="J1421" s="16" t="str">
        <f aca="false">IF(B1421="","",IF(A1421=_xlfn.MINIFS($A$2:$A$5001,$B$2:$B$5001,B1421),1,0))</f>
        <v/>
      </c>
      <c r="K1421" s="16" t="str">
        <f aca="false">IF(B1421="","",IF(AND(D1421="Formalização",E1421="Concluído"),IF(COUNTIFS($B$2:$B$5001,B1421,$E$2:$E$5001,"Em ajustes",$A$2:$A$5001,"&lt;"&amp;I1421)&gt;0,1,0),0))</f>
        <v/>
      </c>
      <c r="L1421" s="16" t="str">
        <f aca="false">IF(B1421="","",IF(A1421=_xlfn.MAXIFS($A$2:$A$5001,$B$2:$B$5001,B1421,$I$2:$I$5001,I1421),1,0))</f>
        <v/>
      </c>
    </row>
    <row r="1422" customFormat="false" ht="15" hidden="false" customHeight="false" outlineLevel="0" collapsed="false">
      <c r="I1422" s="15" t="str">
        <f aca="false">IF(A1422="","",INT(A1422))</f>
        <v/>
      </c>
      <c r="J1422" s="16" t="str">
        <f aca="false">IF(B1422="","",IF(A1422=_xlfn.MINIFS($A$2:$A$5001,$B$2:$B$5001,B1422),1,0))</f>
        <v/>
      </c>
      <c r="K1422" s="16" t="str">
        <f aca="false">IF(B1422="","",IF(AND(D1422="Formalização",E1422="Concluído"),IF(COUNTIFS($B$2:$B$5001,B1422,$E$2:$E$5001,"Em ajustes",$A$2:$A$5001,"&lt;"&amp;I1422)&gt;0,1,0),0))</f>
        <v/>
      </c>
      <c r="L1422" s="16" t="str">
        <f aca="false">IF(B1422="","",IF(A1422=_xlfn.MAXIFS($A$2:$A$5001,$B$2:$B$5001,B1422,$I$2:$I$5001,I1422),1,0))</f>
        <v/>
      </c>
    </row>
    <row r="1423" customFormat="false" ht="15" hidden="false" customHeight="false" outlineLevel="0" collapsed="false">
      <c r="I1423" s="15" t="str">
        <f aca="false">IF(A1423="","",INT(A1423))</f>
        <v/>
      </c>
      <c r="J1423" s="16" t="str">
        <f aca="false">IF(B1423="","",IF(A1423=_xlfn.MINIFS($A$2:$A$5001,$B$2:$B$5001,B1423),1,0))</f>
        <v/>
      </c>
      <c r="K1423" s="16" t="str">
        <f aca="false">IF(B1423="","",IF(AND(D1423="Formalização",E1423="Concluído"),IF(COUNTIFS($B$2:$B$5001,B1423,$E$2:$E$5001,"Em ajustes",$A$2:$A$5001,"&lt;"&amp;I1423)&gt;0,1,0),0))</f>
        <v/>
      </c>
      <c r="L1423" s="16" t="str">
        <f aca="false">IF(B1423="","",IF(A1423=_xlfn.MAXIFS($A$2:$A$5001,$B$2:$B$5001,B1423,$I$2:$I$5001,I1423),1,0))</f>
        <v/>
      </c>
    </row>
    <row r="1424" customFormat="false" ht="15" hidden="false" customHeight="false" outlineLevel="0" collapsed="false">
      <c r="I1424" s="15" t="str">
        <f aca="false">IF(A1424="","",INT(A1424))</f>
        <v/>
      </c>
      <c r="J1424" s="16" t="str">
        <f aca="false">IF(B1424="","",IF(A1424=_xlfn.MINIFS($A$2:$A$5001,$B$2:$B$5001,B1424),1,0))</f>
        <v/>
      </c>
      <c r="K1424" s="16" t="str">
        <f aca="false">IF(B1424="","",IF(AND(D1424="Formalização",E1424="Concluído"),IF(COUNTIFS($B$2:$B$5001,B1424,$E$2:$E$5001,"Em ajustes",$A$2:$A$5001,"&lt;"&amp;I1424)&gt;0,1,0),0))</f>
        <v/>
      </c>
      <c r="L1424" s="16" t="str">
        <f aca="false">IF(B1424="","",IF(A1424=_xlfn.MAXIFS($A$2:$A$5001,$B$2:$B$5001,B1424,$I$2:$I$5001,I1424),1,0))</f>
        <v/>
      </c>
    </row>
    <row r="1425" customFormat="false" ht="15" hidden="false" customHeight="false" outlineLevel="0" collapsed="false">
      <c r="I1425" s="15" t="str">
        <f aca="false">IF(A1425="","",INT(A1425))</f>
        <v/>
      </c>
      <c r="J1425" s="16" t="str">
        <f aca="false">IF(B1425="","",IF(A1425=_xlfn.MINIFS($A$2:$A$5001,$B$2:$B$5001,B1425),1,0))</f>
        <v/>
      </c>
      <c r="K1425" s="16" t="str">
        <f aca="false">IF(B1425="","",IF(AND(D1425="Formalização",E1425="Concluído"),IF(COUNTIFS($B$2:$B$5001,B1425,$E$2:$E$5001,"Em ajustes",$A$2:$A$5001,"&lt;"&amp;I1425)&gt;0,1,0),0))</f>
        <v/>
      </c>
      <c r="L1425" s="16" t="str">
        <f aca="false">IF(B1425="","",IF(A1425=_xlfn.MAXIFS($A$2:$A$5001,$B$2:$B$5001,B1425,$I$2:$I$5001,I1425),1,0))</f>
        <v/>
      </c>
    </row>
    <row r="1426" customFormat="false" ht="15" hidden="false" customHeight="false" outlineLevel="0" collapsed="false">
      <c r="I1426" s="15" t="str">
        <f aca="false">IF(A1426="","",INT(A1426))</f>
        <v/>
      </c>
      <c r="J1426" s="16" t="str">
        <f aca="false">IF(B1426="","",IF(A1426=_xlfn.MINIFS($A$2:$A$5001,$B$2:$B$5001,B1426),1,0))</f>
        <v/>
      </c>
      <c r="K1426" s="16" t="str">
        <f aca="false">IF(B1426="","",IF(AND(D1426="Formalização",E1426="Concluído"),IF(COUNTIFS($B$2:$B$5001,B1426,$E$2:$E$5001,"Em ajustes",$A$2:$A$5001,"&lt;"&amp;I1426)&gt;0,1,0),0))</f>
        <v/>
      </c>
      <c r="L1426" s="16" t="str">
        <f aca="false">IF(B1426="","",IF(A1426=_xlfn.MAXIFS($A$2:$A$5001,$B$2:$B$5001,B1426,$I$2:$I$5001,I1426),1,0))</f>
        <v/>
      </c>
    </row>
    <row r="1427" customFormat="false" ht="15" hidden="false" customHeight="false" outlineLevel="0" collapsed="false">
      <c r="I1427" s="15" t="str">
        <f aca="false">IF(A1427="","",INT(A1427))</f>
        <v/>
      </c>
      <c r="J1427" s="16" t="str">
        <f aca="false">IF(B1427="","",IF(A1427=_xlfn.MINIFS($A$2:$A$5001,$B$2:$B$5001,B1427),1,0))</f>
        <v/>
      </c>
      <c r="K1427" s="16" t="str">
        <f aca="false">IF(B1427="","",IF(AND(D1427="Formalização",E1427="Concluído"),IF(COUNTIFS($B$2:$B$5001,B1427,$E$2:$E$5001,"Em ajustes",$A$2:$A$5001,"&lt;"&amp;I1427)&gt;0,1,0),0))</f>
        <v/>
      </c>
      <c r="L1427" s="16" t="str">
        <f aca="false">IF(B1427="","",IF(A1427=_xlfn.MAXIFS($A$2:$A$5001,$B$2:$B$5001,B1427,$I$2:$I$5001,I1427),1,0))</f>
        <v/>
      </c>
    </row>
    <row r="1428" customFormat="false" ht="15" hidden="false" customHeight="false" outlineLevel="0" collapsed="false">
      <c r="I1428" s="15" t="str">
        <f aca="false">IF(A1428="","",INT(A1428))</f>
        <v/>
      </c>
      <c r="J1428" s="16" t="str">
        <f aca="false">IF(B1428="","",IF(A1428=_xlfn.MINIFS($A$2:$A$5001,$B$2:$B$5001,B1428),1,0))</f>
        <v/>
      </c>
      <c r="K1428" s="16" t="str">
        <f aca="false">IF(B1428="","",IF(AND(D1428="Formalização",E1428="Concluído"),IF(COUNTIFS($B$2:$B$5001,B1428,$E$2:$E$5001,"Em ajustes",$A$2:$A$5001,"&lt;"&amp;I1428)&gt;0,1,0),0))</f>
        <v/>
      </c>
      <c r="L1428" s="16" t="str">
        <f aca="false">IF(B1428="","",IF(A1428=_xlfn.MAXIFS($A$2:$A$5001,$B$2:$B$5001,B1428,$I$2:$I$5001,I1428),1,0))</f>
        <v/>
      </c>
    </row>
    <row r="1429" customFormat="false" ht="15" hidden="false" customHeight="false" outlineLevel="0" collapsed="false">
      <c r="I1429" s="15" t="str">
        <f aca="false">IF(A1429="","",INT(A1429))</f>
        <v/>
      </c>
      <c r="J1429" s="16" t="str">
        <f aca="false">IF(B1429="","",IF(A1429=_xlfn.MINIFS($A$2:$A$5001,$B$2:$B$5001,B1429),1,0))</f>
        <v/>
      </c>
      <c r="K1429" s="16" t="str">
        <f aca="false">IF(B1429="","",IF(AND(D1429="Formalização",E1429="Concluído"),IF(COUNTIFS($B$2:$B$5001,B1429,$E$2:$E$5001,"Em ajustes",$A$2:$A$5001,"&lt;"&amp;I1429)&gt;0,1,0),0))</f>
        <v/>
      </c>
      <c r="L1429" s="16" t="str">
        <f aca="false">IF(B1429="","",IF(A1429=_xlfn.MAXIFS($A$2:$A$5001,$B$2:$B$5001,B1429,$I$2:$I$5001,I1429),1,0))</f>
        <v/>
      </c>
    </row>
    <row r="1430" customFormat="false" ht="15" hidden="false" customHeight="false" outlineLevel="0" collapsed="false">
      <c r="I1430" s="15" t="str">
        <f aca="false">IF(A1430="","",INT(A1430))</f>
        <v/>
      </c>
      <c r="J1430" s="16" t="str">
        <f aca="false">IF(B1430="","",IF(A1430=_xlfn.MINIFS($A$2:$A$5001,$B$2:$B$5001,B1430),1,0))</f>
        <v/>
      </c>
      <c r="K1430" s="16" t="str">
        <f aca="false">IF(B1430="","",IF(AND(D1430="Formalização",E1430="Concluído"),IF(COUNTIFS($B$2:$B$5001,B1430,$E$2:$E$5001,"Em ajustes",$A$2:$A$5001,"&lt;"&amp;I1430)&gt;0,1,0),0))</f>
        <v/>
      </c>
      <c r="L1430" s="16" t="str">
        <f aca="false">IF(B1430="","",IF(A1430=_xlfn.MAXIFS($A$2:$A$5001,$B$2:$B$5001,B1430,$I$2:$I$5001,I1430),1,0))</f>
        <v/>
      </c>
    </row>
    <row r="1431" customFormat="false" ht="15" hidden="false" customHeight="false" outlineLevel="0" collapsed="false">
      <c r="I1431" s="15" t="str">
        <f aca="false">IF(A1431="","",INT(A1431))</f>
        <v/>
      </c>
      <c r="J1431" s="16" t="str">
        <f aca="false">IF(B1431="","",IF(A1431=_xlfn.MINIFS($A$2:$A$5001,$B$2:$B$5001,B1431),1,0))</f>
        <v/>
      </c>
      <c r="K1431" s="16" t="str">
        <f aca="false">IF(B1431="","",IF(AND(D1431="Formalização",E1431="Concluído"),IF(COUNTIFS($B$2:$B$5001,B1431,$E$2:$E$5001,"Em ajustes",$A$2:$A$5001,"&lt;"&amp;I1431)&gt;0,1,0),0))</f>
        <v/>
      </c>
      <c r="L1431" s="16" t="str">
        <f aca="false">IF(B1431="","",IF(A1431=_xlfn.MAXIFS($A$2:$A$5001,$B$2:$B$5001,B1431,$I$2:$I$5001,I1431),1,0))</f>
        <v/>
      </c>
    </row>
    <row r="1432" customFormat="false" ht="15" hidden="false" customHeight="false" outlineLevel="0" collapsed="false">
      <c r="I1432" s="15" t="str">
        <f aca="false">IF(A1432="","",INT(A1432))</f>
        <v/>
      </c>
      <c r="J1432" s="16" t="str">
        <f aca="false">IF(B1432="","",IF(A1432=_xlfn.MINIFS($A$2:$A$5001,$B$2:$B$5001,B1432),1,0))</f>
        <v/>
      </c>
      <c r="K1432" s="16" t="str">
        <f aca="false">IF(B1432="","",IF(AND(D1432="Formalização",E1432="Concluído"),IF(COUNTIFS($B$2:$B$5001,B1432,$E$2:$E$5001,"Em ajustes",$A$2:$A$5001,"&lt;"&amp;I1432)&gt;0,1,0),0))</f>
        <v/>
      </c>
      <c r="L1432" s="16" t="str">
        <f aca="false">IF(B1432="","",IF(A1432=_xlfn.MAXIFS($A$2:$A$5001,$B$2:$B$5001,B1432,$I$2:$I$5001,I1432),1,0))</f>
        <v/>
      </c>
    </row>
    <row r="1433" customFormat="false" ht="15" hidden="false" customHeight="false" outlineLevel="0" collapsed="false">
      <c r="I1433" s="15" t="str">
        <f aca="false">IF(A1433="","",INT(A1433))</f>
        <v/>
      </c>
      <c r="J1433" s="16" t="str">
        <f aca="false">IF(B1433="","",IF(A1433=_xlfn.MINIFS($A$2:$A$5001,$B$2:$B$5001,B1433),1,0))</f>
        <v/>
      </c>
      <c r="K1433" s="16" t="str">
        <f aca="false">IF(B1433="","",IF(AND(D1433="Formalização",E1433="Concluído"),IF(COUNTIFS($B$2:$B$5001,B1433,$E$2:$E$5001,"Em ajustes",$A$2:$A$5001,"&lt;"&amp;I1433)&gt;0,1,0),0))</f>
        <v/>
      </c>
      <c r="L1433" s="16" t="str">
        <f aca="false">IF(B1433="","",IF(A1433=_xlfn.MAXIFS($A$2:$A$5001,$B$2:$B$5001,B1433,$I$2:$I$5001,I1433),1,0))</f>
        <v/>
      </c>
    </row>
    <row r="1434" customFormat="false" ht="15" hidden="false" customHeight="false" outlineLevel="0" collapsed="false">
      <c r="I1434" s="15" t="str">
        <f aca="false">IF(A1434="","",INT(A1434))</f>
        <v/>
      </c>
      <c r="J1434" s="16" t="str">
        <f aca="false">IF(B1434="","",IF(A1434=_xlfn.MINIFS($A$2:$A$5001,$B$2:$B$5001,B1434),1,0))</f>
        <v/>
      </c>
      <c r="K1434" s="16" t="str">
        <f aca="false">IF(B1434="","",IF(AND(D1434="Formalização",E1434="Concluído"),IF(COUNTIFS($B$2:$B$5001,B1434,$E$2:$E$5001,"Em ajustes",$A$2:$A$5001,"&lt;"&amp;I1434)&gt;0,1,0),0))</f>
        <v/>
      </c>
      <c r="L1434" s="16" t="str">
        <f aca="false">IF(B1434="","",IF(A1434=_xlfn.MAXIFS($A$2:$A$5001,$B$2:$B$5001,B1434,$I$2:$I$5001,I1434),1,0))</f>
        <v/>
      </c>
    </row>
    <row r="1435" customFormat="false" ht="15" hidden="false" customHeight="false" outlineLevel="0" collapsed="false">
      <c r="I1435" s="15" t="str">
        <f aca="false">IF(A1435="","",INT(A1435))</f>
        <v/>
      </c>
      <c r="J1435" s="16" t="str">
        <f aca="false">IF(B1435="","",IF(A1435=_xlfn.MINIFS($A$2:$A$5001,$B$2:$B$5001,B1435),1,0))</f>
        <v/>
      </c>
      <c r="K1435" s="16" t="str">
        <f aca="false">IF(B1435="","",IF(AND(D1435="Formalização",E1435="Concluído"),IF(COUNTIFS($B$2:$B$5001,B1435,$E$2:$E$5001,"Em ajustes",$A$2:$A$5001,"&lt;"&amp;I1435)&gt;0,1,0),0))</f>
        <v/>
      </c>
      <c r="L1435" s="16" t="str">
        <f aca="false">IF(B1435="","",IF(A1435=_xlfn.MAXIFS($A$2:$A$5001,$B$2:$B$5001,B1435,$I$2:$I$5001,I1435),1,0))</f>
        <v/>
      </c>
    </row>
    <row r="1436" customFormat="false" ht="15" hidden="false" customHeight="false" outlineLevel="0" collapsed="false">
      <c r="I1436" s="15" t="str">
        <f aca="false">IF(A1436="","",INT(A1436))</f>
        <v/>
      </c>
      <c r="J1436" s="16" t="str">
        <f aca="false">IF(B1436="","",IF(A1436=_xlfn.MINIFS($A$2:$A$5001,$B$2:$B$5001,B1436),1,0))</f>
        <v/>
      </c>
      <c r="K1436" s="16" t="str">
        <f aca="false">IF(B1436="","",IF(AND(D1436="Formalização",E1436="Concluído"),IF(COUNTIFS($B$2:$B$5001,B1436,$E$2:$E$5001,"Em ajustes",$A$2:$A$5001,"&lt;"&amp;I1436)&gt;0,1,0),0))</f>
        <v/>
      </c>
      <c r="L1436" s="16" t="str">
        <f aca="false">IF(B1436="","",IF(A1436=_xlfn.MAXIFS($A$2:$A$5001,$B$2:$B$5001,B1436,$I$2:$I$5001,I1436),1,0))</f>
        <v/>
      </c>
    </row>
    <row r="1437" customFormat="false" ht="15" hidden="false" customHeight="false" outlineLevel="0" collapsed="false">
      <c r="I1437" s="15" t="str">
        <f aca="false">IF(A1437="","",INT(A1437))</f>
        <v/>
      </c>
      <c r="J1437" s="16" t="str">
        <f aca="false">IF(B1437="","",IF(A1437=_xlfn.MINIFS($A$2:$A$5001,$B$2:$B$5001,B1437),1,0))</f>
        <v/>
      </c>
      <c r="K1437" s="16" t="str">
        <f aca="false">IF(B1437="","",IF(AND(D1437="Formalização",E1437="Concluído"),IF(COUNTIFS($B$2:$B$5001,B1437,$E$2:$E$5001,"Em ajustes",$A$2:$A$5001,"&lt;"&amp;I1437)&gt;0,1,0),0))</f>
        <v/>
      </c>
      <c r="L1437" s="16" t="str">
        <f aca="false">IF(B1437="","",IF(A1437=_xlfn.MAXIFS($A$2:$A$5001,$B$2:$B$5001,B1437,$I$2:$I$5001,I1437),1,0))</f>
        <v/>
      </c>
    </row>
    <row r="1438" customFormat="false" ht="15" hidden="false" customHeight="false" outlineLevel="0" collapsed="false">
      <c r="I1438" s="15" t="str">
        <f aca="false">IF(A1438="","",INT(A1438))</f>
        <v/>
      </c>
      <c r="J1438" s="16" t="str">
        <f aca="false">IF(B1438="","",IF(A1438=_xlfn.MINIFS($A$2:$A$5001,$B$2:$B$5001,B1438),1,0))</f>
        <v/>
      </c>
      <c r="K1438" s="16" t="str">
        <f aca="false">IF(B1438="","",IF(AND(D1438="Formalização",E1438="Concluído"),IF(COUNTIFS($B$2:$B$5001,B1438,$E$2:$E$5001,"Em ajustes",$A$2:$A$5001,"&lt;"&amp;I1438)&gt;0,1,0),0))</f>
        <v/>
      </c>
      <c r="L1438" s="16" t="str">
        <f aca="false">IF(B1438="","",IF(A1438=_xlfn.MAXIFS($A$2:$A$5001,$B$2:$B$5001,B1438,$I$2:$I$5001,I1438),1,0))</f>
        <v/>
      </c>
    </row>
    <row r="1439" customFormat="false" ht="15" hidden="false" customHeight="false" outlineLevel="0" collapsed="false">
      <c r="I1439" s="15" t="str">
        <f aca="false">IF(A1439="","",INT(A1439))</f>
        <v/>
      </c>
      <c r="J1439" s="16" t="str">
        <f aca="false">IF(B1439="","",IF(A1439=_xlfn.MINIFS($A$2:$A$5001,$B$2:$B$5001,B1439),1,0))</f>
        <v/>
      </c>
      <c r="K1439" s="16" t="str">
        <f aca="false">IF(B1439="","",IF(AND(D1439="Formalização",E1439="Concluído"),IF(COUNTIFS($B$2:$B$5001,B1439,$E$2:$E$5001,"Em ajustes",$A$2:$A$5001,"&lt;"&amp;I1439)&gt;0,1,0),0))</f>
        <v/>
      </c>
      <c r="L1439" s="16" t="str">
        <f aca="false">IF(B1439="","",IF(A1439=_xlfn.MAXIFS($A$2:$A$5001,$B$2:$B$5001,B1439,$I$2:$I$5001,I1439),1,0))</f>
        <v/>
      </c>
    </row>
    <row r="1440" customFormat="false" ht="15" hidden="false" customHeight="false" outlineLevel="0" collapsed="false">
      <c r="I1440" s="15" t="str">
        <f aca="false">IF(A1440="","",INT(A1440))</f>
        <v/>
      </c>
      <c r="J1440" s="16" t="str">
        <f aca="false">IF(B1440="","",IF(A1440=_xlfn.MINIFS($A$2:$A$5001,$B$2:$B$5001,B1440),1,0))</f>
        <v/>
      </c>
      <c r="K1440" s="16" t="str">
        <f aca="false">IF(B1440="","",IF(AND(D1440="Formalização",E1440="Concluído"),IF(COUNTIFS($B$2:$B$5001,B1440,$E$2:$E$5001,"Em ajustes",$A$2:$A$5001,"&lt;"&amp;I1440)&gt;0,1,0),0))</f>
        <v/>
      </c>
      <c r="L1440" s="16" t="str">
        <f aca="false">IF(B1440="","",IF(A1440=_xlfn.MAXIFS($A$2:$A$5001,$B$2:$B$5001,B1440,$I$2:$I$5001,I1440),1,0))</f>
        <v/>
      </c>
    </row>
    <row r="1441" customFormat="false" ht="15" hidden="false" customHeight="false" outlineLevel="0" collapsed="false">
      <c r="I1441" s="15" t="str">
        <f aca="false">IF(A1441="","",INT(A1441))</f>
        <v/>
      </c>
      <c r="J1441" s="16" t="str">
        <f aca="false">IF(B1441="","",IF(A1441=_xlfn.MINIFS($A$2:$A$5001,$B$2:$B$5001,B1441),1,0))</f>
        <v/>
      </c>
      <c r="K1441" s="16" t="str">
        <f aca="false">IF(B1441="","",IF(AND(D1441="Formalização",E1441="Concluído"),IF(COUNTIFS($B$2:$B$5001,B1441,$E$2:$E$5001,"Em ajustes",$A$2:$A$5001,"&lt;"&amp;I1441)&gt;0,1,0),0))</f>
        <v/>
      </c>
      <c r="L1441" s="16" t="str">
        <f aca="false">IF(B1441="","",IF(A1441=_xlfn.MAXIFS($A$2:$A$5001,$B$2:$B$5001,B1441,$I$2:$I$5001,I1441),1,0))</f>
        <v/>
      </c>
    </row>
    <row r="1442" customFormat="false" ht="15" hidden="false" customHeight="false" outlineLevel="0" collapsed="false">
      <c r="I1442" s="15" t="str">
        <f aca="false">IF(A1442="","",INT(A1442))</f>
        <v/>
      </c>
      <c r="J1442" s="16" t="str">
        <f aca="false">IF(B1442="","",IF(A1442=_xlfn.MINIFS($A$2:$A$5001,$B$2:$B$5001,B1442),1,0))</f>
        <v/>
      </c>
      <c r="K1442" s="16" t="str">
        <f aca="false">IF(B1442="","",IF(AND(D1442="Formalização",E1442="Concluído"),IF(COUNTIFS($B$2:$B$5001,B1442,$E$2:$E$5001,"Em ajustes",$A$2:$A$5001,"&lt;"&amp;I1442)&gt;0,1,0),0))</f>
        <v/>
      </c>
      <c r="L1442" s="16" t="str">
        <f aca="false">IF(B1442="","",IF(A1442=_xlfn.MAXIFS($A$2:$A$5001,$B$2:$B$5001,B1442,$I$2:$I$5001,I1442),1,0))</f>
        <v/>
      </c>
    </row>
    <row r="1443" customFormat="false" ht="15" hidden="false" customHeight="false" outlineLevel="0" collapsed="false">
      <c r="I1443" s="15" t="str">
        <f aca="false">IF(A1443="","",INT(A1443))</f>
        <v/>
      </c>
      <c r="J1443" s="16" t="str">
        <f aca="false">IF(B1443="","",IF(A1443=_xlfn.MINIFS($A$2:$A$5001,$B$2:$B$5001,B1443),1,0))</f>
        <v/>
      </c>
      <c r="K1443" s="16" t="str">
        <f aca="false">IF(B1443="","",IF(AND(D1443="Formalização",E1443="Concluído"),IF(COUNTIFS($B$2:$B$5001,B1443,$E$2:$E$5001,"Em ajustes",$A$2:$A$5001,"&lt;"&amp;I1443)&gt;0,1,0),0))</f>
        <v/>
      </c>
      <c r="L1443" s="16" t="str">
        <f aca="false">IF(B1443="","",IF(A1443=_xlfn.MAXIFS($A$2:$A$5001,$B$2:$B$5001,B1443,$I$2:$I$5001,I1443),1,0))</f>
        <v/>
      </c>
    </row>
    <row r="1444" customFormat="false" ht="15" hidden="false" customHeight="false" outlineLevel="0" collapsed="false">
      <c r="I1444" s="15" t="str">
        <f aca="false">IF(A1444="","",INT(A1444))</f>
        <v/>
      </c>
      <c r="J1444" s="16" t="str">
        <f aca="false">IF(B1444="","",IF(A1444=_xlfn.MINIFS($A$2:$A$5001,$B$2:$B$5001,B1444),1,0))</f>
        <v/>
      </c>
      <c r="K1444" s="16" t="str">
        <f aca="false">IF(B1444="","",IF(AND(D1444="Formalização",E1444="Concluído"),IF(COUNTIFS($B$2:$B$5001,B1444,$E$2:$E$5001,"Em ajustes",$A$2:$A$5001,"&lt;"&amp;I1444)&gt;0,1,0),0))</f>
        <v/>
      </c>
      <c r="L1444" s="16" t="str">
        <f aca="false">IF(B1444="","",IF(A1444=_xlfn.MAXIFS($A$2:$A$5001,$B$2:$B$5001,B1444,$I$2:$I$5001,I1444),1,0))</f>
        <v/>
      </c>
    </row>
    <row r="1445" customFormat="false" ht="15" hidden="false" customHeight="false" outlineLevel="0" collapsed="false">
      <c r="I1445" s="15" t="str">
        <f aca="false">IF(A1445="","",INT(A1445))</f>
        <v/>
      </c>
      <c r="J1445" s="16" t="str">
        <f aca="false">IF(B1445="","",IF(A1445=_xlfn.MINIFS($A$2:$A$5001,$B$2:$B$5001,B1445),1,0))</f>
        <v/>
      </c>
      <c r="K1445" s="16" t="str">
        <f aca="false">IF(B1445="","",IF(AND(D1445="Formalização",E1445="Concluído"),IF(COUNTIFS($B$2:$B$5001,B1445,$E$2:$E$5001,"Em ajustes",$A$2:$A$5001,"&lt;"&amp;I1445)&gt;0,1,0),0))</f>
        <v/>
      </c>
      <c r="L1445" s="16" t="str">
        <f aca="false">IF(B1445="","",IF(A1445=_xlfn.MAXIFS($A$2:$A$5001,$B$2:$B$5001,B1445,$I$2:$I$5001,I1445),1,0))</f>
        <v/>
      </c>
    </row>
    <row r="1446" customFormat="false" ht="15" hidden="false" customHeight="false" outlineLevel="0" collapsed="false">
      <c r="I1446" s="15" t="str">
        <f aca="false">IF(A1446="","",INT(A1446))</f>
        <v/>
      </c>
      <c r="J1446" s="16" t="str">
        <f aca="false">IF(B1446="","",IF(A1446=_xlfn.MINIFS($A$2:$A$5001,$B$2:$B$5001,B1446),1,0))</f>
        <v/>
      </c>
      <c r="K1446" s="16" t="str">
        <f aca="false">IF(B1446="","",IF(AND(D1446="Formalização",E1446="Concluído"),IF(COUNTIFS($B$2:$B$5001,B1446,$E$2:$E$5001,"Em ajustes",$A$2:$A$5001,"&lt;"&amp;I1446)&gt;0,1,0),0))</f>
        <v/>
      </c>
      <c r="L1446" s="16" t="str">
        <f aca="false">IF(B1446="","",IF(A1446=_xlfn.MAXIFS($A$2:$A$5001,$B$2:$B$5001,B1446,$I$2:$I$5001,I1446),1,0))</f>
        <v/>
      </c>
    </row>
    <row r="1447" customFormat="false" ht="15" hidden="false" customHeight="false" outlineLevel="0" collapsed="false">
      <c r="I1447" s="15" t="str">
        <f aca="false">IF(A1447="","",INT(A1447))</f>
        <v/>
      </c>
      <c r="J1447" s="16" t="str">
        <f aca="false">IF(B1447="","",IF(A1447=_xlfn.MINIFS($A$2:$A$5001,$B$2:$B$5001,B1447),1,0))</f>
        <v/>
      </c>
      <c r="K1447" s="16" t="str">
        <f aca="false">IF(B1447="","",IF(AND(D1447="Formalização",E1447="Concluído"),IF(COUNTIFS($B$2:$B$5001,B1447,$E$2:$E$5001,"Em ajustes",$A$2:$A$5001,"&lt;"&amp;I1447)&gt;0,1,0),0))</f>
        <v/>
      </c>
      <c r="L1447" s="16" t="str">
        <f aca="false">IF(B1447="","",IF(A1447=_xlfn.MAXIFS($A$2:$A$5001,$B$2:$B$5001,B1447,$I$2:$I$5001,I1447),1,0))</f>
        <v/>
      </c>
    </row>
    <row r="1448" customFormat="false" ht="15" hidden="false" customHeight="false" outlineLevel="0" collapsed="false">
      <c r="I1448" s="15" t="str">
        <f aca="false">IF(A1448="","",INT(A1448))</f>
        <v/>
      </c>
      <c r="J1448" s="16" t="str">
        <f aca="false">IF(B1448="","",IF(A1448=_xlfn.MINIFS($A$2:$A$5001,$B$2:$B$5001,B1448),1,0))</f>
        <v/>
      </c>
      <c r="K1448" s="16" t="str">
        <f aca="false">IF(B1448="","",IF(AND(D1448="Formalização",E1448="Concluído"),IF(COUNTIFS($B$2:$B$5001,B1448,$E$2:$E$5001,"Em ajustes",$A$2:$A$5001,"&lt;"&amp;I1448)&gt;0,1,0),0))</f>
        <v/>
      </c>
      <c r="L1448" s="16" t="str">
        <f aca="false">IF(B1448="","",IF(A1448=_xlfn.MAXIFS($A$2:$A$5001,$B$2:$B$5001,B1448,$I$2:$I$5001,I1448),1,0))</f>
        <v/>
      </c>
    </row>
    <row r="1449" customFormat="false" ht="15" hidden="false" customHeight="false" outlineLevel="0" collapsed="false">
      <c r="I1449" s="15" t="str">
        <f aca="false">IF(A1449="","",INT(A1449))</f>
        <v/>
      </c>
      <c r="J1449" s="16" t="str">
        <f aca="false">IF(B1449="","",IF(A1449=_xlfn.MINIFS($A$2:$A$5001,$B$2:$B$5001,B1449),1,0))</f>
        <v/>
      </c>
      <c r="K1449" s="16" t="str">
        <f aca="false">IF(B1449="","",IF(AND(D1449="Formalização",E1449="Concluído"),IF(COUNTIFS($B$2:$B$5001,B1449,$E$2:$E$5001,"Em ajustes",$A$2:$A$5001,"&lt;"&amp;I1449)&gt;0,1,0),0))</f>
        <v/>
      </c>
      <c r="L1449" s="16" t="str">
        <f aca="false">IF(B1449="","",IF(A1449=_xlfn.MAXIFS($A$2:$A$5001,$B$2:$B$5001,B1449,$I$2:$I$5001,I1449),1,0))</f>
        <v/>
      </c>
    </row>
    <row r="1450" customFormat="false" ht="15" hidden="false" customHeight="false" outlineLevel="0" collapsed="false">
      <c r="I1450" s="15" t="str">
        <f aca="false">IF(A1450="","",INT(A1450))</f>
        <v/>
      </c>
      <c r="J1450" s="16" t="str">
        <f aca="false">IF(B1450="","",IF(A1450=_xlfn.MINIFS($A$2:$A$5001,$B$2:$B$5001,B1450),1,0))</f>
        <v/>
      </c>
      <c r="K1450" s="16" t="str">
        <f aca="false">IF(B1450="","",IF(AND(D1450="Formalização",E1450="Concluído"),IF(COUNTIFS($B$2:$B$5001,B1450,$E$2:$E$5001,"Em ajustes",$A$2:$A$5001,"&lt;"&amp;I1450)&gt;0,1,0),0))</f>
        <v/>
      </c>
      <c r="L1450" s="16" t="str">
        <f aca="false">IF(B1450="","",IF(A1450=_xlfn.MAXIFS($A$2:$A$5001,$B$2:$B$5001,B1450,$I$2:$I$5001,I1450),1,0))</f>
        <v/>
      </c>
    </row>
    <row r="1451" customFormat="false" ht="15" hidden="false" customHeight="false" outlineLevel="0" collapsed="false">
      <c r="I1451" s="15" t="str">
        <f aca="false">IF(A1451="","",INT(A1451))</f>
        <v/>
      </c>
      <c r="J1451" s="16" t="str">
        <f aca="false">IF(B1451="","",IF(A1451=_xlfn.MINIFS($A$2:$A$5001,$B$2:$B$5001,B1451),1,0))</f>
        <v/>
      </c>
      <c r="K1451" s="16" t="str">
        <f aca="false">IF(B1451="","",IF(AND(D1451="Formalização",E1451="Concluído"),IF(COUNTIFS($B$2:$B$5001,B1451,$E$2:$E$5001,"Em ajustes",$A$2:$A$5001,"&lt;"&amp;I1451)&gt;0,1,0),0))</f>
        <v/>
      </c>
      <c r="L1451" s="16" t="str">
        <f aca="false">IF(B1451="","",IF(A1451=_xlfn.MAXIFS($A$2:$A$5001,$B$2:$B$5001,B1451,$I$2:$I$5001,I1451),1,0))</f>
        <v/>
      </c>
    </row>
    <row r="1452" customFormat="false" ht="15" hidden="false" customHeight="false" outlineLevel="0" collapsed="false">
      <c r="I1452" s="15" t="str">
        <f aca="false">IF(A1452="","",INT(A1452))</f>
        <v/>
      </c>
      <c r="J1452" s="16" t="str">
        <f aca="false">IF(B1452="","",IF(A1452=_xlfn.MINIFS($A$2:$A$5001,$B$2:$B$5001,B1452),1,0))</f>
        <v/>
      </c>
      <c r="K1452" s="16" t="str">
        <f aca="false">IF(B1452="","",IF(AND(D1452="Formalização",E1452="Concluído"),IF(COUNTIFS($B$2:$B$5001,B1452,$E$2:$E$5001,"Em ajustes",$A$2:$A$5001,"&lt;"&amp;I1452)&gt;0,1,0),0))</f>
        <v/>
      </c>
      <c r="L1452" s="16" t="str">
        <f aca="false">IF(B1452="","",IF(A1452=_xlfn.MAXIFS($A$2:$A$5001,$B$2:$B$5001,B1452,$I$2:$I$5001,I1452),1,0))</f>
        <v/>
      </c>
    </row>
    <row r="1453" customFormat="false" ht="15" hidden="false" customHeight="false" outlineLevel="0" collapsed="false">
      <c r="I1453" s="15" t="str">
        <f aca="false">IF(A1453="","",INT(A1453))</f>
        <v/>
      </c>
      <c r="J1453" s="16" t="str">
        <f aca="false">IF(B1453="","",IF(A1453=_xlfn.MINIFS($A$2:$A$5001,$B$2:$B$5001,B1453),1,0))</f>
        <v/>
      </c>
      <c r="K1453" s="16" t="str">
        <f aca="false">IF(B1453="","",IF(AND(D1453="Formalização",E1453="Concluído"),IF(COUNTIFS($B$2:$B$5001,B1453,$E$2:$E$5001,"Em ajustes",$A$2:$A$5001,"&lt;"&amp;I1453)&gt;0,1,0),0))</f>
        <v/>
      </c>
      <c r="L1453" s="16" t="str">
        <f aca="false">IF(B1453="","",IF(A1453=_xlfn.MAXIFS($A$2:$A$5001,$B$2:$B$5001,B1453,$I$2:$I$5001,I1453),1,0))</f>
        <v/>
      </c>
    </row>
    <row r="1454" customFormat="false" ht="15" hidden="false" customHeight="false" outlineLevel="0" collapsed="false">
      <c r="I1454" s="15" t="str">
        <f aca="false">IF(A1454="","",INT(A1454))</f>
        <v/>
      </c>
      <c r="J1454" s="16" t="str">
        <f aca="false">IF(B1454="","",IF(A1454=_xlfn.MINIFS($A$2:$A$5001,$B$2:$B$5001,B1454),1,0))</f>
        <v/>
      </c>
      <c r="K1454" s="16" t="str">
        <f aca="false">IF(B1454="","",IF(AND(D1454="Formalização",E1454="Concluído"),IF(COUNTIFS($B$2:$B$5001,B1454,$E$2:$E$5001,"Em ajustes",$A$2:$A$5001,"&lt;"&amp;I1454)&gt;0,1,0),0))</f>
        <v/>
      </c>
      <c r="L1454" s="16" t="str">
        <f aca="false">IF(B1454="","",IF(A1454=_xlfn.MAXIFS($A$2:$A$5001,$B$2:$B$5001,B1454,$I$2:$I$5001,I1454),1,0))</f>
        <v/>
      </c>
    </row>
    <row r="1455" customFormat="false" ht="15" hidden="false" customHeight="false" outlineLevel="0" collapsed="false">
      <c r="I1455" s="15" t="str">
        <f aca="false">IF(A1455="","",INT(A1455))</f>
        <v/>
      </c>
      <c r="J1455" s="16" t="str">
        <f aca="false">IF(B1455="","",IF(A1455=_xlfn.MINIFS($A$2:$A$5001,$B$2:$B$5001,B1455),1,0))</f>
        <v/>
      </c>
      <c r="K1455" s="16" t="str">
        <f aca="false">IF(B1455="","",IF(AND(D1455="Formalização",E1455="Concluído"),IF(COUNTIFS($B$2:$B$5001,B1455,$E$2:$E$5001,"Em ajustes",$A$2:$A$5001,"&lt;"&amp;I1455)&gt;0,1,0),0))</f>
        <v/>
      </c>
      <c r="L1455" s="16" t="str">
        <f aca="false">IF(B1455="","",IF(A1455=_xlfn.MAXIFS($A$2:$A$5001,$B$2:$B$5001,B1455,$I$2:$I$5001,I1455),1,0))</f>
        <v/>
      </c>
    </row>
    <row r="1456" customFormat="false" ht="15" hidden="false" customHeight="false" outlineLevel="0" collapsed="false">
      <c r="I1456" s="15" t="str">
        <f aca="false">IF(A1456="","",INT(A1456))</f>
        <v/>
      </c>
      <c r="J1456" s="16" t="str">
        <f aca="false">IF(B1456="","",IF(A1456=_xlfn.MINIFS($A$2:$A$5001,$B$2:$B$5001,B1456),1,0))</f>
        <v/>
      </c>
      <c r="K1456" s="16" t="str">
        <f aca="false">IF(B1456="","",IF(AND(D1456="Formalização",E1456="Concluído"),IF(COUNTIFS($B$2:$B$5001,B1456,$E$2:$E$5001,"Em ajustes",$A$2:$A$5001,"&lt;"&amp;I1456)&gt;0,1,0),0))</f>
        <v/>
      </c>
      <c r="L1456" s="16" t="str">
        <f aca="false">IF(B1456="","",IF(A1456=_xlfn.MAXIFS($A$2:$A$5001,$B$2:$B$5001,B1456,$I$2:$I$5001,I1456),1,0))</f>
        <v/>
      </c>
    </row>
    <row r="1457" customFormat="false" ht="15" hidden="false" customHeight="false" outlineLevel="0" collapsed="false">
      <c r="I1457" s="15" t="str">
        <f aca="false">IF(A1457="","",INT(A1457))</f>
        <v/>
      </c>
      <c r="J1457" s="16" t="str">
        <f aca="false">IF(B1457="","",IF(A1457=_xlfn.MINIFS($A$2:$A$5001,$B$2:$B$5001,B1457),1,0))</f>
        <v/>
      </c>
      <c r="K1457" s="16" t="str">
        <f aca="false">IF(B1457="","",IF(AND(D1457="Formalização",E1457="Concluído"),IF(COUNTIFS($B$2:$B$5001,B1457,$E$2:$E$5001,"Em ajustes",$A$2:$A$5001,"&lt;"&amp;I1457)&gt;0,1,0),0))</f>
        <v/>
      </c>
      <c r="L1457" s="16" t="str">
        <f aca="false">IF(B1457="","",IF(A1457=_xlfn.MAXIFS($A$2:$A$5001,$B$2:$B$5001,B1457,$I$2:$I$5001,I1457),1,0))</f>
        <v/>
      </c>
    </row>
    <row r="1458" customFormat="false" ht="15" hidden="false" customHeight="false" outlineLevel="0" collapsed="false">
      <c r="I1458" s="15" t="str">
        <f aca="false">IF(A1458="","",INT(A1458))</f>
        <v/>
      </c>
      <c r="J1458" s="16" t="str">
        <f aca="false">IF(B1458="","",IF(A1458=_xlfn.MINIFS($A$2:$A$5001,$B$2:$B$5001,B1458),1,0))</f>
        <v/>
      </c>
      <c r="K1458" s="16" t="str">
        <f aca="false">IF(B1458="","",IF(AND(D1458="Formalização",E1458="Concluído"),IF(COUNTIFS($B$2:$B$5001,B1458,$E$2:$E$5001,"Em ajustes",$A$2:$A$5001,"&lt;"&amp;I1458)&gt;0,1,0),0))</f>
        <v/>
      </c>
      <c r="L1458" s="16" t="str">
        <f aca="false">IF(B1458="","",IF(A1458=_xlfn.MAXIFS($A$2:$A$5001,$B$2:$B$5001,B1458,$I$2:$I$5001,I1458),1,0))</f>
        <v/>
      </c>
    </row>
    <row r="1459" customFormat="false" ht="15" hidden="false" customHeight="false" outlineLevel="0" collapsed="false">
      <c r="I1459" s="15" t="str">
        <f aca="false">IF(A1459="","",INT(A1459))</f>
        <v/>
      </c>
      <c r="J1459" s="16" t="str">
        <f aca="false">IF(B1459="","",IF(A1459=_xlfn.MINIFS($A$2:$A$5001,$B$2:$B$5001,B1459),1,0))</f>
        <v/>
      </c>
      <c r="K1459" s="16" t="str">
        <f aca="false">IF(B1459="","",IF(AND(D1459="Formalização",E1459="Concluído"),IF(COUNTIFS($B$2:$B$5001,B1459,$E$2:$E$5001,"Em ajustes",$A$2:$A$5001,"&lt;"&amp;I1459)&gt;0,1,0),0))</f>
        <v/>
      </c>
      <c r="L1459" s="16" t="str">
        <f aca="false">IF(B1459="","",IF(A1459=_xlfn.MAXIFS($A$2:$A$5001,$B$2:$B$5001,B1459,$I$2:$I$5001,I1459),1,0))</f>
        <v/>
      </c>
    </row>
    <row r="1460" customFormat="false" ht="15" hidden="false" customHeight="false" outlineLevel="0" collapsed="false">
      <c r="I1460" s="15" t="str">
        <f aca="false">IF(A1460="","",INT(A1460))</f>
        <v/>
      </c>
      <c r="J1460" s="16" t="str">
        <f aca="false">IF(B1460="","",IF(A1460=_xlfn.MINIFS($A$2:$A$5001,$B$2:$B$5001,B1460),1,0))</f>
        <v/>
      </c>
      <c r="K1460" s="16" t="str">
        <f aca="false">IF(B1460="","",IF(AND(D1460="Formalização",E1460="Concluído"),IF(COUNTIFS($B$2:$B$5001,B1460,$E$2:$E$5001,"Em ajustes",$A$2:$A$5001,"&lt;"&amp;I1460)&gt;0,1,0),0))</f>
        <v/>
      </c>
      <c r="L1460" s="16" t="str">
        <f aca="false">IF(B1460="","",IF(A1460=_xlfn.MAXIFS($A$2:$A$5001,$B$2:$B$5001,B1460,$I$2:$I$5001,I1460),1,0))</f>
        <v/>
      </c>
    </row>
    <row r="1461" customFormat="false" ht="15" hidden="false" customHeight="false" outlineLevel="0" collapsed="false">
      <c r="I1461" s="15" t="str">
        <f aca="false">IF(A1461="","",INT(A1461))</f>
        <v/>
      </c>
      <c r="J1461" s="16" t="str">
        <f aca="false">IF(B1461="","",IF(A1461=_xlfn.MINIFS($A$2:$A$5001,$B$2:$B$5001,B1461),1,0))</f>
        <v/>
      </c>
      <c r="K1461" s="16" t="str">
        <f aca="false">IF(B1461="","",IF(AND(D1461="Formalização",E1461="Concluído"),IF(COUNTIFS($B$2:$B$5001,B1461,$E$2:$E$5001,"Em ajustes",$A$2:$A$5001,"&lt;"&amp;I1461)&gt;0,1,0),0))</f>
        <v/>
      </c>
      <c r="L1461" s="16" t="str">
        <f aca="false">IF(B1461="","",IF(A1461=_xlfn.MAXIFS($A$2:$A$5001,$B$2:$B$5001,B1461,$I$2:$I$5001,I1461),1,0))</f>
        <v/>
      </c>
    </row>
    <row r="1462" customFormat="false" ht="15" hidden="false" customHeight="false" outlineLevel="0" collapsed="false">
      <c r="I1462" s="15" t="str">
        <f aca="false">IF(A1462="","",INT(A1462))</f>
        <v/>
      </c>
      <c r="J1462" s="16" t="str">
        <f aca="false">IF(B1462="","",IF(A1462=_xlfn.MINIFS($A$2:$A$5001,$B$2:$B$5001,B1462),1,0))</f>
        <v/>
      </c>
      <c r="K1462" s="16" t="str">
        <f aca="false">IF(B1462="","",IF(AND(D1462="Formalização",E1462="Concluído"),IF(COUNTIFS($B$2:$B$5001,B1462,$E$2:$E$5001,"Em ajustes",$A$2:$A$5001,"&lt;"&amp;I1462)&gt;0,1,0),0))</f>
        <v/>
      </c>
      <c r="L1462" s="16" t="str">
        <f aca="false">IF(B1462="","",IF(A1462=_xlfn.MAXIFS($A$2:$A$5001,$B$2:$B$5001,B1462,$I$2:$I$5001,I1462),1,0))</f>
        <v/>
      </c>
    </row>
    <row r="1463" customFormat="false" ht="15" hidden="false" customHeight="false" outlineLevel="0" collapsed="false">
      <c r="I1463" s="15" t="str">
        <f aca="false">IF(A1463="","",INT(A1463))</f>
        <v/>
      </c>
      <c r="J1463" s="16" t="str">
        <f aca="false">IF(B1463="","",IF(A1463=_xlfn.MINIFS($A$2:$A$5001,$B$2:$B$5001,B1463),1,0))</f>
        <v/>
      </c>
      <c r="K1463" s="16" t="str">
        <f aca="false">IF(B1463="","",IF(AND(D1463="Formalização",E1463="Concluído"),IF(COUNTIFS($B$2:$B$5001,B1463,$E$2:$E$5001,"Em ajustes",$A$2:$A$5001,"&lt;"&amp;I1463)&gt;0,1,0),0))</f>
        <v/>
      </c>
      <c r="L1463" s="16" t="str">
        <f aca="false">IF(B1463="","",IF(A1463=_xlfn.MAXIFS($A$2:$A$5001,$B$2:$B$5001,B1463,$I$2:$I$5001,I1463),1,0))</f>
        <v/>
      </c>
    </row>
    <row r="1464" customFormat="false" ht="15" hidden="false" customHeight="false" outlineLevel="0" collapsed="false">
      <c r="I1464" s="15" t="str">
        <f aca="false">IF(A1464="","",INT(A1464))</f>
        <v/>
      </c>
      <c r="J1464" s="16" t="str">
        <f aca="false">IF(B1464="","",IF(A1464=_xlfn.MINIFS($A$2:$A$5001,$B$2:$B$5001,B1464),1,0))</f>
        <v/>
      </c>
      <c r="K1464" s="16" t="str">
        <f aca="false">IF(B1464="","",IF(AND(D1464="Formalização",E1464="Concluído"),IF(COUNTIFS($B$2:$B$5001,B1464,$E$2:$E$5001,"Em ajustes",$A$2:$A$5001,"&lt;"&amp;I1464)&gt;0,1,0),0))</f>
        <v/>
      </c>
      <c r="L1464" s="16" t="str">
        <f aca="false">IF(B1464="","",IF(A1464=_xlfn.MAXIFS($A$2:$A$5001,$B$2:$B$5001,B1464,$I$2:$I$5001,I1464),1,0))</f>
        <v/>
      </c>
    </row>
    <row r="1465" customFormat="false" ht="15" hidden="false" customHeight="false" outlineLevel="0" collapsed="false">
      <c r="I1465" s="15" t="str">
        <f aca="false">IF(A1465="","",INT(A1465))</f>
        <v/>
      </c>
      <c r="J1465" s="16" t="str">
        <f aca="false">IF(B1465="","",IF(A1465=_xlfn.MINIFS($A$2:$A$5001,$B$2:$B$5001,B1465),1,0))</f>
        <v/>
      </c>
      <c r="K1465" s="16" t="str">
        <f aca="false">IF(B1465="","",IF(AND(D1465="Formalização",E1465="Concluído"),IF(COUNTIFS($B$2:$B$5001,B1465,$E$2:$E$5001,"Em ajustes",$A$2:$A$5001,"&lt;"&amp;I1465)&gt;0,1,0),0))</f>
        <v/>
      </c>
      <c r="L1465" s="16" t="str">
        <f aca="false">IF(B1465="","",IF(A1465=_xlfn.MAXIFS($A$2:$A$5001,$B$2:$B$5001,B1465,$I$2:$I$5001,I1465),1,0))</f>
        <v/>
      </c>
    </row>
    <row r="1466" customFormat="false" ht="15" hidden="false" customHeight="false" outlineLevel="0" collapsed="false">
      <c r="I1466" s="15" t="str">
        <f aca="false">IF(A1466="","",INT(A1466))</f>
        <v/>
      </c>
      <c r="J1466" s="16" t="str">
        <f aca="false">IF(B1466="","",IF(A1466=_xlfn.MINIFS($A$2:$A$5001,$B$2:$B$5001,B1466),1,0))</f>
        <v/>
      </c>
      <c r="K1466" s="16" t="str">
        <f aca="false">IF(B1466="","",IF(AND(D1466="Formalização",E1466="Concluído"),IF(COUNTIFS($B$2:$B$5001,B1466,$E$2:$E$5001,"Em ajustes",$A$2:$A$5001,"&lt;"&amp;I1466)&gt;0,1,0),0))</f>
        <v/>
      </c>
      <c r="L1466" s="16" t="str">
        <f aca="false">IF(B1466="","",IF(A1466=_xlfn.MAXIFS($A$2:$A$5001,$B$2:$B$5001,B1466,$I$2:$I$5001,I1466),1,0))</f>
        <v/>
      </c>
    </row>
    <row r="1467" customFormat="false" ht="15" hidden="false" customHeight="false" outlineLevel="0" collapsed="false">
      <c r="I1467" s="15" t="str">
        <f aca="false">IF(A1467="","",INT(A1467))</f>
        <v/>
      </c>
      <c r="J1467" s="16" t="str">
        <f aca="false">IF(B1467="","",IF(A1467=_xlfn.MINIFS($A$2:$A$5001,$B$2:$B$5001,B1467),1,0))</f>
        <v/>
      </c>
      <c r="K1467" s="16" t="str">
        <f aca="false">IF(B1467="","",IF(AND(D1467="Formalização",E1467="Concluído"),IF(COUNTIFS($B$2:$B$5001,B1467,$E$2:$E$5001,"Em ajustes",$A$2:$A$5001,"&lt;"&amp;I1467)&gt;0,1,0),0))</f>
        <v/>
      </c>
      <c r="L1467" s="16" t="str">
        <f aca="false">IF(B1467="","",IF(A1467=_xlfn.MAXIFS($A$2:$A$5001,$B$2:$B$5001,B1467,$I$2:$I$5001,I1467),1,0))</f>
        <v/>
      </c>
    </row>
    <row r="1468" customFormat="false" ht="15" hidden="false" customHeight="false" outlineLevel="0" collapsed="false">
      <c r="I1468" s="15" t="str">
        <f aca="false">IF(A1468="","",INT(A1468))</f>
        <v/>
      </c>
      <c r="J1468" s="16" t="str">
        <f aca="false">IF(B1468="","",IF(A1468=_xlfn.MINIFS($A$2:$A$5001,$B$2:$B$5001,B1468),1,0))</f>
        <v/>
      </c>
      <c r="K1468" s="16" t="str">
        <f aca="false">IF(B1468="","",IF(AND(D1468="Formalização",E1468="Concluído"),IF(COUNTIFS($B$2:$B$5001,B1468,$E$2:$E$5001,"Em ajustes",$A$2:$A$5001,"&lt;"&amp;I1468)&gt;0,1,0),0))</f>
        <v/>
      </c>
      <c r="L1468" s="16" t="str">
        <f aca="false">IF(B1468="","",IF(A1468=_xlfn.MAXIFS($A$2:$A$5001,$B$2:$B$5001,B1468,$I$2:$I$5001,I1468),1,0))</f>
        <v/>
      </c>
    </row>
    <row r="1469" customFormat="false" ht="15" hidden="false" customHeight="false" outlineLevel="0" collapsed="false">
      <c r="I1469" s="15" t="str">
        <f aca="false">IF(A1469="","",INT(A1469))</f>
        <v/>
      </c>
      <c r="J1469" s="16" t="str">
        <f aca="false">IF(B1469="","",IF(A1469=_xlfn.MINIFS($A$2:$A$5001,$B$2:$B$5001,B1469),1,0))</f>
        <v/>
      </c>
      <c r="K1469" s="16" t="str">
        <f aca="false">IF(B1469="","",IF(AND(D1469="Formalização",E1469="Concluído"),IF(COUNTIFS($B$2:$B$5001,B1469,$E$2:$E$5001,"Em ajustes",$A$2:$A$5001,"&lt;"&amp;I1469)&gt;0,1,0),0))</f>
        <v/>
      </c>
      <c r="L1469" s="16" t="str">
        <f aca="false">IF(B1469="","",IF(A1469=_xlfn.MAXIFS($A$2:$A$5001,$B$2:$B$5001,B1469,$I$2:$I$5001,I1469),1,0))</f>
        <v/>
      </c>
    </row>
    <row r="1470" customFormat="false" ht="15" hidden="false" customHeight="false" outlineLevel="0" collapsed="false">
      <c r="I1470" s="15" t="str">
        <f aca="false">IF(A1470="","",INT(A1470))</f>
        <v/>
      </c>
      <c r="J1470" s="16" t="str">
        <f aca="false">IF(B1470="","",IF(A1470=_xlfn.MINIFS($A$2:$A$5001,$B$2:$B$5001,B1470),1,0))</f>
        <v/>
      </c>
      <c r="K1470" s="16" t="str">
        <f aca="false">IF(B1470="","",IF(AND(D1470="Formalização",E1470="Concluído"),IF(COUNTIFS($B$2:$B$5001,B1470,$E$2:$E$5001,"Em ajustes",$A$2:$A$5001,"&lt;"&amp;I1470)&gt;0,1,0),0))</f>
        <v/>
      </c>
      <c r="L1470" s="16" t="str">
        <f aca="false">IF(B1470="","",IF(A1470=_xlfn.MAXIFS($A$2:$A$5001,$B$2:$B$5001,B1470,$I$2:$I$5001,I1470),1,0))</f>
        <v/>
      </c>
    </row>
    <row r="1471" customFormat="false" ht="15" hidden="false" customHeight="false" outlineLevel="0" collapsed="false">
      <c r="I1471" s="15" t="str">
        <f aca="false">IF(A1471="","",INT(A1471))</f>
        <v/>
      </c>
      <c r="J1471" s="16" t="str">
        <f aca="false">IF(B1471="","",IF(A1471=_xlfn.MINIFS($A$2:$A$5001,$B$2:$B$5001,B1471),1,0))</f>
        <v/>
      </c>
      <c r="K1471" s="16" t="str">
        <f aca="false">IF(B1471="","",IF(AND(D1471="Formalização",E1471="Concluído"),IF(COUNTIFS($B$2:$B$5001,B1471,$E$2:$E$5001,"Em ajustes",$A$2:$A$5001,"&lt;"&amp;I1471)&gt;0,1,0),0))</f>
        <v/>
      </c>
      <c r="L1471" s="16" t="str">
        <f aca="false">IF(B1471="","",IF(A1471=_xlfn.MAXIFS($A$2:$A$5001,$B$2:$B$5001,B1471,$I$2:$I$5001,I1471),1,0))</f>
        <v/>
      </c>
    </row>
    <row r="1472" customFormat="false" ht="15" hidden="false" customHeight="false" outlineLevel="0" collapsed="false">
      <c r="I1472" s="15" t="str">
        <f aca="false">IF(A1472="","",INT(A1472))</f>
        <v/>
      </c>
      <c r="J1472" s="16" t="str">
        <f aca="false">IF(B1472="","",IF(A1472=_xlfn.MINIFS($A$2:$A$5001,$B$2:$B$5001,B1472),1,0))</f>
        <v/>
      </c>
      <c r="K1472" s="16" t="str">
        <f aca="false">IF(B1472="","",IF(AND(D1472="Formalização",E1472="Concluído"),IF(COUNTIFS($B$2:$B$5001,B1472,$E$2:$E$5001,"Em ajustes",$A$2:$A$5001,"&lt;"&amp;I1472)&gt;0,1,0),0))</f>
        <v/>
      </c>
      <c r="L1472" s="16" t="str">
        <f aca="false">IF(B1472="","",IF(A1472=_xlfn.MAXIFS($A$2:$A$5001,$B$2:$B$5001,B1472,$I$2:$I$5001,I1472),1,0))</f>
        <v/>
      </c>
    </row>
    <row r="1473" customFormat="false" ht="15" hidden="false" customHeight="false" outlineLevel="0" collapsed="false">
      <c r="I1473" s="15" t="str">
        <f aca="false">IF(A1473="","",INT(A1473))</f>
        <v/>
      </c>
      <c r="J1473" s="16" t="str">
        <f aca="false">IF(B1473="","",IF(A1473=_xlfn.MINIFS($A$2:$A$5001,$B$2:$B$5001,B1473),1,0))</f>
        <v/>
      </c>
      <c r="K1473" s="16" t="str">
        <f aca="false">IF(B1473="","",IF(AND(D1473="Formalização",E1473="Concluído"),IF(COUNTIFS($B$2:$B$5001,B1473,$E$2:$E$5001,"Em ajustes",$A$2:$A$5001,"&lt;"&amp;I1473)&gt;0,1,0),0))</f>
        <v/>
      </c>
      <c r="L1473" s="16" t="str">
        <f aca="false">IF(B1473="","",IF(A1473=_xlfn.MAXIFS($A$2:$A$5001,$B$2:$B$5001,B1473,$I$2:$I$5001,I1473),1,0))</f>
        <v/>
      </c>
    </row>
    <row r="1474" customFormat="false" ht="15" hidden="false" customHeight="false" outlineLevel="0" collapsed="false">
      <c r="I1474" s="15" t="str">
        <f aca="false">IF(A1474="","",INT(A1474))</f>
        <v/>
      </c>
      <c r="J1474" s="16" t="str">
        <f aca="false">IF(B1474="","",IF(A1474=_xlfn.MINIFS($A$2:$A$5001,$B$2:$B$5001,B1474),1,0))</f>
        <v/>
      </c>
      <c r="K1474" s="16" t="str">
        <f aca="false">IF(B1474="","",IF(AND(D1474="Formalização",E1474="Concluído"),IF(COUNTIFS($B$2:$B$5001,B1474,$E$2:$E$5001,"Em ajustes",$A$2:$A$5001,"&lt;"&amp;I1474)&gt;0,1,0),0))</f>
        <v/>
      </c>
      <c r="L1474" s="16" t="str">
        <f aca="false">IF(B1474="","",IF(A1474=_xlfn.MAXIFS($A$2:$A$5001,$B$2:$B$5001,B1474,$I$2:$I$5001,I1474),1,0))</f>
        <v/>
      </c>
    </row>
    <row r="1475" customFormat="false" ht="15" hidden="false" customHeight="false" outlineLevel="0" collapsed="false">
      <c r="I1475" s="15" t="str">
        <f aca="false">IF(A1475="","",INT(A1475))</f>
        <v/>
      </c>
      <c r="J1475" s="16" t="str">
        <f aca="false">IF(B1475="","",IF(A1475=_xlfn.MINIFS($A$2:$A$5001,$B$2:$B$5001,B1475),1,0))</f>
        <v/>
      </c>
      <c r="K1475" s="16" t="str">
        <f aca="false">IF(B1475="","",IF(AND(D1475="Formalização",E1475="Concluído"),IF(COUNTIFS($B$2:$B$5001,B1475,$E$2:$E$5001,"Em ajustes",$A$2:$A$5001,"&lt;"&amp;I1475)&gt;0,1,0),0))</f>
        <v/>
      </c>
      <c r="L1475" s="16" t="str">
        <f aca="false">IF(B1475="","",IF(A1475=_xlfn.MAXIFS($A$2:$A$5001,$B$2:$B$5001,B1475,$I$2:$I$5001,I1475),1,0))</f>
        <v/>
      </c>
    </row>
    <row r="1476" customFormat="false" ht="15" hidden="false" customHeight="false" outlineLevel="0" collapsed="false">
      <c r="I1476" s="15" t="str">
        <f aca="false">IF(A1476="","",INT(A1476))</f>
        <v/>
      </c>
      <c r="J1476" s="16" t="str">
        <f aca="false">IF(B1476="","",IF(A1476=_xlfn.MINIFS($A$2:$A$5001,$B$2:$B$5001,B1476),1,0))</f>
        <v/>
      </c>
      <c r="K1476" s="16" t="str">
        <f aca="false">IF(B1476="","",IF(AND(D1476="Formalização",E1476="Concluído"),IF(COUNTIFS($B$2:$B$5001,B1476,$E$2:$E$5001,"Em ajustes",$A$2:$A$5001,"&lt;"&amp;I1476)&gt;0,1,0),0))</f>
        <v/>
      </c>
      <c r="L1476" s="16" t="str">
        <f aca="false">IF(B1476="","",IF(A1476=_xlfn.MAXIFS($A$2:$A$5001,$B$2:$B$5001,B1476,$I$2:$I$5001,I1476),1,0))</f>
        <v/>
      </c>
    </row>
    <row r="1477" customFormat="false" ht="15" hidden="false" customHeight="false" outlineLevel="0" collapsed="false">
      <c r="I1477" s="15" t="str">
        <f aca="false">IF(A1477="","",INT(A1477))</f>
        <v/>
      </c>
      <c r="J1477" s="16" t="str">
        <f aca="false">IF(B1477="","",IF(A1477=_xlfn.MINIFS($A$2:$A$5001,$B$2:$B$5001,B1477),1,0))</f>
        <v/>
      </c>
      <c r="K1477" s="16" t="str">
        <f aca="false">IF(B1477="","",IF(AND(D1477="Formalização",E1477="Concluído"),IF(COUNTIFS($B$2:$B$5001,B1477,$E$2:$E$5001,"Em ajustes",$A$2:$A$5001,"&lt;"&amp;I1477)&gt;0,1,0),0))</f>
        <v/>
      </c>
      <c r="L1477" s="16" t="str">
        <f aca="false">IF(B1477="","",IF(A1477=_xlfn.MAXIFS($A$2:$A$5001,$B$2:$B$5001,B1477,$I$2:$I$5001,I1477),1,0))</f>
        <v/>
      </c>
    </row>
    <row r="1478" customFormat="false" ht="15" hidden="false" customHeight="false" outlineLevel="0" collapsed="false">
      <c r="I1478" s="15" t="str">
        <f aca="false">IF(A1478="","",INT(A1478))</f>
        <v/>
      </c>
      <c r="J1478" s="16" t="str">
        <f aca="false">IF(B1478="","",IF(A1478=_xlfn.MINIFS($A$2:$A$5001,$B$2:$B$5001,B1478),1,0))</f>
        <v/>
      </c>
      <c r="K1478" s="16" t="str">
        <f aca="false">IF(B1478="","",IF(AND(D1478="Formalização",E1478="Concluído"),IF(COUNTIFS($B$2:$B$5001,B1478,$E$2:$E$5001,"Em ajustes",$A$2:$A$5001,"&lt;"&amp;I1478)&gt;0,1,0),0))</f>
        <v/>
      </c>
      <c r="L1478" s="16" t="str">
        <f aca="false">IF(B1478="","",IF(A1478=_xlfn.MAXIFS($A$2:$A$5001,$B$2:$B$5001,B1478,$I$2:$I$5001,I1478),1,0))</f>
        <v/>
      </c>
    </row>
    <row r="1479" customFormat="false" ht="15" hidden="false" customHeight="false" outlineLevel="0" collapsed="false">
      <c r="I1479" s="15" t="str">
        <f aca="false">IF(A1479="","",INT(A1479))</f>
        <v/>
      </c>
      <c r="J1479" s="16" t="str">
        <f aca="false">IF(B1479="","",IF(A1479=_xlfn.MINIFS($A$2:$A$5001,$B$2:$B$5001,B1479),1,0))</f>
        <v/>
      </c>
      <c r="K1479" s="16" t="str">
        <f aca="false">IF(B1479="","",IF(AND(D1479="Formalização",E1479="Concluído"),IF(COUNTIFS($B$2:$B$5001,B1479,$E$2:$E$5001,"Em ajustes",$A$2:$A$5001,"&lt;"&amp;I1479)&gt;0,1,0),0))</f>
        <v/>
      </c>
      <c r="L1479" s="16" t="str">
        <f aca="false">IF(B1479="","",IF(A1479=_xlfn.MAXIFS($A$2:$A$5001,$B$2:$B$5001,B1479,$I$2:$I$5001,I1479),1,0))</f>
        <v/>
      </c>
    </row>
    <row r="1480" customFormat="false" ht="15" hidden="false" customHeight="false" outlineLevel="0" collapsed="false">
      <c r="I1480" s="15" t="str">
        <f aca="false">IF(A1480="","",INT(A1480))</f>
        <v/>
      </c>
      <c r="J1480" s="16" t="str">
        <f aca="false">IF(B1480="","",IF(A1480=_xlfn.MINIFS($A$2:$A$5001,$B$2:$B$5001,B1480),1,0))</f>
        <v/>
      </c>
      <c r="K1480" s="16" t="str">
        <f aca="false">IF(B1480="","",IF(AND(D1480="Formalização",E1480="Concluído"),IF(COUNTIFS($B$2:$B$5001,B1480,$E$2:$E$5001,"Em ajustes",$A$2:$A$5001,"&lt;"&amp;I1480)&gt;0,1,0),0))</f>
        <v/>
      </c>
      <c r="L1480" s="16" t="str">
        <f aca="false">IF(B1480="","",IF(A1480=_xlfn.MAXIFS($A$2:$A$5001,$B$2:$B$5001,B1480,$I$2:$I$5001,I1480),1,0))</f>
        <v/>
      </c>
    </row>
    <row r="1481" customFormat="false" ht="15" hidden="false" customHeight="false" outlineLevel="0" collapsed="false">
      <c r="I1481" s="15" t="str">
        <f aca="false">IF(A1481="","",INT(A1481))</f>
        <v/>
      </c>
      <c r="J1481" s="16" t="str">
        <f aca="false">IF(B1481="","",IF(A1481=_xlfn.MINIFS($A$2:$A$5001,$B$2:$B$5001,B1481),1,0))</f>
        <v/>
      </c>
      <c r="K1481" s="16" t="str">
        <f aca="false">IF(B1481="","",IF(AND(D1481="Formalização",E1481="Concluído"),IF(COUNTIFS($B$2:$B$5001,B1481,$E$2:$E$5001,"Em ajustes",$A$2:$A$5001,"&lt;"&amp;I1481)&gt;0,1,0),0))</f>
        <v/>
      </c>
      <c r="L1481" s="16" t="str">
        <f aca="false">IF(B1481="","",IF(A1481=_xlfn.MAXIFS($A$2:$A$5001,$B$2:$B$5001,B1481,$I$2:$I$5001,I1481),1,0))</f>
        <v/>
      </c>
    </row>
    <row r="1482" customFormat="false" ht="15" hidden="false" customHeight="false" outlineLevel="0" collapsed="false">
      <c r="I1482" s="15" t="str">
        <f aca="false">IF(A1482="","",INT(A1482))</f>
        <v/>
      </c>
      <c r="J1482" s="16" t="str">
        <f aca="false">IF(B1482="","",IF(A1482=_xlfn.MINIFS($A$2:$A$5001,$B$2:$B$5001,B1482),1,0))</f>
        <v/>
      </c>
      <c r="K1482" s="16" t="str">
        <f aca="false">IF(B1482="","",IF(AND(D1482="Formalização",E1482="Concluído"),IF(COUNTIFS($B$2:$B$5001,B1482,$E$2:$E$5001,"Em ajustes",$A$2:$A$5001,"&lt;"&amp;I1482)&gt;0,1,0),0))</f>
        <v/>
      </c>
      <c r="L1482" s="16" t="str">
        <f aca="false">IF(B1482="","",IF(A1482=_xlfn.MAXIFS($A$2:$A$5001,$B$2:$B$5001,B1482,$I$2:$I$5001,I1482),1,0))</f>
        <v/>
      </c>
    </row>
    <row r="1483" customFormat="false" ht="15" hidden="false" customHeight="false" outlineLevel="0" collapsed="false">
      <c r="I1483" s="15" t="str">
        <f aca="false">IF(A1483="","",INT(A1483))</f>
        <v/>
      </c>
      <c r="J1483" s="16" t="str">
        <f aca="false">IF(B1483="","",IF(A1483=_xlfn.MINIFS($A$2:$A$5001,$B$2:$B$5001,B1483),1,0))</f>
        <v/>
      </c>
      <c r="K1483" s="16" t="str">
        <f aca="false">IF(B1483="","",IF(AND(D1483="Formalização",E1483="Concluído"),IF(COUNTIFS($B$2:$B$5001,B1483,$E$2:$E$5001,"Em ajustes",$A$2:$A$5001,"&lt;"&amp;I1483)&gt;0,1,0),0))</f>
        <v/>
      </c>
      <c r="L1483" s="16" t="str">
        <f aca="false">IF(B1483="","",IF(A1483=_xlfn.MAXIFS($A$2:$A$5001,$B$2:$B$5001,B1483,$I$2:$I$5001,I1483),1,0))</f>
        <v/>
      </c>
    </row>
    <row r="1484" customFormat="false" ht="15" hidden="false" customHeight="false" outlineLevel="0" collapsed="false">
      <c r="I1484" s="15" t="str">
        <f aca="false">IF(A1484="","",INT(A1484))</f>
        <v/>
      </c>
      <c r="J1484" s="16" t="str">
        <f aca="false">IF(B1484="","",IF(A1484=_xlfn.MINIFS($A$2:$A$5001,$B$2:$B$5001,B1484),1,0))</f>
        <v/>
      </c>
      <c r="K1484" s="16" t="str">
        <f aca="false">IF(B1484="","",IF(AND(D1484="Formalização",E1484="Concluído"),IF(COUNTIFS($B$2:$B$5001,B1484,$E$2:$E$5001,"Em ajustes",$A$2:$A$5001,"&lt;"&amp;I1484)&gt;0,1,0),0))</f>
        <v/>
      </c>
      <c r="L1484" s="16" t="str">
        <f aca="false">IF(B1484="","",IF(A1484=_xlfn.MAXIFS($A$2:$A$5001,$B$2:$B$5001,B1484,$I$2:$I$5001,I1484),1,0))</f>
        <v/>
      </c>
    </row>
    <row r="1485" customFormat="false" ht="15" hidden="false" customHeight="false" outlineLevel="0" collapsed="false">
      <c r="I1485" s="15" t="str">
        <f aca="false">IF(A1485="","",INT(A1485))</f>
        <v/>
      </c>
      <c r="J1485" s="16" t="str">
        <f aca="false">IF(B1485="","",IF(A1485=_xlfn.MINIFS($A$2:$A$5001,$B$2:$B$5001,B1485),1,0))</f>
        <v/>
      </c>
      <c r="K1485" s="16" t="str">
        <f aca="false">IF(B1485="","",IF(AND(D1485="Formalização",E1485="Concluído"),IF(COUNTIFS($B$2:$B$5001,B1485,$E$2:$E$5001,"Em ajustes",$A$2:$A$5001,"&lt;"&amp;I1485)&gt;0,1,0),0))</f>
        <v/>
      </c>
      <c r="L1485" s="16" t="str">
        <f aca="false">IF(B1485="","",IF(A1485=_xlfn.MAXIFS($A$2:$A$5001,$B$2:$B$5001,B1485,$I$2:$I$5001,I1485),1,0))</f>
        <v/>
      </c>
    </row>
    <row r="1486" customFormat="false" ht="15" hidden="false" customHeight="false" outlineLevel="0" collapsed="false">
      <c r="I1486" s="15" t="str">
        <f aca="false">IF(A1486="","",INT(A1486))</f>
        <v/>
      </c>
      <c r="J1486" s="16" t="str">
        <f aca="false">IF(B1486="","",IF(A1486=_xlfn.MINIFS($A$2:$A$5001,$B$2:$B$5001,B1486),1,0))</f>
        <v/>
      </c>
      <c r="K1486" s="16" t="str">
        <f aca="false">IF(B1486="","",IF(AND(D1486="Formalização",E1486="Concluído"),IF(COUNTIFS($B$2:$B$5001,B1486,$E$2:$E$5001,"Em ajustes",$A$2:$A$5001,"&lt;"&amp;I1486)&gt;0,1,0),0))</f>
        <v/>
      </c>
      <c r="L1486" s="16" t="str">
        <f aca="false">IF(B1486="","",IF(A1486=_xlfn.MAXIFS($A$2:$A$5001,$B$2:$B$5001,B1486,$I$2:$I$5001,I1486),1,0))</f>
        <v/>
      </c>
    </row>
    <row r="1487" customFormat="false" ht="15" hidden="false" customHeight="false" outlineLevel="0" collapsed="false">
      <c r="I1487" s="15" t="str">
        <f aca="false">IF(A1487="","",INT(A1487))</f>
        <v/>
      </c>
      <c r="J1487" s="16" t="str">
        <f aca="false">IF(B1487="","",IF(A1487=_xlfn.MINIFS($A$2:$A$5001,$B$2:$B$5001,B1487),1,0))</f>
        <v/>
      </c>
      <c r="K1487" s="16" t="str">
        <f aca="false">IF(B1487="","",IF(AND(D1487="Formalização",E1487="Concluído"),IF(COUNTIFS($B$2:$B$5001,B1487,$E$2:$E$5001,"Em ajustes",$A$2:$A$5001,"&lt;"&amp;I1487)&gt;0,1,0),0))</f>
        <v/>
      </c>
      <c r="L1487" s="16" t="str">
        <f aca="false">IF(B1487="","",IF(A1487=_xlfn.MAXIFS($A$2:$A$5001,$B$2:$B$5001,B1487,$I$2:$I$5001,I1487),1,0))</f>
        <v/>
      </c>
    </row>
    <row r="1488" customFormat="false" ht="15" hidden="false" customHeight="false" outlineLevel="0" collapsed="false">
      <c r="I1488" s="15" t="str">
        <f aca="false">IF(A1488="","",INT(A1488))</f>
        <v/>
      </c>
      <c r="J1488" s="16" t="str">
        <f aca="false">IF(B1488="","",IF(A1488=_xlfn.MINIFS($A$2:$A$5001,$B$2:$B$5001,B1488),1,0))</f>
        <v/>
      </c>
      <c r="K1488" s="16" t="str">
        <f aca="false">IF(B1488="","",IF(AND(D1488="Formalização",E1488="Concluído"),IF(COUNTIFS($B$2:$B$5001,B1488,$E$2:$E$5001,"Em ajustes",$A$2:$A$5001,"&lt;"&amp;I1488)&gt;0,1,0),0))</f>
        <v/>
      </c>
      <c r="L1488" s="16" t="str">
        <f aca="false">IF(B1488="","",IF(A1488=_xlfn.MAXIFS($A$2:$A$5001,$B$2:$B$5001,B1488,$I$2:$I$5001,I1488),1,0))</f>
        <v/>
      </c>
    </row>
    <row r="1489" customFormat="false" ht="15" hidden="false" customHeight="false" outlineLevel="0" collapsed="false">
      <c r="I1489" s="15" t="str">
        <f aca="false">IF(A1489="","",INT(A1489))</f>
        <v/>
      </c>
      <c r="J1489" s="16" t="str">
        <f aca="false">IF(B1489="","",IF(A1489=_xlfn.MINIFS($A$2:$A$5001,$B$2:$B$5001,B1489),1,0))</f>
        <v/>
      </c>
      <c r="K1489" s="16" t="str">
        <f aca="false">IF(B1489="","",IF(AND(D1489="Formalização",E1489="Concluído"),IF(COUNTIFS($B$2:$B$5001,B1489,$E$2:$E$5001,"Em ajustes",$A$2:$A$5001,"&lt;"&amp;I1489)&gt;0,1,0),0))</f>
        <v/>
      </c>
      <c r="L1489" s="16" t="str">
        <f aca="false">IF(B1489="","",IF(A1489=_xlfn.MAXIFS($A$2:$A$5001,$B$2:$B$5001,B1489,$I$2:$I$5001,I1489),1,0))</f>
        <v/>
      </c>
    </row>
    <row r="1490" customFormat="false" ht="15" hidden="false" customHeight="false" outlineLevel="0" collapsed="false">
      <c r="I1490" s="15" t="str">
        <f aca="false">IF(A1490="","",INT(A1490))</f>
        <v/>
      </c>
      <c r="J1490" s="16" t="str">
        <f aca="false">IF(B1490="","",IF(A1490=_xlfn.MINIFS($A$2:$A$5001,$B$2:$B$5001,B1490),1,0))</f>
        <v/>
      </c>
      <c r="K1490" s="16" t="str">
        <f aca="false">IF(B1490="","",IF(AND(D1490="Formalização",E1490="Concluído"),IF(COUNTIFS($B$2:$B$5001,B1490,$E$2:$E$5001,"Em ajustes",$A$2:$A$5001,"&lt;"&amp;I1490)&gt;0,1,0),0))</f>
        <v/>
      </c>
      <c r="L1490" s="16" t="str">
        <f aca="false">IF(B1490="","",IF(A1490=_xlfn.MAXIFS($A$2:$A$5001,$B$2:$B$5001,B1490,$I$2:$I$5001,I1490),1,0))</f>
        <v/>
      </c>
    </row>
    <row r="1491" customFormat="false" ht="15" hidden="false" customHeight="false" outlineLevel="0" collapsed="false">
      <c r="I1491" s="15" t="str">
        <f aca="false">IF(A1491="","",INT(A1491))</f>
        <v/>
      </c>
      <c r="J1491" s="16" t="str">
        <f aca="false">IF(B1491="","",IF(A1491=_xlfn.MINIFS($A$2:$A$5001,$B$2:$B$5001,B1491),1,0))</f>
        <v/>
      </c>
      <c r="K1491" s="16" t="str">
        <f aca="false">IF(B1491="","",IF(AND(D1491="Formalização",E1491="Concluído"),IF(COUNTIFS($B$2:$B$5001,B1491,$E$2:$E$5001,"Em ajustes",$A$2:$A$5001,"&lt;"&amp;I1491)&gt;0,1,0),0))</f>
        <v/>
      </c>
      <c r="L1491" s="16" t="str">
        <f aca="false">IF(B1491="","",IF(A1491=_xlfn.MAXIFS($A$2:$A$5001,$B$2:$B$5001,B1491,$I$2:$I$5001,I1491),1,0))</f>
        <v/>
      </c>
    </row>
    <row r="1492" customFormat="false" ht="15" hidden="false" customHeight="false" outlineLevel="0" collapsed="false">
      <c r="I1492" s="15" t="str">
        <f aca="false">IF(A1492="","",INT(A1492))</f>
        <v/>
      </c>
      <c r="J1492" s="16" t="str">
        <f aca="false">IF(B1492="","",IF(A1492=_xlfn.MINIFS($A$2:$A$5001,$B$2:$B$5001,B1492),1,0))</f>
        <v/>
      </c>
      <c r="K1492" s="16" t="str">
        <f aca="false">IF(B1492="","",IF(AND(D1492="Formalização",E1492="Concluído"),IF(COUNTIFS($B$2:$B$5001,B1492,$E$2:$E$5001,"Em ajustes",$A$2:$A$5001,"&lt;"&amp;I1492)&gt;0,1,0),0))</f>
        <v/>
      </c>
      <c r="L1492" s="16" t="str">
        <f aca="false">IF(B1492="","",IF(A1492=_xlfn.MAXIFS($A$2:$A$5001,$B$2:$B$5001,B1492,$I$2:$I$5001,I1492),1,0))</f>
        <v/>
      </c>
    </row>
    <row r="1493" customFormat="false" ht="15" hidden="false" customHeight="false" outlineLevel="0" collapsed="false">
      <c r="I1493" s="15" t="str">
        <f aca="false">IF(A1493="","",INT(A1493))</f>
        <v/>
      </c>
      <c r="J1493" s="16" t="str">
        <f aca="false">IF(B1493="","",IF(A1493=_xlfn.MINIFS($A$2:$A$5001,$B$2:$B$5001,B1493),1,0))</f>
        <v/>
      </c>
      <c r="K1493" s="16" t="str">
        <f aca="false">IF(B1493="","",IF(AND(D1493="Formalização",E1493="Concluído"),IF(COUNTIFS($B$2:$B$5001,B1493,$E$2:$E$5001,"Em ajustes",$A$2:$A$5001,"&lt;"&amp;I1493)&gt;0,1,0),0))</f>
        <v/>
      </c>
      <c r="L1493" s="16" t="str">
        <f aca="false">IF(B1493="","",IF(A1493=_xlfn.MAXIFS($A$2:$A$5001,$B$2:$B$5001,B1493,$I$2:$I$5001,I1493),1,0))</f>
        <v/>
      </c>
    </row>
    <row r="1494" customFormat="false" ht="15" hidden="false" customHeight="false" outlineLevel="0" collapsed="false">
      <c r="I1494" s="15" t="str">
        <f aca="false">IF(A1494="","",INT(A1494))</f>
        <v/>
      </c>
      <c r="J1494" s="16" t="str">
        <f aca="false">IF(B1494="","",IF(A1494=_xlfn.MINIFS($A$2:$A$5001,$B$2:$B$5001,B1494),1,0))</f>
        <v/>
      </c>
      <c r="K1494" s="16" t="str">
        <f aca="false">IF(B1494="","",IF(AND(D1494="Formalização",E1494="Concluído"),IF(COUNTIFS($B$2:$B$5001,B1494,$E$2:$E$5001,"Em ajustes",$A$2:$A$5001,"&lt;"&amp;I1494)&gt;0,1,0),0))</f>
        <v/>
      </c>
      <c r="L1494" s="16" t="str">
        <f aca="false">IF(B1494="","",IF(A1494=_xlfn.MAXIFS($A$2:$A$5001,$B$2:$B$5001,B1494,$I$2:$I$5001,I1494),1,0))</f>
        <v/>
      </c>
    </row>
    <row r="1495" customFormat="false" ht="15" hidden="false" customHeight="false" outlineLevel="0" collapsed="false">
      <c r="I1495" s="15" t="str">
        <f aca="false">IF(A1495="","",INT(A1495))</f>
        <v/>
      </c>
      <c r="J1495" s="16" t="str">
        <f aca="false">IF(B1495="","",IF(A1495=_xlfn.MINIFS($A$2:$A$5001,$B$2:$B$5001,B1495),1,0))</f>
        <v/>
      </c>
      <c r="K1495" s="16" t="str">
        <f aca="false">IF(B1495="","",IF(AND(D1495="Formalização",E1495="Concluído"),IF(COUNTIFS($B$2:$B$5001,B1495,$E$2:$E$5001,"Em ajustes",$A$2:$A$5001,"&lt;"&amp;I1495)&gt;0,1,0),0))</f>
        <v/>
      </c>
      <c r="L1495" s="16" t="str">
        <f aca="false">IF(B1495="","",IF(A1495=_xlfn.MAXIFS($A$2:$A$5001,$B$2:$B$5001,B1495,$I$2:$I$5001,I1495),1,0))</f>
        <v/>
      </c>
    </row>
    <row r="1496" customFormat="false" ht="15" hidden="false" customHeight="false" outlineLevel="0" collapsed="false">
      <c r="I1496" s="15" t="str">
        <f aca="false">IF(A1496="","",INT(A1496))</f>
        <v/>
      </c>
      <c r="J1496" s="16" t="str">
        <f aca="false">IF(B1496="","",IF(A1496=_xlfn.MINIFS($A$2:$A$5001,$B$2:$B$5001,B1496),1,0))</f>
        <v/>
      </c>
      <c r="K1496" s="16" t="str">
        <f aca="false">IF(B1496="","",IF(AND(D1496="Formalização",E1496="Concluído"),IF(COUNTIFS($B$2:$B$5001,B1496,$E$2:$E$5001,"Em ajustes",$A$2:$A$5001,"&lt;"&amp;I1496)&gt;0,1,0),0))</f>
        <v/>
      </c>
      <c r="L1496" s="16" t="str">
        <f aca="false">IF(B1496="","",IF(A1496=_xlfn.MAXIFS($A$2:$A$5001,$B$2:$B$5001,B1496,$I$2:$I$5001,I1496),1,0))</f>
        <v/>
      </c>
    </row>
    <row r="1497" customFormat="false" ht="15" hidden="false" customHeight="false" outlineLevel="0" collapsed="false">
      <c r="I1497" s="15" t="str">
        <f aca="false">IF(A1497="","",INT(A1497))</f>
        <v/>
      </c>
      <c r="J1497" s="16" t="str">
        <f aca="false">IF(B1497="","",IF(A1497=_xlfn.MINIFS($A$2:$A$5001,$B$2:$B$5001,B1497),1,0))</f>
        <v/>
      </c>
      <c r="K1497" s="16" t="str">
        <f aca="false">IF(B1497="","",IF(AND(D1497="Formalização",E1497="Concluído"),IF(COUNTIFS($B$2:$B$5001,B1497,$E$2:$E$5001,"Em ajustes",$A$2:$A$5001,"&lt;"&amp;I1497)&gt;0,1,0),0))</f>
        <v/>
      </c>
      <c r="L1497" s="16" t="str">
        <f aca="false">IF(B1497="","",IF(A1497=_xlfn.MAXIFS($A$2:$A$5001,$B$2:$B$5001,B1497,$I$2:$I$5001,I1497),1,0))</f>
        <v/>
      </c>
    </row>
    <row r="1498" customFormat="false" ht="15" hidden="false" customHeight="false" outlineLevel="0" collapsed="false">
      <c r="I1498" s="15" t="str">
        <f aca="false">IF(A1498="","",INT(A1498))</f>
        <v/>
      </c>
      <c r="J1498" s="16" t="str">
        <f aca="false">IF(B1498="","",IF(A1498=_xlfn.MINIFS($A$2:$A$5001,$B$2:$B$5001,B1498),1,0))</f>
        <v/>
      </c>
      <c r="K1498" s="16" t="str">
        <f aca="false">IF(B1498="","",IF(AND(D1498="Formalização",E1498="Concluído"),IF(COUNTIFS($B$2:$B$5001,B1498,$E$2:$E$5001,"Em ajustes",$A$2:$A$5001,"&lt;"&amp;I1498)&gt;0,1,0),0))</f>
        <v/>
      </c>
      <c r="L1498" s="16" t="str">
        <f aca="false">IF(B1498="","",IF(A1498=_xlfn.MAXIFS($A$2:$A$5001,$B$2:$B$5001,B1498,$I$2:$I$5001,I1498),1,0))</f>
        <v/>
      </c>
    </row>
    <row r="1499" customFormat="false" ht="15" hidden="false" customHeight="false" outlineLevel="0" collapsed="false">
      <c r="I1499" s="15" t="str">
        <f aca="false">IF(A1499="","",INT(A1499))</f>
        <v/>
      </c>
      <c r="J1499" s="16" t="str">
        <f aca="false">IF(B1499="","",IF(A1499=_xlfn.MINIFS($A$2:$A$5001,$B$2:$B$5001,B1499),1,0))</f>
        <v/>
      </c>
      <c r="K1499" s="16" t="str">
        <f aca="false">IF(B1499="","",IF(AND(D1499="Formalização",E1499="Concluído"),IF(COUNTIFS($B$2:$B$5001,B1499,$E$2:$E$5001,"Em ajustes",$A$2:$A$5001,"&lt;"&amp;I1499)&gt;0,1,0),0))</f>
        <v/>
      </c>
      <c r="L1499" s="16" t="str">
        <f aca="false">IF(B1499="","",IF(A1499=_xlfn.MAXIFS($A$2:$A$5001,$B$2:$B$5001,B1499,$I$2:$I$5001,I1499),1,0))</f>
        <v/>
      </c>
    </row>
    <row r="1500" customFormat="false" ht="15" hidden="false" customHeight="false" outlineLevel="0" collapsed="false">
      <c r="I1500" s="15" t="str">
        <f aca="false">IF(A1500="","",INT(A1500))</f>
        <v/>
      </c>
      <c r="J1500" s="16" t="str">
        <f aca="false">IF(B1500="","",IF(A1500=_xlfn.MINIFS($A$2:$A$5001,$B$2:$B$5001,B1500),1,0))</f>
        <v/>
      </c>
      <c r="K1500" s="16" t="str">
        <f aca="false">IF(B1500="","",IF(AND(D1500="Formalização",E1500="Concluído"),IF(COUNTIFS($B$2:$B$5001,B1500,$E$2:$E$5001,"Em ajustes",$A$2:$A$5001,"&lt;"&amp;I1500)&gt;0,1,0),0))</f>
        <v/>
      </c>
      <c r="L1500" s="16" t="str">
        <f aca="false">IF(B1500="","",IF(A1500=_xlfn.MAXIFS($A$2:$A$5001,$B$2:$B$5001,B1500,$I$2:$I$5001,I1500),1,0))</f>
        <v/>
      </c>
    </row>
    <row r="1501" customFormat="false" ht="15" hidden="false" customHeight="false" outlineLevel="0" collapsed="false">
      <c r="I1501" s="15" t="str">
        <f aca="false">IF(A1501="","",INT(A1501))</f>
        <v/>
      </c>
      <c r="J1501" s="16" t="str">
        <f aca="false">IF(B1501="","",IF(A1501=_xlfn.MINIFS($A$2:$A$5001,$B$2:$B$5001,B1501),1,0))</f>
        <v/>
      </c>
      <c r="K1501" s="16" t="str">
        <f aca="false">IF(B1501="","",IF(AND(D1501="Formalização",E1501="Concluído"),IF(COUNTIFS($B$2:$B$5001,B1501,$E$2:$E$5001,"Em ajustes",$A$2:$A$5001,"&lt;"&amp;I1501)&gt;0,1,0),0))</f>
        <v/>
      </c>
      <c r="L1501" s="16" t="str">
        <f aca="false">IF(B1501="","",IF(A1501=_xlfn.MAXIFS($A$2:$A$5001,$B$2:$B$5001,B1501,$I$2:$I$5001,I1501),1,0))</f>
        <v/>
      </c>
    </row>
    <row r="1502" customFormat="false" ht="15" hidden="false" customHeight="false" outlineLevel="0" collapsed="false">
      <c r="I1502" s="15" t="str">
        <f aca="false">IF(A1502="","",INT(A1502))</f>
        <v/>
      </c>
      <c r="J1502" s="16" t="str">
        <f aca="false">IF(B1502="","",IF(A1502=_xlfn.MINIFS($A$2:$A$5001,$B$2:$B$5001,B1502),1,0))</f>
        <v/>
      </c>
      <c r="K1502" s="16" t="str">
        <f aca="false">IF(B1502="","",IF(AND(D1502="Formalização",E1502="Concluído"),IF(COUNTIFS($B$2:$B$5001,B1502,$E$2:$E$5001,"Em ajustes",$A$2:$A$5001,"&lt;"&amp;I1502)&gt;0,1,0),0))</f>
        <v/>
      </c>
      <c r="L1502" s="16" t="str">
        <f aca="false">IF(B1502="","",IF(A1502=_xlfn.MAXIFS($A$2:$A$5001,$B$2:$B$5001,B1502,$I$2:$I$5001,I1502),1,0))</f>
        <v/>
      </c>
    </row>
    <row r="1503" customFormat="false" ht="15" hidden="false" customHeight="false" outlineLevel="0" collapsed="false">
      <c r="I1503" s="15" t="str">
        <f aca="false">IF(A1503="","",INT(A1503))</f>
        <v/>
      </c>
      <c r="J1503" s="16" t="str">
        <f aca="false">IF(B1503="","",IF(A1503=_xlfn.MINIFS($A$2:$A$5001,$B$2:$B$5001,B1503),1,0))</f>
        <v/>
      </c>
      <c r="K1503" s="16" t="str">
        <f aca="false">IF(B1503="","",IF(AND(D1503="Formalização",E1503="Concluído"),IF(COUNTIFS($B$2:$B$5001,B1503,$E$2:$E$5001,"Em ajustes",$A$2:$A$5001,"&lt;"&amp;I1503)&gt;0,1,0),0))</f>
        <v/>
      </c>
      <c r="L1503" s="16" t="str">
        <f aca="false">IF(B1503="","",IF(A1503=_xlfn.MAXIFS($A$2:$A$5001,$B$2:$B$5001,B1503,$I$2:$I$5001,I1503),1,0))</f>
        <v/>
      </c>
    </row>
    <row r="1504" customFormat="false" ht="15" hidden="false" customHeight="false" outlineLevel="0" collapsed="false">
      <c r="I1504" s="15" t="str">
        <f aca="false">IF(A1504="","",INT(A1504))</f>
        <v/>
      </c>
      <c r="J1504" s="16" t="str">
        <f aca="false">IF(B1504="","",IF(A1504=_xlfn.MINIFS($A$2:$A$5001,$B$2:$B$5001,B1504),1,0))</f>
        <v/>
      </c>
      <c r="K1504" s="16" t="str">
        <f aca="false">IF(B1504="","",IF(AND(D1504="Formalização",E1504="Concluído"),IF(COUNTIFS($B$2:$B$5001,B1504,$E$2:$E$5001,"Em ajustes",$A$2:$A$5001,"&lt;"&amp;I1504)&gt;0,1,0),0))</f>
        <v/>
      </c>
      <c r="L1504" s="16" t="str">
        <f aca="false">IF(B1504="","",IF(A1504=_xlfn.MAXIFS($A$2:$A$5001,$B$2:$B$5001,B1504,$I$2:$I$5001,I1504),1,0))</f>
        <v/>
      </c>
    </row>
    <row r="1505" customFormat="false" ht="15" hidden="false" customHeight="false" outlineLevel="0" collapsed="false">
      <c r="I1505" s="15" t="str">
        <f aca="false">IF(A1505="","",INT(A1505))</f>
        <v/>
      </c>
      <c r="J1505" s="16" t="str">
        <f aca="false">IF(B1505="","",IF(A1505=_xlfn.MINIFS($A$2:$A$5001,$B$2:$B$5001,B1505),1,0))</f>
        <v/>
      </c>
      <c r="K1505" s="16" t="str">
        <f aca="false">IF(B1505="","",IF(AND(D1505="Formalização",E1505="Concluído"),IF(COUNTIFS($B$2:$B$5001,B1505,$E$2:$E$5001,"Em ajustes",$A$2:$A$5001,"&lt;"&amp;I1505)&gt;0,1,0),0))</f>
        <v/>
      </c>
      <c r="L1505" s="16" t="str">
        <f aca="false">IF(B1505="","",IF(A1505=_xlfn.MAXIFS($A$2:$A$5001,$B$2:$B$5001,B1505,$I$2:$I$5001,I1505),1,0))</f>
        <v/>
      </c>
    </row>
    <row r="1506" customFormat="false" ht="15" hidden="false" customHeight="false" outlineLevel="0" collapsed="false">
      <c r="I1506" s="15" t="str">
        <f aca="false">IF(A1506="","",INT(A1506))</f>
        <v/>
      </c>
      <c r="J1506" s="16" t="str">
        <f aca="false">IF(B1506="","",IF(A1506=_xlfn.MINIFS($A$2:$A$5001,$B$2:$B$5001,B1506),1,0))</f>
        <v/>
      </c>
      <c r="K1506" s="16" t="str">
        <f aca="false">IF(B1506="","",IF(AND(D1506="Formalização",E1506="Concluído"),IF(COUNTIFS($B$2:$B$5001,B1506,$E$2:$E$5001,"Em ajustes",$A$2:$A$5001,"&lt;"&amp;I1506)&gt;0,1,0),0))</f>
        <v/>
      </c>
      <c r="L1506" s="16" t="str">
        <f aca="false">IF(B1506="","",IF(A1506=_xlfn.MAXIFS($A$2:$A$5001,$B$2:$B$5001,B1506,$I$2:$I$5001,I1506),1,0))</f>
        <v/>
      </c>
    </row>
    <row r="1507" customFormat="false" ht="15" hidden="false" customHeight="false" outlineLevel="0" collapsed="false">
      <c r="I1507" s="15" t="str">
        <f aca="false">IF(A1507="","",INT(A1507))</f>
        <v/>
      </c>
      <c r="J1507" s="16" t="str">
        <f aca="false">IF(B1507="","",IF(A1507=_xlfn.MINIFS($A$2:$A$5001,$B$2:$B$5001,B1507),1,0))</f>
        <v/>
      </c>
      <c r="K1507" s="16" t="str">
        <f aca="false">IF(B1507="","",IF(AND(D1507="Formalização",E1507="Concluído"),IF(COUNTIFS($B$2:$B$5001,B1507,$E$2:$E$5001,"Em ajustes",$A$2:$A$5001,"&lt;"&amp;I1507)&gt;0,1,0),0))</f>
        <v/>
      </c>
      <c r="L1507" s="16" t="str">
        <f aca="false">IF(B1507="","",IF(A1507=_xlfn.MAXIFS($A$2:$A$5001,$B$2:$B$5001,B1507,$I$2:$I$5001,I1507),1,0))</f>
        <v/>
      </c>
    </row>
    <row r="1508" customFormat="false" ht="15" hidden="false" customHeight="false" outlineLevel="0" collapsed="false">
      <c r="I1508" s="15" t="str">
        <f aca="false">IF(A1508="","",INT(A1508))</f>
        <v/>
      </c>
      <c r="J1508" s="16" t="str">
        <f aca="false">IF(B1508="","",IF(A1508=_xlfn.MINIFS($A$2:$A$5001,$B$2:$B$5001,B1508),1,0))</f>
        <v/>
      </c>
      <c r="K1508" s="16" t="str">
        <f aca="false">IF(B1508="","",IF(AND(D1508="Formalização",E1508="Concluído"),IF(COUNTIFS($B$2:$B$5001,B1508,$E$2:$E$5001,"Em ajustes",$A$2:$A$5001,"&lt;"&amp;I1508)&gt;0,1,0),0))</f>
        <v/>
      </c>
      <c r="L1508" s="16" t="str">
        <f aca="false">IF(B1508="","",IF(A1508=_xlfn.MAXIFS($A$2:$A$5001,$B$2:$B$5001,B1508,$I$2:$I$5001,I1508),1,0))</f>
        <v/>
      </c>
    </row>
    <row r="1509" customFormat="false" ht="15" hidden="false" customHeight="false" outlineLevel="0" collapsed="false">
      <c r="I1509" s="15" t="str">
        <f aca="false">IF(A1509="","",INT(A1509))</f>
        <v/>
      </c>
      <c r="J1509" s="16" t="str">
        <f aca="false">IF(B1509="","",IF(A1509=_xlfn.MINIFS($A$2:$A$5001,$B$2:$B$5001,B1509),1,0))</f>
        <v/>
      </c>
      <c r="K1509" s="16" t="str">
        <f aca="false">IF(B1509="","",IF(AND(D1509="Formalização",E1509="Concluído"),IF(COUNTIFS($B$2:$B$5001,B1509,$E$2:$E$5001,"Em ajustes",$A$2:$A$5001,"&lt;"&amp;I1509)&gt;0,1,0),0))</f>
        <v/>
      </c>
      <c r="L1509" s="16" t="str">
        <f aca="false">IF(B1509="","",IF(A1509=_xlfn.MAXIFS($A$2:$A$5001,$B$2:$B$5001,B1509,$I$2:$I$5001,I1509),1,0))</f>
        <v/>
      </c>
    </row>
    <row r="1510" customFormat="false" ht="15" hidden="false" customHeight="false" outlineLevel="0" collapsed="false">
      <c r="I1510" s="15" t="str">
        <f aca="false">IF(A1510="","",INT(A1510))</f>
        <v/>
      </c>
      <c r="J1510" s="16" t="str">
        <f aca="false">IF(B1510="","",IF(A1510=_xlfn.MINIFS($A$2:$A$5001,$B$2:$B$5001,B1510),1,0))</f>
        <v/>
      </c>
      <c r="K1510" s="16" t="str">
        <f aca="false">IF(B1510="","",IF(AND(D1510="Formalização",E1510="Concluído"),IF(COUNTIFS($B$2:$B$5001,B1510,$E$2:$E$5001,"Em ajustes",$A$2:$A$5001,"&lt;"&amp;I1510)&gt;0,1,0),0))</f>
        <v/>
      </c>
      <c r="L1510" s="16" t="str">
        <f aca="false">IF(B1510="","",IF(A1510=_xlfn.MAXIFS($A$2:$A$5001,$B$2:$B$5001,B1510,$I$2:$I$5001,I1510),1,0))</f>
        <v/>
      </c>
    </row>
    <row r="1511" customFormat="false" ht="15" hidden="false" customHeight="false" outlineLevel="0" collapsed="false">
      <c r="I1511" s="15" t="str">
        <f aca="false">IF(A1511="","",INT(A1511))</f>
        <v/>
      </c>
      <c r="J1511" s="16" t="str">
        <f aca="false">IF(B1511="","",IF(A1511=_xlfn.MINIFS($A$2:$A$5001,$B$2:$B$5001,B1511),1,0))</f>
        <v/>
      </c>
      <c r="K1511" s="16" t="str">
        <f aca="false">IF(B1511="","",IF(AND(D1511="Formalização",E1511="Concluído"),IF(COUNTIFS($B$2:$B$5001,B1511,$E$2:$E$5001,"Em ajustes",$A$2:$A$5001,"&lt;"&amp;I1511)&gt;0,1,0),0))</f>
        <v/>
      </c>
      <c r="L1511" s="16" t="str">
        <f aca="false">IF(B1511="","",IF(A1511=_xlfn.MAXIFS($A$2:$A$5001,$B$2:$B$5001,B1511,$I$2:$I$5001,I1511),1,0))</f>
        <v/>
      </c>
    </row>
    <row r="1512" customFormat="false" ht="15" hidden="false" customHeight="false" outlineLevel="0" collapsed="false">
      <c r="I1512" s="15" t="str">
        <f aca="false">IF(A1512="","",INT(A1512))</f>
        <v/>
      </c>
      <c r="J1512" s="16" t="str">
        <f aca="false">IF(B1512="","",IF(A1512=_xlfn.MINIFS($A$2:$A$5001,$B$2:$B$5001,B1512),1,0))</f>
        <v/>
      </c>
      <c r="K1512" s="16" t="str">
        <f aca="false">IF(B1512="","",IF(AND(D1512="Formalização",E1512="Concluído"),IF(COUNTIFS($B$2:$B$5001,B1512,$E$2:$E$5001,"Em ajustes",$A$2:$A$5001,"&lt;"&amp;I1512)&gt;0,1,0),0))</f>
        <v/>
      </c>
      <c r="L1512" s="16" t="str">
        <f aca="false">IF(B1512="","",IF(A1512=_xlfn.MAXIFS($A$2:$A$5001,$B$2:$B$5001,B1512,$I$2:$I$5001,I1512),1,0))</f>
        <v/>
      </c>
    </row>
    <row r="1513" customFormat="false" ht="15" hidden="false" customHeight="false" outlineLevel="0" collapsed="false">
      <c r="I1513" s="15" t="str">
        <f aca="false">IF(A1513="","",INT(A1513))</f>
        <v/>
      </c>
      <c r="J1513" s="16" t="str">
        <f aca="false">IF(B1513="","",IF(A1513=_xlfn.MINIFS($A$2:$A$5001,$B$2:$B$5001,B1513),1,0))</f>
        <v/>
      </c>
      <c r="K1513" s="16" t="str">
        <f aca="false">IF(B1513="","",IF(AND(D1513="Formalização",E1513="Concluído"),IF(COUNTIFS($B$2:$B$5001,B1513,$E$2:$E$5001,"Em ajustes",$A$2:$A$5001,"&lt;"&amp;I1513)&gt;0,1,0),0))</f>
        <v/>
      </c>
      <c r="L1513" s="16" t="str">
        <f aca="false">IF(B1513="","",IF(A1513=_xlfn.MAXIFS($A$2:$A$5001,$B$2:$B$5001,B1513,$I$2:$I$5001,I1513),1,0))</f>
        <v/>
      </c>
    </row>
    <row r="1514" customFormat="false" ht="15" hidden="false" customHeight="false" outlineLevel="0" collapsed="false">
      <c r="I1514" s="15" t="str">
        <f aca="false">IF(A1514="","",INT(A1514))</f>
        <v/>
      </c>
      <c r="J1514" s="16" t="str">
        <f aca="false">IF(B1514="","",IF(A1514=_xlfn.MINIFS($A$2:$A$5001,$B$2:$B$5001,B1514),1,0))</f>
        <v/>
      </c>
      <c r="K1514" s="16" t="str">
        <f aca="false">IF(B1514="","",IF(AND(D1514="Formalização",E1514="Concluído"),IF(COUNTIFS($B$2:$B$5001,B1514,$E$2:$E$5001,"Em ajustes",$A$2:$A$5001,"&lt;"&amp;I1514)&gt;0,1,0),0))</f>
        <v/>
      </c>
      <c r="L1514" s="16" t="str">
        <f aca="false">IF(B1514="","",IF(A1514=_xlfn.MAXIFS($A$2:$A$5001,$B$2:$B$5001,B1514,$I$2:$I$5001,I1514),1,0))</f>
        <v/>
      </c>
    </row>
    <row r="1515" customFormat="false" ht="15" hidden="false" customHeight="false" outlineLevel="0" collapsed="false">
      <c r="I1515" s="15" t="str">
        <f aca="false">IF(A1515="","",INT(A1515))</f>
        <v/>
      </c>
      <c r="J1515" s="16" t="str">
        <f aca="false">IF(B1515="","",IF(A1515=_xlfn.MINIFS($A$2:$A$5001,$B$2:$B$5001,B1515),1,0))</f>
        <v/>
      </c>
      <c r="K1515" s="16" t="str">
        <f aca="false">IF(B1515="","",IF(AND(D1515="Formalização",E1515="Concluído"),IF(COUNTIFS($B$2:$B$5001,B1515,$E$2:$E$5001,"Em ajustes",$A$2:$A$5001,"&lt;"&amp;I1515)&gt;0,1,0),0))</f>
        <v/>
      </c>
      <c r="L1515" s="16" t="str">
        <f aca="false">IF(B1515="","",IF(A1515=_xlfn.MAXIFS($A$2:$A$5001,$B$2:$B$5001,B1515,$I$2:$I$5001,I1515),1,0))</f>
        <v/>
      </c>
    </row>
    <row r="1516" customFormat="false" ht="15" hidden="false" customHeight="false" outlineLevel="0" collapsed="false">
      <c r="I1516" s="15" t="str">
        <f aca="false">IF(A1516="","",INT(A1516))</f>
        <v/>
      </c>
      <c r="J1516" s="16" t="str">
        <f aca="false">IF(B1516="","",IF(A1516=_xlfn.MINIFS($A$2:$A$5001,$B$2:$B$5001,B1516),1,0))</f>
        <v/>
      </c>
      <c r="K1516" s="16" t="str">
        <f aca="false">IF(B1516="","",IF(AND(D1516="Formalização",E1516="Concluído"),IF(COUNTIFS($B$2:$B$5001,B1516,$E$2:$E$5001,"Em ajustes",$A$2:$A$5001,"&lt;"&amp;I1516)&gt;0,1,0),0))</f>
        <v/>
      </c>
      <c r="L1516" s="16" t="str">
        <f aca="false">IF(B1516="","",IF(A1516=_xlfn.MAXIFS($A$2:$A$5001,$B$2:$B$5001,B1516,$I$2:$I$5001,I1516),1,0))</f>
        <v/>
      </c>
    </row>
    <row r="1517" customFormat="false" ht="15" hidden="false" customHeight="false" outlineLevel="0" collapsed="false">
      <c r="I1517" s="15" t="str">
        <f aca="false">IF(A1517="","",INT(A1517))</f>
        <v/>
      </c>
      <c r="J1517" s="16" t="str">
        <f aca="false">IF(B1517="","",IF(A1517=_xlfn.MINIFS($A$2:$A$5001,$B$2:$B$5001,B1517),1,0))</f>
        <v/>
      </c>
      <c r="K1517" s="16" t="str">
        <f aca="false">IF(B1517="","",IF(AND(D1517="Formalização",E1517="Concluído"),IF(COUNTIFS($B$2:$B$5001,B1517,$E$2:$E$5001,"Em ajustes",$A$2:$A$5001,"&lt;"&amp;I1517)&gt;0,1,0),0))</f>
        <v/>
      </c>
      <c r="L1517" s="16" t="str">
        <f aca="false">IF(B1517="","",IF(A1517=_xlfn.MAXIFS($A$2:$A$5001,$B$2:$B$5001,B1517,$I$2:$I$5001,I1517),1,0))</f>
        <v/>
      </c>
    </row>
    <row r="1518" customFormat="false" ht="15" hidden="false" customHeight="false" outlineLevel="0" collapsed="false">
      <c r="I1518" s="15" t="str">
        <f aca="false">IF(A1518="","",INT(A1518))</f>
        <v/>
      </c>
      <c r="J1518" s="16" t="str">
        <f aca="false">IF(B1518="","",IF(A1518=_xlfn.MINIFS($A$2:$A$5001,$B$2:$B$5001,B1518),1,0))</f>
        <v/>
      </c>
      <c r="K1518" s="16" t="str">
        <f aca="false">IF(B1518="","",IF(AND(D1518="Formalização",E1518="Concluído"),IF(COUNTIFS($B$2:$B$5001,B1518,$E$2:$E$5001,"Em ajustes",$A$2:$A$5001,"&lt;"&amp;I1518)&gt;0,1,0),0))</f>
        <v/>
      </c>
      <c r="L1518" s="16" t="str">
        <f aca="false">IF(B1518="","",IF(A1518=_xlfn.MAXIFS($A$2:$A$5001,$B$2:$B$5001,B1518,$I$2:$I$5001,I1518),1,0))</f>
        <v/>
      </c>
    </row>
    <row r="1519" customFormat="false" ht="15" hidden="false" customHeight="false" outlineLevel="0" collapsed="false">
      <c r="I1519" s="15" t="str">
        <f aca="false">IF(A1519="","",INT(A1519))</f>
        <v/>
      </c>
      <c r="J1519" s="16" t="str">
        <f aca="false">IF(B1519="","",IF(A1519=_xlfn.MINIFS($A$2:$A$5001,$B$2:$B$5001,B1519),1,0))</f>
        <v/>
      </c>
      <c r="K1519" s="16" t="str">
        <f aca="false">IF(B1519="","",IF(AND(D1519="Formalização",E1519="Concluído"),IF(COUNTIFS($B$2:$B$5001,B1519,$E$2:$E$5001,"Em ajustes",$A$2:$A$5001,"&lt;"&amp;I1519)&gt;0,1,0),0))</f>
        <v/>
      </c>
      <c r="L1519" s="16" t="str">
        <f aca="false">IF(B1519="","",IF(A1519=_xlfn.MAXIFS($A$2:$A$5001,$B$2:$B$5001,B1519,$I$2:$I$5001,I1519),1,0))</f>
        <v/>
      </c>
    </row>
    <row r="1520" customFormat="false" ht="15" hidden="false" customHeight="false" outlineLevel="0" collapsed="false">
      <c r="I1520" s="15" t="str">
        <f aca="false">IF(A1520="","",INT(A1520))</f>
        <v/>
      </c>
      <c r="J1520" s="16" t="str">
        <f aca="false">IF(B1520="","",IF(A1520=_xlfn.MINIFS($A$2:$A$5001,$B$2:$B$5001,B1520),1,0))</f>
        <v/>
      </c>
      <c r="K1520" s="16" t="str">
        <f aca="false">IF(B1520="","",IF(AND(D1520="Formalização",E1520="Concluído"),IF(COUNTIFS($B$2:$B$5001,B1520,$E$2:$E$5001,"Em ajustes",$A$2:$A$5001,"&lt;"&amp;I1520)&gt;0,1,0),0))</f>
        <v/>
      </c>
      <c r="L1520" s="16" t="str">
        <f aca="false">IF(B1520="","",IF(A1520=_xlfn.MAXIFS($A$2:$A$5001,$B$2:$B$5001,B1520,$I$2:$I$5001,I1520),1,0))</f>
        <v/>
      </c>
    </row>
    <row r="1521" customFormat="false" ht="15" hidden="false" customHeight="false" outlineLevel="0" collapsed="false">
      <c r="I1521" s="15" t="str">
        <f aca="false">IF(A1521="","",INT(A1521))</f>
        <v/>
      </c>
      <c r="J1521" s="16" t="str">
        <f aca="false">IF(B1521="","",IF(A1521=_xlfn.MINIFS($A$2:$A$5001,$B$2:$B$5001,B1521),1,0))</f>
        <v/>
      </c>
      <c r="K1521" s="16" t="str">
        <f aca="false">IF(B1521="","",IF(AND(D1521="Formalização",E1521="Concluído"),IF(COUNTIFS($B$2:$B$5001,B1521,$E$2:$E$5001,"Em ajustes",$A$2:$A$5001,"&lt;"&amp;I1521)&gt;0,1,0),0))</f>
        <v/>
      </c>
      <c r="L1521" s="16" t="str">
        <f aca="false">IF(B1521="","",IF(A1521=_xlfn.MAXIFS($A$2:$A$5001,$B$2:$B$5001,B1521,$I$2:$I$5001,I1521),1,0))</f>
        <v/>
      </c>
    </row>
    <row r="1522" customFormat="false" ht="15" hidden="false" customHeight="false" outlineLevel="0" collapsed="false">
      <c r="I1522" s="15" t="str">
        <f aca="false">IF(A1522="","",INT(A1522))</f>
        <v/>
      </c>
      <c r="J1522" s="16" t="str">
        <f aca="false">IF(B1522="","",IF(A1522=_xlfn.MINIFS($A$2:$A$5001,$B$2:$B$5001,B1522),1,0))</f>
        <v/>
      </c>
      <c r="K1522" s="16" t="str">
        <f aca="false">IF(B1522="","",IF(AND(D1522="Formalização",E1522="Concluído"),IF(COUNTIFS($B$2:$B$5001,B1522,$E$2:$E$5001,"Em ajustes",$A$2:$A$5001,"&lt;"&amp;I1522)&gt;0,1,0),0))</f>
        <v/>
      </c>
      <c r="L1522" s="16" t="str">
        <f aca="false">IF(B1522="","",IF(A1522=_xlfn.MAXIFS($A$2:$A$5001,$B$2:$B$5001,B1522,$I$2:$I$5001,I1522),1,0))</f>
        <v/>
      </c>
    </row>
    <row r="1523" customFormat="false" ht="15" hidden="false" customHeight="false" outlineLevel="0" collapsed="false">
      <c r="I1523" s="15" t="str">
        <f aca="false">IF(A1523="","",INT(A1523))</f>
        <v/>
      </c>
      <c r="J1523" s="16" t="str">
        <f aca="false">IF(B1523="","",IF(A1523=_xlfn.MINIFS($A$2:$A$5001,$B$2:$B$5001,B1523),1,0))</f>
        <v/>
      </c>
      <c r="K1523" s="16" t="str">
        <f aca="false">IF(B1523="","",IF(AND(D1523="Formalização",E1523="Concluído"),IF(COUNTIFS($B$2:$B$5001,B1523,$E$2:$E$5001,"Em ajustes",$A$2:$A$5001,"&lt;"&amp;I1523)&gt;0,1,0),0))</f>
        <v/>
      </c>
      <c r="L1523" s="16" t="str">
        <f aca="false">IF(B1523="","",IF(A1523=_xlfn.MAXIFS($A$2:$A$5001,$B$2:$B$5001,B1523,$I$2:$I$5001,I1523),1,0))</f>
        <v/>
      </c>
    </row>
    <row r="1524" customFormat="false" ht="15" hidden="false" customHeight="false" outlineLevel="0" collapsed="false">
      <c r="I1524" s="15" t="str">
        <f aca="false">IF(A1524="","",INT(A1524))</f>
        <v/>
      </c>
      <c r="J1524" s="16" t="str">
        <f aca="false">IF(B1524="","",IF(A1524=_xlfn.MINIFS($A$2:$A$5001,$B$2:$B$5001,B1524),1,0))</f>
        <v/>
      </c>
      <c r="K1524" s="16" t="str">
        <f aca="false">IF(B1524="","",IF(AND(D1524="Formalização",E1524="Concluído"),IF(COUNTIFS($B$2:$B$5001,B1524,$E$2:$E$5001,"Em ajustes",$A$2:$A$5001,"&lt;"&amp;I1524)&gt;0,1,0),0))</f>
        <v/>
      </c>
      <c r="L1524" s="16" t="str">
        <f aca="false">IF(B1524="","",IF(A1524=_xlfn.MAXIFS($A$2:$A$5001,$B$2:$B$5001,B1524,$I$2:$I$5001,I1524),1,0))</f>
        <v/>
      </c>
    </row>
    <row r="1525" customFormat="false" ht="15" hidden="false" customHeight="false" outlineLevel="0" collapsed="false">
      <c r="I1525" s="15" t="str">
        <f aca="false">IF(A1525="","",INT(A1525))</f>
        <v/>
      </c>
      <c r="J1525" s="16" t="str">
        <f aca="false">IF(B1525="","",IF(A1525=_xlfn.MINIFS($A$2:$A$5001,$B$2:$B$5001,B1525),1,0))</f>
        <v/>
      </c>
      <c r="K1525" s="16" t="str">
        <f aca="false">IF(B1525="","",IF(AND(D1525="Formalização",E1525="Concluído"),IF(COUNTIFS($B$2:$B$5001,B1525,$E$2:$E$5001,"Em ajustes",$A$2:$A$5001,"&lt;"&amp;I1525)&gt;0,1,0),0))</f>
        <v/>
      </c>
      <c r="L1525" s="16" t="str">
        <f aca="false">IF(B1525="","",IF(A1525=_xlfn.MAXIFS($A$2:$A$5001,$B$2:$B$5001,B1525,$I$2:$I$5001,I1525),1,0))</f>
        <v/>
      </c>
    </row>
    <row r="1526" customFormat="false" ht="15" hidden="false" customHeight="false" outlineLevel="0" collapsed="false">
      <c r="I1526" s="15" t="str">
        <f aca="false">IF(A1526="","",INT(A1526))</f>
        <v/>
      </c>
      <c r="J1526" s="16" t="str">
        <f aca="false">IF(B1526="","",IF(A1526=_xlfn.MINIFS($A$2:$A$5001,$B$2:$B$5001,B1526),1,0))</f>
        <v/>
      </c>
      <c r="K1526" s="16" t="str">
        <f aca="false">IF(B1526="","",IF(AND(D1526="Formalização",E1526="Concluído"),IF(COUNTIFS($B$2:$B$5001,B1526,$E$2:$E$5001,"Em ajustes",$A$2:$A$5001,"&lt;"&amp;I1526)&gt;0,1,0),0))</f>
        <v/>
      </c>
      <c r="L1526" s="16" t="str">
        <f aca="false">IF(B1526="","",IF(A1526=_xlfn.MAXIFS($A$2:$A$5001,$B$2:$B$5001,B1526,$I$2:$I$5001,I1526),1,0))</f>
        <v/>
      </c>
    </row>
    <row r="1527" customFormat="false" ht="15" hidden="false" customHeight="false" outlineLevel="0" collapsed="false">
      <c r="I1527" s="15" t="str">
        <f aca="false">IF(A1527="","",INT(A1527))</f>
        <v/>
      </c>
      <c r="J1527" s="16" t="str">
        <f aca="false">IF(B1527="","",IF(A1527=_xlfn.MINIFS($A$2:$A$5001,$B$2:$B$5001,B1527),1,0))</f>
        <v/>
      </c>
      <c r="K1527" s="16" t="str">
        <f aca="false">IF(B1527="","",IF(AND(D1527="Formalização",E1527="Concluído"),IF(COUNTIFS($B$2:$B$5001,B1527,$E$2:$E$5001,"Em ajustes",$A$2:$A$5001,"&lt;"&amp;I1527)&gt;0,1,0),0))</f>
        <v/>
      </c>
      <c r="L1527" s="16" t="str">
        <f aca="false">IF(B1527="","",IF(A1527=_xlfn.MAXIFS($A$2:$A$5001,$B$2:$B$5001,B1527,$I$2:$I$5001,I1527),1,0))</f>
        <v/>
      </c>
    </row>
    <row r="1528" customFormat="false" ht="15" hidden="false" customHeight="false" outlineLevel="0" collapsed="false">
      <c r="I1528" s="15" t="str">
        <f aca="false">IF(A1528="","",INT(A1528))</f>
        <v/>
      </c>
      <c r="J1528" s="16" t="str">
        <f aca="false">IF(B1528="","",IF(A1528=_xlfn.MINIFS($A$2:$A$5001,$B$2:$B$5001,B1528),1,0))</f>
        <v/>
      </c>
      <c r="K1528" s="16" t="str">
        <f aca="false">IF(B1528="","",IF(AND(D1528="Formalização",E1528="Concluído"),IF(COUNTIFS($B$2:$B$5001,B1528,$E$2:$E$5001,"Em ajustes",$A$2:$A$5001,"&lt;"&amp;I1528)&gt;0,1,0),0))</f>
        <v/>
      </c>
      <c r="L1528" s="16" t="str">
        <f aca="false">IF(B1528="","",IF(A1528=_xlfn.MAXIFS($A$2:$A$5001,$B$2:$B$5001,B1528,$I$2:$I$5001,I1528),1,0))</f>
        <v/>
      </c>
    </row>
    <row r="1529" customFormat="false" ht="15" hidden="false" customHeight="false" outlineLevel="0" collapsed="false">
      <c r="I1529" s="15" t="str">
        <f aca="false">IF(A1529="","",INT(A1529))</f>
        <v/>
      </c>
      <c r="J1529" s="16" t="str">
        <f aca="false">IF(B1529="","",IF(A1529=_xlfn.MINIFS($A$2:$A$5001,$B$2:$B$5001,B1529),1,0))</f>
        <v/>
      </c>
      <c r="K1529" s="16" t="str">
        <f aca="false">IF(B1529="","",IF(AND(D1529="Formalização",E1529="Concluído"),IF(COUNTIFS($B$2:$B$5001,B1529,$E$2:$E$5001,"Em ajustes",$A$2:$A$5001,"&lt;"&amp;I1529)&gt;0,1,0),0))</f>
        <v/>
      </c>
      <c r="L1529" s="16" t="str">
        <f aca="false">IF(B1529="","",IF(A1529=_xlfn.MAXIFS($A$2:$A$5001,$B$2:$B$5001,B1529,$I$2:$I$5001,I1529),1,0))</f>
        <v/>
      </c>
    </row>
    <row r="1530" customFormat="false" ht="15" hidden="false" customHeight="false" outlineLevel="0" collapsed="false">
      <c r="I1530" s="15" t="str">
        <f aca="false">IF(A1530="","",INT(A1530))</f>
        <v/>
      </c>
      <c r="J1530" s="16" t="str">
        <f aca="false">IF(B1530="","",IF(A1530=_xlfn.MINIFS($A$2:$A$5001,$B$2:$B$5001,B1530),1,0))</f>
        <v/>
      </c>
      <c r="K1530" s="16" t="str">
        <f aca="false">IF(B1530="","",IF(AND(D1530="Formalização",E1530="Concluído"),IF(COUNTIFS($B$2:$B$5001,B1530,$E$2:$E$5001,"Em ajustes",$A$2:$A$5001,"&lt;"&amp;I1530)&gt;0,1,0),0))</f>
        <v/>
      </c>
      <c r="L1530" s="16" t="str">
        <f aca="false">IF(B1530="","",IF(A1530=_xlfn.MAXIFS($A$2:$A$5001,$B$2:$B$5001,B1530,$I$2:$I$5001,I1530),1,0))</f>
        <v/>
      </c>
    </row>
    <row r="1531" customFormat="false" ht="15" hidden="false" customHeight="false" outlineLevel="0" collapsed="false">
      <c r="I1531" s="15" t="str">
        <f aca="false">IF(A1531="","",INT(A1531))</f>
        <v/>
      </c>
      <c r="J1531" s="16" t="str">
        <f aca="false">IF(B1531="","",IF(A1531=_xlfn.MINIFS($A$2:$A$5001,$B$2:$B$5001,B1531),1,0))</f>
        <v/>
      </c>
      <c r="K1531" s="16" t="str">
        <f aca="false">IF(B1531="","",IF(AND(D1531="Formalização",E1531="Concluído"),IF(COUNTIFS($B$2:$B$5001,B1531,$E$2:$E$5001,"Em ajustes",$A$2:$A$5001,"&lt;"&amp;I1531)&gt;0,1,0),0))</f>
        <v/>
      </c>
      <c r="L1531" s="16" t="str">
        <f aca="false">IF(B1531="","",IF(A1531=_xlfn.MAXIFS($A$2:$A$5001,$B$2:$B$5001,B1531,$I$2:$I$5001,I1531),1,0))</f>
        <v/>
      </c>
    </row>
    <row r="1532" customFormat="false" ht="15" hidden="false" customHeight="false" outlineLevel="0" collapsed="false">
      <c r="I1532" s="15" t="str">
        <f aca="false">IF(A1532="","",INT(A1532))</f>
        <v/>
      </c>
      <c r="J1532" s="16" t="str">
        <f aca="false">IF(B1532="","",IF(A1532=_xlfn.MINIFS($A$2:$A$5001,$B$2:$B$5001,B1532),1,0))</f>
        <v/>
      </c>
      <c r="K1532" s="16" t="str">
        <f aca="false">IF(B1532="","",IF(AND(D1532="Formalização",E1532="Concluído"),IF(COUNTIFS($B$2:$B$5001,B1532,$E$2:$E$5001,"Em ajustes",$A$2:$A$5001,"&lt;"&amp;I1532)&gt;0,1,0),0))</f>
        <v/>
      </c>
      <c r="L1532" s="16" t="str">
        <f aca="false">IF(B1532="","",IF(A1532=_xlfn.MAXIFS($A$2:$A$5001,$B$2:$B$5001,B1532,$I$2:$I$5001,I1532),1,0))</f>
        <v/>
      </c>
    </row>
    <row r="1533" customFormat="false" ht="15" hidden="false" customHeight="false" outlineLevel="0" collapsed="false">
      <c r="I1533" s="15" t="str">
        <f aca="false">IF(A1533="","",INT(A1533))</f>
        <v/>
      </c>
      <c r="J1533" s="16" t="str">
        <f aca="false">IF(B1533="","",IF(A1533=_xlfn.MINIFS($A$2:$A$5001,$B$2:$B$5001,B1533),1,0))</f>
        <v/>
      </c>
      <c r="K1533" s="16" t="str">
        <f aca="false">IF(B1533="","",IF(AND(D1533="Formalização",E1533="Concluído"),IF(COUNTIFS($B$2:$B$5001,B1533,$E$2:$E$5001,"Em ajustes",$A$2:$A$5001,"&lt;"&amp;I1533)&gt;0,1,0),0))</f>
        <v/>
      </c>
      <c r="L1533" s="16" t="str">
        <f aca="false">IF(B1533="","",IF(A1533=_xlfn.MAXIFS($A$2:$A$5001,$B$2:$B$5001,B1533,$I$2:$I$5001,I1533),1,0))</f>
        <v/>
      </c>
    </row>
    <row r="1534" customFormat="false" ht="15" hidden="false" customHeight="false" outlineLevel="0" collapsed="false">
      <c r="I1534" s="15" t="str">
        <f aca="false">IF(A1534="","",INT(A1534))</f>
        <v/>
      </c>
      <c r="J1534" s="16" t="str">
        <f aca="false">IF(B1534="","",IF(A1534=_xlfn.MINIFS($A$2:$A$5001,$B$2:$B$5001,B1534),1,0))</f>
        <v/>
      </c>
      <c r="K1534" s="16" t="str">
        <f aca="false">IF(B1534="","",IF(AND(D1534="Formalização",E1534="Concluído"),IF(COUNTIFS($B$2:$B$5001,B1534,$E$2:$E$5001,"Em ajustes",$A$2:$A$5001,"&lt;"&amp;I1534)&gt;0,1,0),0))</f>
        <v/>
      </c>
      <c r="L1534" s="16" t="str">
        <f aca="false">IF(B1534="","",IF(A1534=_xlfn.MAXIFS($A$2:$A$5001,$B$2:$B$5001,B1534,$I$2:$I$5001,I1534),1,0))</f>
        <v/>
      </c>
    </row>
    <row r="1535" customFormat="false" ht="15" hidden="false" customHeight="false" outlineLevel="0" collapsed="false">
      <c r="I1535" s="15" t="str">
        <f aca="false">IF(A1535="","",INT(A1535))</f>
        <v/>
      </c>
      <c r="J1535" s="16" t="str">
        <f aca="false">IF(B1535="","",IF(A1535=_xlfn.MINIFS($A$2:$A$5001,$B$2:$B$5001,B1535),1,0))</f>
        <v/>
      </c>
      <c r="K1535" s="16" t="str">
        <f aca="false">IF(B1535="","",IF(AND(D1535="Formalização",E1535="Concluído"),IF(COUNTIFS($B$2:$B$5001,B1535,$E$2:$E$5001,"Em ajustes",$A$2:$A$5001,"&lt;"&amp;I1535)&gt;0,1,0),0))</f>
        <v/>
      </c>
      <c r="L1535" s="16" t="str">
        <f aca="false">IF(B1535="","",IF(A1535=_xlfn.MAXIFS($A$2:$A$5001,$B$2:$B$5001,B1535,$I$2:$I$5001,I1535),1,0))</f>
        <v/>
      </c>
    </row>
    <row r="1536" customFormat="false" ht="15" hidden="false" customHeight="false" outlineLevel="0" collapsed="false">
      <c r="I1536" s="15" t="str">
        <f aca="false">IF(A1536="","",INT(A1536))</f>
        <v/>
      </c>
      <c r="J1536" s="16" t="str">
        <f aca="false">IF(B1536="","",IF(A1536=_xlfn.MINIFS($A$2:$A$5001,$B$2:$B$5001,B1536),1,0))</f>
        <v/>
      </c>
      <c r="K1536" s="16" t="str">
        <f aca="false">IF(B1536="","",IF(AND(D1536="Formalização",E1536="Concluído"),IF(COUNTIFS($B$2:$B$5001,B1536,$E$2:$E$5001,"Em ajustes",$A$2:$A$5001,"&lt;"&amp;I1536)&gt;0,1,0),0))</f>
        <v/>
      </c>
      <c r="L1536" s="16" t="str">
        <f aca="false">IF(B1536="","",IF(A1536=_xlfn.MAXIFS($A$2:$A$5001,$B$2:$B$5001,B1536,$I$2:$I$5001,I1536),1,0))</f>
        <v/>
      </c>
    </row>
    <row r="1537" customFormat="false" ht="15" hidden="false" customHeight="false" outlineLevel="0" collapsed="false">
      <c r="I1537" s="15" t="str">
        <f aca="false">IF(A1537="","",INT(A1537))</f>
        <v/>
      </c>
      <c r="J1537" s="16" t="str">
        <f aca="false">IF(B1537="","",IF(A1537=_xlfn.MINIFS($A$2:$A$5001,$B$2:$B$5001,B1537),1,0))</f>
        <v/>
      </c>
      <c r="K1537" s="16" t="str">
        <f aca="false">IF(B1537="","",IF(AND(D1537="Formalização",E1537="Concluído"),IF(COUNTIFS($B$2:$B$5001,B1537,$E$2:$E$5001,"Em ajustes",$A$2:$A$5001,"&lt;"&amp;I1537)&gt;0,1,0),0))</f>
        <v/>
      </c>
      <c r="L1537" s="16" t="str">
        <f aca="false">IF(B1537="","",IF(A1537=_xlfn.MAXIFS($A$2:$A$5001,$B$2:$B$5001,B1537,$I$2:$I$5001,I1537),1,0))</f>
        <v/>
      </c>
    </row>
    <row r="1538" customFormat="false" ht="15" hidden="false" customHeight="false" outlineLevel="0" collapsed="false">
      <c r="I1538" s="15" t="str">
        <f aca="false">IF(A1538="","",INT(A1538))</f>
        <v/>
      </c>
      <c r="J1538" s="16" t="str">
        <f aca="false">IF(B1538="","",IF(A1538=_xlfn.MINIFS($A$2:$A$5001,$B$2:$B$5001,B1538),1,0))</f>
        <v/>
      </c>
      <c r="K1538" s="16" t="str">
        <f aca="false">IF(B1538="","",IF(AND(D1538="Formalização",E1538="Concluído"),IF(COUNTIFS($B$2:$B$5001,B1538,$E$2:$E$5001,"Em ajustes",$A$2:$A$5001,"&lt;"&amp;I1538)&gt;0,1,0),0))</f>
        <v/>
      </c>
      <c r="L1538" s="16" t="str">
        <f aca="false">IF(B1538="","",IF(A1538=_xlfn.MAXIFS($A$2:$A$5001,$B$2:$B$5001,B1538,$I$2:$I$5001,I1538),1,0))</f>
        <v/>
      </c>
    </row>
    <row r="1539" customFormat="false" ht="15" hidden="false" customHeight="false" outlineLevel="0" collapsed="false">
      <c r="I1539" s="15" t="str">
        <f aca="false">IF(A1539="","",INT(A1539))</f>
        <v/>
      </c>
      <c r="J1539" s="16" t="str">
        <f aca="false">IF(B1539="","",IF(A1539=_xlfn.MINIFS($A$2:$A$5001,$B$2:$B$5001,B1539),1,0))</f>
        <v/>
      </c>
      <c r="K1539" s="16" t="str">
        <f aca="false">IF(B1539="","",IF(AND(D1539="Formalização",E1539="Concluído"),IF(COUNTIFS($B$2:$B$5001,B1539,$E$2:$E$5001,"Em ajustes",$A$2:$A$5001,"&lt;"&amp;I1539)&gt;0,1,0),0))</f>
        <v/>
      </c>
      <c r="L1539" s="16" t="str">
        <f aca="false">IF(B1539="","",IF(A1539=_xlfn.MAXIFS($A$2:$A$5001,$B$2:$B$5001,B1539,$I$2:$I$5001,I1539),1,0))</f>
        <v/>
      </c>
    </row>
    <row r="1540" customFormat="false" ht="15" hidden="false" customHeight="false" outlineLevel="0" collapsed="false">
      <c r="I1540" s="15" t="str">
        <f aca="false">IF(A1540="","",INT(A1540))</f>
        <v/>
      </c>
      <c r="J1540" s="16" t="str">
        <f aca="false">IF(B1540="","",IF(A1540=_xlfn.MINIFS($A$2:$A$5001,$B$2:$B$5001,B1540),1,0))</f>
        <v/>
      </c>
      <c r="K1540" s="16" t="str">
        <f aca="false">IF(B1540="","",IF(AND(D1540="Formalização",E1540="Concluído"),IF(COUNTIFS($B$2:$B$5001,B1540,$E$2:$E$5001,"Em ajustes",$A$2:$A$5001,"&lt;"&amp;I1540)&gt;0,1,0),0))</f>
        <v/>
      </c>
      <c r="L1540" s="16" t="str">
        <f aca="false">IF(B1540="","",IF(A1540=_xlfn.MAXIFS($A$2:$A$5001,$B$2:$B$5001,B1540,$I$2:$I$5001,I1540),1,0))</f>
        <v/>
      </c>
    </row>
    <row r="1541" customFormat="false" ht="15" hidden="false" customHeight="false" outlineLevel="0" collapsed="false">
      <c r="I1541" s="15" t="str">
        <f aca="false">IF(A1541="","",INT(A1541))</f>
        <v/>
      </c>
      <c r="J1541" s="16" t="str">
        <f aca="false">IF(B1541="","",IF(A1541=_xlfn.MINIFS($A$2:$A$5001,$B$2:$B$5001,B1541),1,0))</f>
        <v/>
      </c>
      <c r="K1541" s="16" t="str">
        <f aca="false">IF(B1541="","",IF(AND(D1541="Formalização",E1541="Concluído"),IF(COUNTIFS($B$2:$B$5001,B1541,$E$2:$E$5001,"Em ajustes",$A$2:$A$5001,"&lt;"&amp;I1541)&gt;0,1,0),0))</f>
        <v/>
      </c>
      <c r="L1541" s="16" t="str">
        <f aca="false">IF(B1541="","",IF(A1541=_xlfn.MAXIFS($A$2:$A$5001,$B$2:$B$5001,B1541,$I$2:$I$5001,I1541),1,0))</f>
        <v/>
      </c>
    </row>
    <row r="1542" customFormat="false" ht="15" hidden="false" customHeight="false" outlineLevel="0" collapsed="false">
      <c r="I1542" s="15" t="str">
        <f aca="false">IF(A1542="","",INT(A1542))</f>
        <v/>
      </c>
      <c r="J1542" s="16" t="str">
        <f aca="false">IF(B1542="","",IF(A1542=_xlfn.MINIFS($A$2:$A$5001,$B$2:$B$5001,B1542),1,0))</f>
        <v/>
      </c>
      <c r="K1542" s="16" t="str">
        <f aca="false">IF(B1542="","",IF(AND(D1542="Formalização",E1542="Concluído"),IF(COUNTIFS($B$2:$B$5001,B1542,$E$2:$E$5001,"Em ajustes",$A$2:$A$5001,"&lt;"&amp;I1542)&gt;0,1,0),0))</f>
        <v/>
      </c>
      <c r="L1542" s="16" t="str">
        <f aca="false">IF(B1542="","",IF(A1542=_xlfn.MAXIFS($A$2:$A$5001,$B$2:$B$5001,B1542,$I$2:$I$5001,I1542),1,0))</f>
        <v/>
      </c>
    </row>
    <row r="1543" customFormat="false" ht="15" hidden="false" customHeight="false" outlineLevel="0" collapsed="false">
      <c r="I1543" s="15" t="str">
        <f aca="false">IF(A1543="","",INT(A1543))</f>
        <v/>
      </c>
      <c r="J1543" s="16" t="str">
        <f aca="false">IF(B1543="","",IF(A1543=_xlfn.MINIFS($A$2:$A$5001,$B$2:$B$5001,B1543),1,0))</f>
        <v/>
      </c>
      <c r="K1543" s="16" t="str">
        <f aca="false">IF(B1543="","",IF(AND(D1543="Formalização",E1543="Concluído"),IF(COUNTIFS($B$2:$B$5001,B1543,$E$2:$E$5001,"Em ajustes",$A$2:$A$5001,"&lt;"&amp;I1543)&gt;0,1,0),0))</f>
        <v/>
      </c>
      <c r="L1543" s="16" t="str">
        <f aca="false">IF(B1543="","",IF(A1543=_xlfn.MAXIFS($A$2:$A$5001,$B$2:$B$5001,B1543,$I$2:$I$5001,I1543),1,0))</f>
        <v/>
      </c>
    </row>
    <row r="1544" customFormat="false" ht="15" hidden="false" customHeight="false" outlineLevel="0" collapsed="false">
      <c r="I1544" s="15" t="str">
        <f aca="false">IF(A1544="","",INT(A1544))</f>
        <v/>
      </c>
      <c r="J1544" s="16" t="str">
        <f aca="false">IF(B1544="","",IF(A1544=_xlfn.MINIFS($A$2:$A$5001,$B$2:$B$5001,B1544),1,0))</f>
        <v/>
      </c>
      <c r="K1544" s="16" t="str">
        <f aca="false">IF(B1544="","",IF(AND(D1544="Formalização",E1544="Concluído"),IF(COUNTIFS($B$2:$B$5001,B1544,$E$2:$E$5001,"Em ajustes",$A$2:$A$5001,"&lt;"&amp;I1544)&gt;0,1,0),0))</f>
        <v/>
      </c>
      <c r="L1544" s="16" t="str">
        <f aca="false">IF(B1544="","",IF(A1544=_xlfn.MAXIFS($A$2:$A$5001,$B$2:$B$5001,B1544,$I$2:$I$5001,I1544),1,0))</f>
        <v/>
      </c>
    </row>
    <row r="1545" customFormat="false" ht="15" hidden="false" customHeight="false" outlineLevel="0" collapsed="false">
      <c r="I1545" s="15" t="str">
        <f aca="false">IF(A1545="","",INT(A1545))</f>
        <v/>
      </c>
      <c r="J1545" s="16" t="str">
        <f aca="false">IF(B1545="","",IF(A1545=_xlfn.MINIFS($A$2:$A$5001,$B$2:$B$5001,B1545),1,0))</f>
        <v/>
      </c>
      <c r="K1545" s="16" t="str">
        <f aca="false">IF(B1545="","",IF(AND(D1545="Formalização",E1545="Concluído"),IF(COUNTIFS($B$2:$B$5001,B1545,$E$2:$E$5001,"Em ajustes",$A$2:$A$5001,"&lt;"&amp;I1545)&gt;0,1,0),0))</f>
        <v/>
      </c>
      <c r="L1545" s="16" t="str">
        <f aca="false">IF(B1545="","",IF(A1545=_xlfn.MAXIFS($A$2:$A$5001,$B$2:$B$5001,B1545,$I$2:$I$5001,I1545),1,0))</f>
        <v/>
      </c>
    </row>
    <row r="1546" customFormat="false" ht="15" hidden="false" customHeight="false" outlineLevel="0" collapsed="false">
      <c r="I1546" s="15" t="str">
        <f aca="false">IF(A1546="","",INT(A1546))</f>
        <v/>
      </c>
      <c r="J1546" s="16" t="str">
        <f aca="false">IF(B1546="","",IF(A1546=_xlfn.MINIFS($A$2:$A$5001,$B$2:$B$5001,B1546),1,0))</f>
        <v/>
      </c>
      <c r="K1546" s="16" t="str">
        <f aca="false">IF(B1546="","",IF(AND(D1546="Formalização",E1546="Concluído"),IF(COUNTIFS($B$2:$B$5001,B1546,$E$2:$E$5001,"Em ajustes",$A$2:$A$5001,"&lt;"&amp;I1546)&gt;0,1,0),0))</f>
        <v/>
      </c>
      <c r="L1546" s="16" t="str">
        <f aca="false">IF(B1546="","",IF(A1546=_xlfn.MAXIFS($A$2:$A$5001,$B$2:$B$5001,B1546,$I$2:$I$5001,I1546),1,0))</f>
        <v/>
      </c>
    </row>
    <row r="1547" customFormat="false" ht="15" hidden="false" customHeight="false" outlineLevel="0" collapsed="false">
      <c r="I1547" s="15" t="str">
        <f aca="false">IF(A1547="","",INT(A1547))</f>
        <v/>
      </c>
      <c r="J1547" s="16" t="str">
        <f aca="false">IF(B1547="","",IF(A1547=_xlfn.MINIFS($A$2:$A$5001,$B$2:$B$5001,B1547),1,0))</f>
        <v/>
      </c>
      <c r="K1547" s="16" t="str">
        <f aca="false">IF(B1547="","",IF(AND(D1547="Formalização",E1547="Concluído"),IF(COUNTIFS($B$2:$B$5001,B1547,$E$2:$E$5001,"Em ajustes",$A$2:$A$5001,"&lt;"&amp;I1547)&gt;0,1,0),0))</f>
        <v/>
      </c>
      <c r="L1547" s="16" t="str">
        <f aca="false">IF(B1547="","",IF(A1547=_xlfn.MAXIFS($A$2:$A$5001,$B$2:$B$5001,B1547,$I$2:$I$5001,I1547),1,0))</f>
        <v/>
      </c>
    </row>
    <row r="1548" customFormat="false" ht="15" hidden="false" customHeight="false" outlineLevel="0" collapsed="false">
      <c r="I1548" s="15" t="str">
        <f aca="false">IF(A1548="","",INT(A1548))</f>
        <v/>
      </c>
      <c r="J1548" s="16" t="str">
        <f aca="false">IF(B1548="","",IF(A1548=_xlfn.MINIFS($A$2:$A$5001,$B$2:$B$5001,B1548),1,0))</f>
        <v/>
      </c>
      <c r="K1548" s="16" t="str">
        <f aca="false">IF(B1548="","",IF(AND(D1548="Formalização",E1548="Concluído"),IF(COUNTIFS($B$2:$B$5001,B1548,$E$2:$E$5001,"Em ajustes",$A$2:$A$5001,"&lt;"&amp;I1548)&gt;0,1,0),0))</f>
        <v/>
      </c>
      <c r="L1548" s="16" t="str">
        <f aca="false">IF(B1548="","",IF(A1548=_xlfn.MAXIFS($A$2:$A$5001,$B$2:$B$5001,B1548,$I$2:$I$5001,I1548),1,0))</f>
        <v/>
      </c>
    </row>
    <row r="1549" customFormat="false" ht="15" hidden="false" customHeight="false" outlineLevel="0" collapsed="false">
      <c r="I1549" s="15" t="str">
        <f aca="false">IF(A1549="","",INT(A1549))</f>
        <v/>
      </c>
      <c r="J1549" s="16" t="str">
        <f aca="false">IF(B1549="","",IF(A1549=_xlfn.MINIFS($A$2:$A$5001,$B$2:$B$5001,B1549),1,0))</f>
        <v/>
      </c>
      <c r="K1549" s="16" t="str">
        <f aca="false">IF(B1549="","",IF(AND(D1549="Formalização",E1549="Concluído"),IF(COUNTIFS($B$2:$B$5001,B1549,$E$2:$E$5001,"Em ajustes",$A$2:$A$5001,"&lt;"&amp;I1549)&gt;0,1,0),0))</f>
        <v/>
      </c>
      <c r="L1549" s="16" t="str">
        <f aca="false">IF(B1549="","",IF(A1549=_xlfn.MAXIFS($A$2:$A$5001,$B$2:$B$5001,B1549,$I$2:$I$5001,I1549),1,0))</f>
        <v/>
      </c>
    </row>
    <row r="1550" customFormat="false" ht="15" hidden="false" customHeight="false" outlineLevel="0" collapsed="false">
      <c r="I1550" s="15" t="str">
        <f aca="false">IF(A1550="","",INT(A1550))</f>
        <v/>
      </c>
      <c r="J1550" s="16" t="str">
        <f aca="false">IF(B1550="","",IF(A1550=_xlfn.MINIFS($A$2:$A$5001,$B$2:$B$5001,B1550),1,0))</f>
        <v/>
      </c>
      <c r="K1550" s="16" t="str">
        <f aca="false">IF(B1550="","",IF(AND(D1550="Formalização",E1550="Concluído"),IF(COUNTIFS($B$2:$B$5001,B1550,$E$2:$E$5001,"Em ajustes",$A$2:$A$5001,"&lt;"&amp;I1550)&gt;0,1,0),0))</f>
        <v/>
      </c>
      <c r="L1550" s="16" t="str">
        <f aca="false">IF(B1550="","",IF(A1550=_xlfn.MAXIFS($A$2:$A$5001,$B$2:$B$5001,B1550,$I$2:$I$5001,I1550),1,0))</f>
        <v/>
      </c>
    </row>
    <row r="1551" customFormat="false" ht="15" hidden="false" customHeight="false" outlineLevel="0" collapsed="false">
      <c r="I1551" s="15" t="str">
        <f aca="false">IF(A1551="","",INT(A1551))</f>
        <v/>
      </c>
      <c r="J1551" s="16" t="str">
        <f aca="false">IF(B1551="","",IF(A1551=_xlfn.MINIFS($A$2:$A$5001,$B$2:$B$5001,B1551),1,0))</f>
        <v/>
      </c>
      <c r="K1551" s="16" t="str">
        <f aca="false">IF(B1551="","",IF(AND(D1551="Formalização",E1551="Concluído"),IF(COUNTIFS($B$2:$B$5001,B1551,$E$2:$E$5001,"Em ajustes",$A$2:$A$5001,"&lt;"&amp;I1551)&gt;0,1,0),0))</f>
        <v/>
      </c>
      <c r="L1551" s="16" t="str">
        <f aca="false">IF(B1551="","",IF(A1551=_xlfn.MAXIFS($A$2:$A$5001,$B$2:$B$5001,B1551,$I$2:$I$5001,I1551),1,0))</f>
        <v/>
      </c>
    </row>
    <row r="1552" customFormat="false" ht="15" hidden="false" customHeight="false" outlineLevel="0" collapsed="false">
      <c r="I1552" s="15" t="str">
        <f aca="false">IF(A1552="","",INT(A1552))</f>
        <v/>
      </c>
      <c r="J1552" s="16" t="str">
        <f aca="false">IF(B1552="","",IF(A1552=_xlfn.MINIFS($A$2:$A$5001,$B$2:$B$5001,B1552),1,0))</f>
        <v/>
      </c>
      <c r="K1552" s="16" t="str">
        <f aca="false">IF(B1552="","",IF(AND(D1552="Formalização",E1552="Concluído"),IF(COUNTIFS($B$2:$B$5001,B1552,$E$2:$E$5001,"Em ajustes",$A$2:$A$5001,"&lt;"&amp;I1552)&gt;0,1,0),0))</f>
        <v/>
      </c>
      <c r="L1552" s="16" t="str">
        <f aca="false">IF(B1552="","",IF(A1552=_xlfn.MAXIFS($A$2:$A$5001,$B$2:$B$5001,B1552,$I$2:$I$5001,I1552),1,0))</f>
        <v/>
      </c>
    </row>
    <row r="1553" customFormat="false" ht="15" hidden="false" customHeight="false" outlineLevel="0" collapsed="false">
      <c r="I1553" s="15" t="str">
        <f aca="false">IF(A1553="","",INT(A1553))</f>
        <v/>
      </c>
      <c r="J1553" s="16" t="str">
        <f aca="false">IF(B1553="","",IF(A1553=_xlfn.MINIFS($A$2:$A$5001,$B$2:$B$5001,B1553),1,0))</f>
        <v/>
      </c>
      <c r="K1553" s="16" t="str">
        <f aca="false">IF(B1553="","",IF(AND(D1553="Formalização",E1553="Concluído"),IF(COUNTIFS($B$2:$B$5001,B1553,$E$2:$E$5001,"Em ajustes",$A$2:$A$5001,"&lt;"&amp;I1553)&gt;0,1,0),0))</f>
        <v/>
      </c>
      <c r="L1553" s="16" t="str">
        <f aca="false">IF(B1553="","",IF(A1553=_xlfn.MAXIFS($A$2:$A$5001,$B$2:$B$5001,B1553,$I$2:$I$5001,I1553),1,0))</f>
        <v/>
      </c>
    </row>
    <row r="1554" customFormat="false" ht="15" hidden="false" customHeight="false" outlineLevel="0" collapsed="false">
      <c r="I1554" s="15" t="str">
        <f aca="false">IF(A1554="","",INT(A1554))</f>
        <v/>
      </c>
      <c r="J1554" s="16" t="str">
        <f aca="false">IF(B1554="","",IF(A1554=_xlfn.MINIFS($A$2:$A$5001,$B$2:$B$5001,B1554),1,0))</f>
        <v/>
      </c>
      <c r="K1554" s="16" t="str">
        <f aca="false">IF(B1554="","",IF(AND(D1554="Formalização",E1554="Concluído"),IF(COUNTIFS($B$2:$B$5001,B1554,$E$2:$E$5001,"Em ajustes",$A$2:$A$5001,"&lt;"&amp;I1554)&gt;0,1,0),0))</f>
        <v/>
      </c>
      <c r="L1554" s="16" t="str">
        <f aca="false">IF(B1554="","",IF(A1554=_xlfn.MAXIFS($A$2:$A$5001,$B$2:$B$5001,B1554,$I$2:$I$5001,I1554),1,0))</f>
        <v/>
      </c>
    </row>
    <row r="1555" customFormat="false" ht="15" hidden="false" customHeight="false" outlineLevel="0" collapsed="false">
      <c r="I1555" s="15" t="str">
        <f aca="false">IF(A1555="","",INT(A1555))</f>
        <v/>
      </c>
      <c r="J1555" s="16" t="str">
        <f aca="false">IF(B1555="","",IF(A1555=_xlfn.MINIFS($A$2:$A$5001,$B$2:$B$5001,B1555),1,0))</f>
        <v/>
      </c>
      <c r="K1555" s="16" t="str">
        <f aca="false">IF(B1555="","",IF(AND(D1555="Formalização",E1555="Concluído"),IF(COUNTIFS($B$2:$B$5001,B1555,$E$2:$E$5001,"Em ajustes",$A$2:$A$5001,"&lt;"&amp;I1555)&gt;0,1,0),0))</f>
        <v/>
      </c>
      <c r="L1555" s="16" t="str">
        <f aca="false">IF(B1555="","",IF(A1555=_xlfn.MAXIFS($A$2:$A$5001,$B$2:$B$5001,B1555,$I$2:$I$5001,I1555),1,0))</f>
        <v/>
      </c>
    </row>
    <row r="1556" customFormat="false" ht="15" hidden="false" customHeight="false" outlineLevel="0" collapsed="false">
      <c r="I1556" s="15" t="str">
        <f aca="false">IF(A1556="","",INT(A1556))</f>
        <v/>
      </c>
      <c r="J1556" s="16" t="str">
        <f aca="false">IF(B1556="","",IF(A1556=_xlfn.MINIFS($A$2:$A$5001,$B$2:$B$5001,B1556),1,0))</f>
        <v/>
      </c>
      <c r="K1556" s="16" t="str">
        <f aca="false">IF(B1556="","",IF(AND(D1556="Formalização",E1556="Concluído"),IF(COUNTIFS($B$2:$B$5001,B1556,$E$2:$E$5001,"Em ajustes",$A$2:$A$5001,"&lt;"&amp;I1556)&gt;0,1,0),0))</f>
        <v/>
      </c>
      <c r="L1556" s="16" t="str">
        <f aca="false">IF(B1556="","",IF(A1556=_xlfn.MAXIFS($A$2:$A$5001,$B$2:$B$5001,B1556,$I$2:$I$5001,I1556),1,0))</f>
        <v/>
      </c>
    </row>
    <row r="1557" customFormat="false" ht="15" hidden="false" customHeight="false" outlineLevel="0" collapsed="false">
      <c r="I1557" s="15" t="str">
        <f aca="false">IF(A1557="","",INT(A1557))</f>
        <v/>
      </c>
      <c r="J1557" s="16" t="str">
        <f aca="false">IF(B1557="","",IF(A1557=_xlfn.MINIFS($A$2:$A$5001,$B$2:$B$5001,B1557),1,0))</f>
        <v/>
      </c>
      <c r="K1557" s="16" t="str">
        <f aca="false">IF(B1557="","",IF(AND(D1557="Formalização",E1557="Concluído"),IF(COUNTIFS($B$2:$B$5001,B1557,$E$2:$E$5001,"Em ajustes",$A$2:$A$5001,"&lt;"&amp;I1557)&gt;0,1,0),0))</f>
        <v/>
      </c>
      <c r="L1557" s="16" t="str">
        <f aca="false">IF(B1557="","",IF(A1557=_xlfn.MAXIFS($A$2:$A$5001,$B$2:$B$5001,B1557,$I$2:$I$5001,I1557),1,0))</f>
        <v/>
      </c>
    </row>
    <row r="1558" customFormat="false" ht="15" hidden="false" customHeight="false" outlineLevel="0" collapsed="false">
      <c r="I1558" s="15" t="str">
        <f aca="false">IF(A1558="","",INT(A1558))</f>
        <v/>
      </c>
      <c r="J1558" s="16" t="str">
        <f aca="false">IF(B1558="","",IF(A1558=_xlfn.MINIFS($A$2:$A$5001,$B$2:$B$5001,B1558),1,0))</f>
        <v/>
      </c>
      <c r="K1558" s="16" t="str">
        <f aca="false">IF(B1558="","",IF(AND(D1558="Formalização",E1558="Concluído"),IF(COUNTIFS($B$2:$B$5001,B1558,$E$2:$E$5001,"Em ajustes",$A$2:$A$5001,"&lt;"&amp;I1558)&gt;0,1,0),0))</f>
        <v/>
      </c>
      <c r="L1558" s="16" t="str">
        <f aca="false">IF(B1558="","",IF(A1558=_xlfn.MAXIFS($A$2:$A$5001,$B$2:$B$5001,B1558,$I$2:$I$5001,I1558),1,0))</f>
        <v/>
      </c>
    </row>
    <row r="1559" customFormat="false" ht="15" hidden="false" customHeight="false" outlineLevel="0" collapsed="false">
      <c r="I1559" s="15" t="str">
        <f aca="false">IF(A1559="","",INT(A1559))</f>
        <v/>
      </c>
      <c r="J1559" s="16" t="str">
        <f aca="false">IF(B1559="","",IF(A1559=_xlfn.MINIFS($A$2:$A$5001,$B$2:$B$5001,B1559),1,0))</f>
        <v/>
      </c>
      <c r="K1559" s="16" t="str">
        <f aca="false">IF(B1559="","",IF(AND(D1559="Formalização",E1559="Concluído"),IF(COUNTIFS($B$2:$B$5001,B1559,$E$2:$E$5001,"Em ajustes",$A$2:$A$5001,"&lt;"&amp;I1559)&gt;0,1,0),0))</f>
        <v/>
      </c>
      <c r="L1559" s="16" t="str">
        <f aca="false">IF(B1559="","",IF(A1559=_xlfn.MAXIFS($A$2:$A$5001,$B$2:$B$5001,B1559,$I$2:$I$5001,I1559),1,0))</f>
        <v/>
      </c>
    </row>
    <row r="1560" customFormat="false" ht="15" hidden="false" customHeight="false" outlineLevel="0" collapsed="false">
      <c r="I1560" s="15" t="str">
        <f aca="false">IF(A1560="","",INT(A1560))</f>
        <v/>
      </c>
      <c r="J1560" s="16" t="str">
        <f aca="false">IF(B1560="","",IF(A1560=_xlfn.MINIFS($A$2:$A$5001,$B$2:$B$5001,B1560),1,0))</f>
        <v/>
      </c>
      <c r="K1560" s="16" t="str">
        <f aca="false">IF(B1560="","",IF(AND(D1560="Formalização",E1560="Concluído"),IF(COUNTIFS($B$2:$B$5001,B1560,$E$2:$E$5001,"Em ajustes",$A$2:$A$5001,"&lt;"&amp;I1560)&gt;0,1,0),0))</f>
        <v/>
      </c>
      <c r="L1560" s="16" t="str">
        <f aca="false">IF(B1560="","",IF(A1560=_xlfn.MAXIFS($A$2:$A$5001,$B$2:$B$5001,B1560,$I$2:$I$5001,I1560),1,0))</f>
        <v/>
      </c>
    </row>
    <row r="1561" customFormat="false" ht="15" hidden="false" customHeight="false" outlineLevel="0" collapsed="false">
      <c r="I1561" s="15" t="str">
        <f aca="false">IF(A1561="","",INT(A1561))</f>
        <v/>
      </c>
      <c r="J1561" s="16" t="str">
        <f aca="false">IF(B1561="","",IF(A1561=_xlfn.MINIFS($A$2:$A$5001,$B$2:$B$5001,B1561),1,0))</f>
        <v/>
      </c>
      <c r="K1561" s="16" t="str">
        <f aca="false">IF(B1561="","",IF(AND(D1561="Formalização",E1561="Concluído"),IF(COUNTIFS($B$2:$B$5001,B1561,$E$2:$E$5001,"Em ajustes",$A$2:$A$5001,"&lt;"&amp;I1561)&gt;0,1,0),0))</f>
        <v/>
      </c>
      <c r="L1561" s="16" t="str">
        <f aca="false">IF(B1561="","",IF(A1561=_xlfn.MAXIFS($A$2:$A$5001,$B$2:$B$5001,B1561,$I$2:$I$5001,I1561),1,0))</f>
        <v/>
      </c>
    </row>
    <row r="1562" customFormat="false" ht="15" hidden="false" customHeight="false" outlineLevel="0" collapsed="false">
      <c r="I1562" s="15" t="str">
        <f aca="false">IF(A1562="","",INT(A1562))</f>
        <v/>
      </c>
      <c r="J1562" s="16" t="str">
        <f aca="false">IF(B1562="","",IF(A1562=_xlfn.MINIFS($A$2:$A$5001,$B$2:$B$5001,B1562),1,0))</f>
        <v/>
      </c>
      <c r="K1562" s="16" t="str">
        <f aca="false">IF(B1562="","",IF(AND(D1562="Formalização",E1562="Concluído"),IF(COUNTIFS($B$2:$B$5001,B1562,$E$2:$E$5001,"Em ajustes",$A$2:$A$5001,"&lt;"&amp;I1562)&gt;0,1,0),0))</f>
        <v/>
      </c>
      <c r="L1562" s="16" t="str">
        <f aca="false">IF(B1562="","",IF(A1562=_xlfn.MAXIFS($A$2:$A$5001,$B$2:$B$5001,B1562,$I$2:$I$5001,I1562),1,0))</f>
        <v/>
      </c>
    </row>
    <row r="1563" customFormat="false" ht="15" hidden="false" customHeight="false" outlineLevel="0" collapsed="false">
      <c r="I1563" s="15" t="str">
        <f aca="false">IF(A1563="","",INT(A1563))</f>
        <v/>
      </c>
      <c r="J1563" s="16" t="str">
        <f aca="false">IF(B1563="","",IF(A1563=_xlfn.MINIFS($A$2:$A$5001,$B$2:$B$5001,B1563),1,0))</f>
        <v/>
      </c>
      <c r="K1563" s="16" t="str">
        <f aca="false">IF(B1563="","",IF(AND(D1563="Formalização",E1563="Concluído"),IF(COUNTIFS($B$2:$B$5001,B1563,$E$2:$E$5001,"Em ajustes",$A$2:$A$5001,"&lt;"&amp;I1563)&gt;0,1,0),0))</f>
        <v/>
      </c>
      <c r="L1563" s="16" t="str">
        <f aca="false">IF(B1563="","",IF(A1563=_xlfn.MAXIFS($A$2:$A$5001,$B$2:$B$5001,B1563,$I$2:$I$5001,I1563),1,0))</f>
        <v/>
      </c>
    </row>
    <row r="1564" customFormat="false" ht="15" hidden="false" customHeight="false" outlineLevel="0" collapsed="false">
      <c r="I1564" s="15" t="str">
        <f aca="false">IF(A1564="","",INT(A1564))</f>
        <v/>
      </c>
      <c r="J1564" s="16" t="str">
        <f aca="false">IF(B1564="","",IF(A1564=_xlfn.MINIFS($A$2:$A$5001,$B$2:$B$5001,B1564),1,0))</f>
        <v/>
      </c>
      <c r="K1564" s="16" t="str">
        <f aca="false">IF(B1564="","",IF(AND(D1564="Formalização",E1564="Concluído"),IF(COUNTIFS($B$2:$B$5001,B1564,$E$2:$E$5001,"Em ajustes",$A$2:$A$5001,"&lt;"&amp;I1564)&gt;0,1,0),0))</f>
        <v/>
      </c>
      <c r="L1564" s="16" t="str">
        <f aca="false">IF(B1564="","",IF(A1564=_xlfn.MAXIFS($A$2:$A$5001,$B$2:$B$5001,B1564,$I$2:$I$5001,I1564),1,0))</f>
        <v/>
      </c>
    </row>
    <row r="1565" customFormat="false" ht="15" hidden="false" customHeight="false" outlineLevel="0" collapsed="false">
      <c r="I1565" s="15" t="str">
        <f aca="false">IF(A1565="","",INT(A1565))</f>
        <v/>
      </c>
      <c r="J1565" s="16" t="str">
        <f aca="false">IF(B1565="","",IF(A1565=_xlfn.MINIFS($A$2:$A$5001,$B$2:$B$5001,B1565),1,0))</f>
        <v/>
      </c>
      <c r="K1565" s="16" t="str">
        <f aca="false">IF(B1565="","",IF(AND(D1565="Formalização",E1565="Concluído"),IF(COUNTIFS($B$2:$B$5001,B1565,$E$2:$E$5001,"Em ajustes",$A$2:$A$5001,"&lt;"&amp;I1565)&gt;0,1,0),0))</f>
        <v/>
      </c>
      <c r="L1565" s="16" t="str">
        <f aca="false">IF(B1565="","",IF(A1565=_xlfn.MAXIFS($A$2:$A$5001,$B$2:$B$5001,B1565,$I$2:$I$5001,I1565),1,0))</f>
        <v/>
      </c>
    </row>
    <row r="1566" customFormat="false" ht="15" hidden="false" customHeight="false" outlineLevel="0" collapsed="false">
      <c r="I1566" s="15" t="str">
        <f aca="false">IF(A1566="","",INT(A1566))</f>
        <v/>
      </c>
      <c r="J1566" s="16" t="str">
        <f aca="false">IF(B1566="","",IF(A1566=_xlfn.MINIFS($A$2:$A$5001,$B$2:$B$5001,B1566),1,0))</f>
        <v/>
      </c>
      <c r="K1566" s="16" t="str">
        <f aca="false">IF(B1566="","",IF(AND(D1566="Formalização",E1566="Concluído"),IF(COUNTIFS($B$2:$B$5001,B1566,$E$2:$E$5001,"Em ajustes",$A$2:$A$5001,"&lt;"&amp;I1566)&gt;0,1,0),0))</f>
        <v/>
      </c>
      <c r="L1566" s="16" t="str">
        <f aca="false">IF(B1566="","",IF(A1566=_xlfn.MAXIFS($A$2:$A$5001,$B$2:$B$5001,B1566,$I$2:$I$5001,I1566),1,0))</f>
        <v/>
      </c>
    </row>
    <row r="1567" customFormat="false" ht="15" hidden="false" customHeight="false" outlineLevel="0" collapsed="false">
      <c r="I1567" s="15" t="str">
        <f aca="false">IF(A1567="","",INT(A1567))</f>
        <v/>
      </c>
      <c r="J1567" s="16" t="str">
        <f aca="false">IF(B1567="","",IF(A1567=_xlfn.MINIFS($A$2:$A$5001,$B$2:$B$5001,B1567),1,0))</f>
        <v/>
      </c>
      <c r="K1567" s="16" t="str">
        <f aca="false">IF(B1567="","",IF(AND(D1567="Formalização",E1567="Concluído"),IF(COUNTIFS($B$2:$B$5001,B1567,$E$2:$E$5001,"Em ajustes",$A$2:$A$5001,"&lt;"&amp;I1567)&gt;0,1,0),0))</f>
        <v/>
      </c>
      <c r="L1567" s="16" t="str">
        <f aca="false">IF(B1567="","",IF(A1567=_xlfn.MAXIFS($A$2:$A$5001,$B$2:$B$5001,B1567,$I$2:$I$5001,I1567),1,0))</f>
        <v/>
      </c>
    </row>
    <row r="1568" customFormat="false" ht="15" hidden="false" customHeight="false" outlineLevel="0" collapsed="false">
      <c r="I1568" s="15" t="str">
        <f aca="false">IF(A1568="","",INT(A1568))</f>
        <v/>
      </c>
      <c r="J1568" s="16" t="str">
        <f aca="false">IF(B1568="","",IF(A1568=_xlfn.MINIFS($A$2:$A$5001,$B$2:$B$5001,B1568),1,0))</f>
        <v/>
      </c>
      <c r="K1568" s="16" t="str">
        <f aca="false">IF(B1568="","",IF(AND(D1568="Formalização",E1568="Concluído"),IF(COUNTIFS($B$2:$B$5001,B1568,$E$2:$E$5001,"Em ajustes",$A$2:$A$5001,"&lt;"&amp;I1568)&gt;0,1,0),0))</f>
        <v/>
      </c>
      <c r="L1568" s="16" t="str">
        <f aca="false">IF(B1568="","",IF(A1568=_xlfn.MAXIFS($A$2:$A$5001,$B$2:$B$5001,B1568,$I$2:$I$5001,I1568),1,0))</f>
        <v/>
      </c>
    </row>
    <row r="1569" customFormat="false" ht="15" hidden="false" customHeight="false" outlineLevel="0" collapsed="false">
      <c r="I1569" s="15" t="str">
        <f aca="false">IF(A1569="","",INT(A1569))</f>
        <v/>
      </c>
      <c r="J1569" s="16" t="str">
        <f aca="false">IF(B1569="","",IF(A1569=_xlfn.MINIFS($A$2:$A$5001,$B$2:$B$5001,B1569),1,0))</f>
        <v/>
      </c>
      <c r="K1569" s="16" t="str">
        <f aca="false">IF(B1569="","",IF(AND(D1569="Formalização",E1569="Concluído"),IF(COUNTIFS($B$2:$B$5001,B1569,$E$2:$E$5001,"Em ajustes",$A$2:$A$5001,"&lt;"&amp;I1569)&gt;0,1,0),0))</f>
        <v/>
      </c>
      <c r="L1569" s="16" t="str">
        <f aca="false">IF(B1569="","",IF(A1569=_xlfn.MAXIFS($A$2:$A$5001,$B$2:$B$5001,B1569,$I$2:$I$5001,I1569),1,0))</f>
        <v/>
      </c>
    </row>
    <row r="1570" customFormat="false" ht="15" hidden="false" customHeight="false" outlineLevel="0" collapsed="false">
      <c r="I1570" s="15" t="str">
        <f aca="false">IF(A1570="","",INT(A1570))</f>
        <v/>
      </c>
      <c r="J1570" s="16" t="str">
        <f aca="false">IF(B1570="","",IF(A1570=_xlfn.MINIFS($A$2:$A$5001,$B$2:$B$5001,B1570),1,0))</f>
        <v/>
      </c>
      <c r="K1570" s="16" t="str">
        <f aca="false">IF(B1570="","",IF(AND(D1570="Formalização",E1570="Concluído"),IF(COUNTIFS($B$2:$B$5001,B1570,$E$2:$E$5001,"Em ajustes",$A$2:$A$5001,"&lt;"&amp;I1570)&gt;0,1,0),0))</f>
        <v/>
      </c>
      <c r="L1570" s="16" t="str">
        <f aca="false">IF(B1570="","",IF(A1570=_xlfn.MAXIFS($A$2:$A$5001,$B$2:$B$5001,B1570,$I$2:$I$5001,I1570),1,0))</f>
        <v/>
      </c>
    </row>
    <row r="1571" customFormat="false" ht="15" hidden="false" customHeight="false" outlineLevel="0" collapsed="false">
      <c r="I1571" s="15" t="str">
        <f aca="false">IF(A1571="","",INT(A1571))</f>
        <v/>
      </c>
      <c r="J1571" s="16" t="str">
        <f aca="false">IF(B1571="","",IF(A1571=_xlfn.MINIFS($A$2:$A$5001,$B$2:$B$5001,B1571),1,0))</f>
        <v/>
      </c>
      <c r="K1571" s="16" t="str">
        <f aca="false">IF(B1571="","",IF(AND(D1571="Formalização",E1571="Concluído"),IF(COUNTIFS($B$2:$B$5001,B1571,$E$2:$E$5001,"Em ajustes",$A$2:$A$5001,"&lt;"&amp;I1571)&gt;0,1,0),0))</f>
        <v/>
      </c>
      <c r="L1571" s="16" t="str">
        <f aca="false">IF(B1571="","",IF(A1571=_xlfn.MAXIFS($A$2:$A$5001,$B$2:$B$5001,B1571,$I$2:$I$5001,I1571),1,0))</f>
        <v/>
      </c>
    </row>
    <row r="1572" customFormat="false" ht="15" hidden="false" customHeight="false" outlineLevel="0" collapsed="false">
      <c r="I1572" s="15" t="str">
        <f aca="false">IF(A1572="","",INT(A1572))</f>
        <v/>
      </c>
      <c r="J1572" s="16" t="str">
        <f aca="false">IF(B1572="","",IF(A1572=_xlfn.MINIFS($A$2:$A$5001,$B$2:$B$5001,B1572),1,0))</f>
        <v/>
      </c>
      <c r="K1572" s="16" t="str">
        <f aca="false">IF(B1572="","",IF(AND(D1572="Formalização",E1572="Concluído"),IF(COUNTIFS($B$2:$B$5001,B1572,$E$2:$E$5001,"Em ajustes",$A$2:$A$5001,"&lt;"&amp;I1572)&gt;0,1,0),0))</f>
        <v/>
      </c>
      <c r="L1572" s="16" t="str">
        <f aca="false">IF(B1572="","",IF(A1572=_xlfn.MAXIFS($A$2:$A$5001,$B$2:$B$5001,B1572,$I$2:$I$5001,I1572),1,0))</f>
        <v/>
      </c>
    </row>
    <row r="1573" customFormat="false" ht="15" hidden="false" customHeight="false" outlineLevel="0" collapsed="false">
      <c r="I1573" s="15" t="str">
        <f aca="false">IF(A1573="","",INT(A1573))</f>
        <v/>
      </c>
      <c r="J1573" s="16" t="str">
        <f aca="false">IF(B1573="","",IF(A1573=_xlfn.MINIFS($A$2:$A$5001,$B$2:$B$5001,B1573),1,0))</f>
        <v/>
      </c>
      <c r="K1573" s="16" t="str">
        <f aca="false">IF(B1573="","",IF(AND(D1573="Formalização",E1573="Concluído"),IF(COUNTIFS($B$2:$B$5001,B1573,$E$2:$E$5001,"Em ajustes",$A$2:$A$5001,"&lt;"&amp;I1573)&gt;0,1,0),0))</f>
        <v/>
      </c>
      <c r="L1573" s="16" t="str">
        <f aca="false">IF(B1573="","",IF(A1573=_xlfn.MAXIFS($A$2:$A$5001,$B$2:$B$5001,B1573,$I$2:$I$5001,I1573),1,0))</f>
        <v/>
      </c>
    </row>
    <row r="1574" customFormat="false" ht="15" hidden="false" customHeight="false" outlineLevel="0" collapsed="false">
      <c r="I1574" s="15" t="str">
        <f aca="false">IF(A1574="","",INT(A1574))</f>
        <v/>
      </c>
      <c r="J1574" s="16" t="str">
        <f aca="false">IF(B1574="","",IF(A1574=_xlfn.MINIFS($A$2:$A$5001,$B$2:$B$5001,B1574),1,0))</f>
        <v/>
      </c>
      <c r="K1574" s="16" t="str">
        <f aca="false">IF(B1574="","",IF(AND(D1574="Formalização",E1574="Concluído"),IF(COUNTIFS($B$2:$B$5001,B1574,$E$2:$E$5001,"Em ajustes",$A$2:$A$5001,"&lt;"&amp;I1574)&gt;0,1,0),0))</f>
        <v/>
      </c>
      <c r="L1574" s="16" t="str">
        <f aca="false">IF(B1574="","",IF(A1574=_xlfn.MAXIFS($A$2:$A$5001,$B$2:$B$5001,B1574,$I$2:$I$5001,I1574),1,0))</f>
        <v/>
      </c>
    </row>
    <row r="1575" customFormat="false" ht="15" hidden="false" customHeight="false" outlineLevel="0" collapsed="false">
      <c r="I1575" s="15" t="str">
        <f aca="false">IF(A1575="","",INT(A1575))</f>
        <v/>
      </c>
      <c r="J1575" s="16" t="str">
        <f aca="false">IF(B1575="","",IF(A1575=_xlfn.MINIFS($A$2:$A$5001,$B$2:$B$5001,B1575),1,0))</f>
        <v/>
      </c>
      <c r="K1575" s="16" t="str">
        <f aca="false">IF(B1575="","",IF(AND(D1575="Formalização",E1575="Concluído"),IF(COUNTIFS($B$2:$B$5001,B1575,$E$2:$E$5001,"Em ajustes",$A$2:$A$5001,"&lt;"&amp;I1575)&gt;0,1,0),0))</f>
        <v/>
      </c>
      <c r="L1575" s="16" t="str">
        <f aca="false">IF(B1575="","",IF(A1575=_xlfn.MAXIFS($A$2:$A$5001,$B$2:$B$5001,B1575,$I$2:$I$5001,I1575),1,0))</f>
        <v/>
      </c>
    </row>
    <row r="1576" customFormat="false" ht="15" hidden="false" customHeight="false" outlineLevel="0" collapsed="false">
      <c r="I1576" s="15" t="str">
        <f aca="false">IF(A1576="","",INT(A1576))</f>
        <v/>
      </c>
      <c r="J1576" s="16" t="str">
        <f aca="false">IF(B1576="","",IF(A1576=_xlfn.MINIFS($A$2:$A$5001,$B$2:$B$5001,B1576),1,0))</f>
        <v/>
      </c>
      <c r="K1576" s="16" t="str">
        <f aca="false">IF(B1576="","",IF(AND(D1576="Formalização",E1576="Concluído"),IF(COUNTIFS($B$2:$B$5001,B1576,$E$2:$E$5001,"Em ajustes",$A$2:$A$5001,"&lt;"&amp;I1576)&gt;0,1,0),0))</f>
        <v/>
      </c>
      <c r="L1576" s="16" t="str">
        <f aca="false">IF(B1576="","",IF(A1576=_xlfn.MAXIFS($A$2:$A$5001,$B$2:$B$5001,B1576,$I$2:$I$5001,I1576),1,0))</f>
        <v/>
      </c>
    </row>
    <row r="1577" customFormat="false" ht="15" hidden="false" customHeight="false" outlineLevel="0" collapsed="false">
      <c r="I1577" s="15" t="str">
        <f aca="false">IF(A1577="","",INT(A1577))</f>
        <v/>
      </c>
      <c r="J1577" s="16" t="str">
        <f aca="false">IF(B1577="","",IF(A1577=_xlfn.MINIFS($A$2:$A$5001,$B$2:$B$5001,B1577),1,0))</f>
        <v/>
      </c>
      <c r="K1577" s="16" t="str">
        <f aca="false">IF(B1577="","",IF(AND(D1577="Formalização",E1577="Concluído"),IF(COUNTIFS($B$2:$B$5001,B1577,$E$2:$E$5001,"Em ajustes",$A$2:$A$5001,"&lt;"&amp;I1577)&gt;0,1,0),0))</f>
        <v/>
      </c>
      <c r="L1577" s="16" t="str">
        <f aca="false">IF(B1577="","",IF(A1577=_xlfn.MAXIFS($A$2:$A$5001,$B$2:$B$5001,B1577,$I$2:$I$5001,I1577),1,0))</f>
        <v/>
      </c>
    </row>
    <row r="1578" customFormat="false" ht="15" hidden="false" customHeight="false" outlineLevel="0" collapsed="false">
      <c r="I1578" s="15" t="str">
        <f aca="false">IF(A1578="","",INT(A1578))</f>
        <v/>
      </c>
      <c r="J1578" s="16" t="str">
        <f aca="false">IF(B1578="","",IF(A1578=_xlfn.MINIFS($A$2:$A$5001,$B$2:$B$5001,B1578),1,0))</f>
        <v/>
      </c>
      <c r="K1578" s="16" t="str">
        <f aca="false">IF(B1578="","",IF(AND(D1578="Formalização",E1578="Concluído"),IF(COUNTIFS($B$2:$B$5001,B1578,$E$2:$E$5001,"Em ajustes",$A$2:$A$5001,"&lt;"&amp;I1578)&gt;0,1,0),0))</f>
        <v/>
      </c>
      <c r="L1578" s="16" t="str">
        <f aca="false">IF(B1578="","",IF(A1578=_xlfn.MAXIFS($A$2:$A$5001,$B$2:$B$5001,B1578,$I$2:$I$5001,I1578),1,0))</f>
        <v/>
      </c>
    </row>
    <row r="1579" customFormat="false" ht="15" hidden="false" customHeight="false" outlineLevel="0" collapsed="false">
      <c r="I1579" s="15" t="str">
        <f aca="false">IF(A1579="","",INT(A1579))</f>
        <v/>
      </c>
      <c r="J1579" s="16" t="str">
        <f aca="false">IF(B1579="","",IF(A1579=_xlfn.MINIFS($A$2:$A$5001,$B$2:$B$5001,B1579),1,0))</f>
        <v/>
      </c>
      <c r="K1579" s="16" t="str">
        <f aca="false">IF(B1579="","",IF(AND(D1579="Formalização",E1579="Concluído"),IF(COUNTIFS($B$2:$B$5001,B1579,$E$2:$E$5001,"Em ajustes",$A$2:$A$5001,"&lt;"&amp;I1579)&gt;0,1,0),0))</f>
        <v/>
      </c>
      <c r="L1579" s="16" t="str">
        <f aca="false">IF(B1579="","",IF(A1579=_xlfn.MAXIFS($A$2:$A$5001,$B$2:$B$5001,B1579,$I$2:$I$5001,I1579),1,0))</f>
        <v/>
      </c>
    </row>
    <row r="1580" customFormat="false" ht="15" hidden="false" customHeight="false" outlineLevel="0" collapsed="false">
      <c r="I1580" s="15" t="str">
        <f aca="false">IF(A1580="","",INT(A1580))</f>
        <v/>
      </c>
      <c r="J1580" s="16" t="str">
        <f aca="false">IF(B1580="","",IF(A1580=_xlfn.MINIFS($A$2:$A$5001,$B$2:$B$5001,B1580),1,0))</f>
        <v/>
      </c>
      <c r="K1580" s="16" t="str">
        <f aca="false">IF(B1580="","",IF(AND(D1580="Formalização",E1580="Concluído"),IF(COUNTIFS($B$2:$B$5001,B1580,$E$2:$E$5001,"Em ajustes",$A$2:$A$5001,"&lt;"&amp;I1580)&gt;0,1,0),0))</f>
        <v/>
      </c>
      <c r="L1580" s="16" t="str">
        <f aca="false">IF(B1580="","",IF(A1580=_xlfn.MAXIFS($A$2:$A$5001,$B$2:$B$5001,B1580,$I$2:$I$5001,I1580),1,0))</f>
        <v/>
      </c>
    </row>
    <row r="1581" customFormat="false" ht="15" hidden="false" customHeight="false" outlineLevel="0" collapsed="false">
      <c r="I1581" s="15" t="str">
        <f aca="false">IF(A1581="","",INT(A1581))</f>
        <v/>
      </c>
      <c r="J1581" s="16" t="str">
        <f aca="false">IF(B1581="","",IF(A1581=_xlfn.MINIFS($A$2:$A$5001,$B$2:$B$5001,B1581),1,0))</f>
        <v/>
      </c>
      <c r="K1581" s="16" t="str">
        <f aca="false">IF(B1581="","",IF(AND(D1581="Formalização",E1581="Concluído"),IF(COUNTIFS($B$2:$B$5001,B1581,$E$2:$E$5001,"Em ajustes",$A$2:$A$5001,"&lt;"&amp;I1581)&gt;0,1,0),0))</f>
        <v/>
      </c>
      <c r="L1581" s="16" t="str">
        <f aca="false">IF(B1581="","",IF(A1581=_xlfn.MAXIFS($A$2:$A$5001,$B$2:$B$5001,B1581,$I$2:$I$5001,I1581),1,0))</f>
        <v/>
      </c>
    </row>
    <row r="1582" customFormat="false" ht="15" hidden="false" customHeight="false" outlineLevel="0" collapsed="false">
      <c r="I1582" s="15" t="str">
        <f aca="false">IF(A1582="","",INT(A1582))</f>
        <v/>
      </c>
      <c r="J1582" s="16" t="str">
        <f aca="false">IF(B1582="","",IF(A1582=_xlfn.MINIFS($A$2:$A$5001,$B$2:$B$5001,B1582),1,0))</f>
        <v/>
      </c>
      <c r="K1582" s="16" t="str">
        <f aca="false">IF(B1582="","",IF(AND(D1582="Formalização",E1582="Concluído"),IF(COUNTIFS($B$2:$B$5001,B1582,$E$2:$E$5001,"Em ajustes",$A$2:$A$5001,"&lt;"&amp;I1582)&gt;0,1,0),0))</f>
        <v/>
      </c>
      <c r="L1582" s="16" t="str">
        <f aca="false">IF(B1582="","",IF(A1582=_xlfn.MAXIFS($A$2:$A$5001,$B$2:$B$5001,B1582,$I$2:$I$5001,I1582),1,0))</f>
        <v/>
      </c>
    </row>
    <row r="1583" customFormat="false" ht="15" hidden="false" customHeight="false" outlineLevel="0" collapsed="false">
      <c r="I1583" s="15" t="str">
        <f aca="false">IF(A1583="","",INT(A1583))</f>
        <v/>
      </c>
      <c r="J1583" s="16" t="str">
        <f aca="false">IF(B1583="","",IF(A1583=_xlfn.MINIFS($A$2:$A$5001,$B$2:$B$5001,B1583),1,0))</f>
        <v/>
      </c>
      <c r="K1583" s="16" t="str">
        <f aca="false">IF(B1583="","",IF(AND(D1583="Formalização",E1583="Concluído"),IF(COUNTIFS($B$2:$B$5001,B1583,$E$2:$E$5001,"Em ajustes",$A$2:$A$5001,"&lt;"&amp;I1583)&gt;0,1,0),0))</f>
        <v/>
      </c>
      <c r="L1583" s="16" t="str">
        <f aca="false">IF(B1583="","",IF(A1583=_xlfn.MAXIFS($A$2:$A$5001,$B$2:$B$5001,B1583,$I$2:$I$5001,I1583),1,0))</f>
        <v/>
      </c>
    </row>
    <row r="1584" customFormat="false" ht="15" hidden="false" customHeight="false" outlineLevel="0" collapsed="false">
      <c r="I1584" s="15" t="str">
        <f aca="false">IF(A1584="","",INT(A1584))</f>
        <v/>
      </c>
      <c r="J1584" s="16" t="str">
        <f aca="false">IF(B1584="","",IF(A1584=_xlfn.MINIFS($A$2:$A$5001,$B$2:$B$5001,B1584),1,0))</f>
        <v/>
      </c>
      <c r="K1584" s="16" t="str">
        <f aca="false">IF(B1584="","",IF(AND(D1584="Formalização",E1584="Concluído"),IF(COUNTIFS($B$2:$B$5001,B1584,$E$2:$E$5001,"Em ajustes",$A$2:$A$5001,"&lt;"&amp;I1584)&gt;0,1,0),0))</f>
        <v/>
      </c>
      <c r="L1584" s="16" t="str">
        <f aca="false">IF(B1584="","",IF(A1584=_xlfn.MAXIFS($A$2:$A$5001,$B$2:$B$5001,B1584,$I$2:$I$5001,I1584),1,0))</f>
        <v/>
      </c>
    </row>
    <row r="1585" customFormat="false" ht="15" hidden="false" customHeight="false" outlineLevel="0" collapsed="false">
      <c r="I1585" s="15" t="str">
        <f aca="false">IF(A1585="","",INT(A1585))</f>
        <v/>
      </c>
      <c r="J1585" s="16" t="str">
        <f aca="false">IF(B1585="","",IF(A1585=_xlfn.MINIFS($A$2:$A$5001,$B$2:$B$5001,B1585),1,0))</f>
        <v/>
      </c>
      <c r="K1585" s="16" t="str">
        <f aca="false">IF(B1585="","",IF(AND(D1585="Formalização",E1585="Concluído"),IF(COUNTIFS($B$2:$B$5001,B1585,$E$2:$E$5001,"Em ajustes",$A$2:$A$5001,"&lt;"&amp;I1585)&gt;0,1,0),0))</f>
        <v/>
      </c>
      <c r="L1585" s="16" t="str">
        <f aca="false">IF(B1585="","",IF(A1585=_xlfn.MAXIFS($A$2:$A$5001,$B$2:$B$5001,B1585,$I$2:$I$5001,I1585),1,0))</f>
        <v/>
      </c>
    </row>
    <row r="1586" customFormat="false" ht="15" hidden="false" customHeight="false" outlineLevel="0" collapsed="false">
      <c r="I1586" s="15" t="str">
        <f aca="false">IF(A1586="","",INT(A1586))</f>
        <v/>
      </c>
      <c r="J1586" s="16" t="str">
        <f aca="false">IF(B1586="","",IF(A1586=_xlfn.MINIFS($A$2:$A$5001,$B$2:$B$5001,B1586),1,0))</f>
        <v/>
      </c>
      <c r="K1586" s="16" t="str">
        <f aca="false">IF(B1586="","",IF(AND(D1586="Formalização",E1586="Concluído"),IF(COUNTIFS($B$2:$B$5001,B1586,$E$2:$E$5001,"Em ajustes",$A$2:$A$5001,"&lt;"&amp;I1586)&gt;0,1,0),0))</f>
        <v/>
      </c>
      <c r="L1586" s="16" t="str">
        <f aca="false">IF(B1586="","",IF(A1586=_xlfn.MAXIFS($A$2:$A$5001,$B$2:$B$5001,B1586,$I$2:$I$5001,I1586),1,0))</f>
        <v/>
      </c>
    </row>
    <row r="1587" customFormat="false" ht="15" hidden="false" customHeight="false" outlineLevel="0" collapsed="false">
      <c r="I1587" s="15" t="str">
        <f aca="false">IF(A1587="","",INT(A1587))</f>
        <v/>
      </c>
      <c r="J1587" s="16" t="str">
        <f aca="false">IF(B1587="","",IF(A1587=_xlfn.MINIFS($A$2:$A$5001,$B$2:$B$5001,B1587),1,0))</f>
        <v/>
      </c>
      <c r="K1587" s="16" t="str">
        <f aca="false">IF(B1587="","",IF(AND(D1587="Formalização",E1587="Concluído"),IF(COUNTIFS($B$2:$B$5001,B1587,$E$2:$E$5001,"Em ajustes",$A$2:$A$5001,"&lt;"&amp;I1587)&gt;0,1,0),0))</f>
        <v/>
      </c>
      <c r="L1587" s="16" t="str">
        <f aca="false">IF(B1587="","",IF(A1587=_xlfn.MAXIFS($A$2:$A$5001,$B$2:$B$5001,B1587,$I$2:$I$5001,I1587),1,0))</f>
        <v/>
      </c>
    </row>
    <row r="1588" customFormat="false" ht="15" hidden="false" customHeight="false" outlineLevel="0" collapsed="false">
      <c r="I1588" s="15" t="str">
        <f aca="false">IF(A1588="","",INT(A1588))</f>
        <v/>
      </c>
      <c r="J1588" s="16" t="str">
        <f aca="false">IF(B1588="","",IF(A1588=_xlfn.MINIFS($A$2:$A$5001,$B$2:$B$5001,B1588),1,0))</f>
        <v/>
      </c>
      <c r="K1588" s="16" t="str">
        <f aca="false">IF(B1588="","",IF(AND(D1588="Formalização",E1588="Concluído"),IF(COUNTIFS($B$2:$B$5001,B1588,$E$2:$E$5001,"Em ajustes",$A$2:$A$5001,"&lt;"&amp;I1588)&gt;0,1,0),0))</f>
        <v/>
      </c>
      <c r="L1588" s="16" t="str">
        <f aca="false">IF(B1588="","",IF(A1588=_xlfn.MAXIFS($A$2:$A$5001,$B$2:$B$5001,B1588,$I$2:$I$5001,I1588),1,0))</f>
        <v/>
      </c>
    </row>
    <row r="1589" customFormat="false" ht="15" hidden="false" customHeight="false" outlineLevel="0" collapsed="false">
      <c r="I1589" s="15" t="str">
        <f aca="false">IF(A1589="","",INT(A1589))</f>
        <v/>
      </c>
      <c r="J1589" s="16" t="str">
        <f aca="false">IF(B1589="","",IF(A1589=_xlfn.MINIFS($A$2:$A$5001,$B$2:$B$5001,B1589),1,0))</f>
        <v/>
      </c>
      <c r="K1589" s="16" t="str">
        <f aca="false">IF(B1589="","",IF(AND(D1589="Formalização",E1589="Concluído"),IF(COUNTIFS($B$2:$B$5001,B1589,$E$2:$E$5001,"Em ajustes",$A$2:$A$5001,"&lt;"&amp;I1589)&gt;0,1,0),0))</f>
        <v/>
      </c>
      <c r="L1589" s="16" t="str">
        <f aca="false">IF(B1589="","",IF(A1589=_xlfn.MAXIFS($A$2:$A$5001,$B$2:$B$5001,B1589,$I$2:$I$5001,I1589),1,0))</f>
        <v/>
      </c>
    </row>
    <row r="1590" customFormat="false" ht="15" hidden="false" customHeight="false" outlineLevel="0" collapsed="false">
      <c r="I1590" s="15" t="str">
        <f aca="false">IF(A1590="","",INT(A1590))</f>
        <v/>
      </c>
      <c r="J1590" s="16" t="str">
        <f aca="false">IF(B1590="","",IF(A1590=_xlfn.MINIFS($A$2:$A$5001,$B$2:$B$5001,B1590),1,0))</f>
        <v/>
      </c>
      <c r="K1590" s="16" t="str">
        <f aca="false">IF(B1590="","",IF(AND(D1590="Formalização",E1590="Concluído"),IF(COUNTIFS($B$2:$B$5001,B1590,$E$2:$E$5001,"Em ajustes",$A$2:$A$5001,"&lt;"&amp;I1590)&gt;0,1,0),0))</f>
        <v/>
      </c>
      <c r="L1590" s="16" t="str">
        <f aca="false">IF(B1590="","",IF(A1590=_xlfn.MAXIFS($A$2:$A$5001,$B$2:$B$5001,B1590,$I$2:$I$5001,I1590),1,0))</f>
        <v/>
      </c>
    </row>
    <row r="1591" customFormat="false" ht="15" hidden="false" customHeight="false" outlineLevel="0" collapsed="false">
      <c r="I1591" s="15" t="str">
        <f aca="false">IF(A1591="","",INT(A1591))</f>
        <v/>
      </c>
      <c r="J1591" s="16" t="str">
        <f aca="false">IF(B1591="","",IF(A1591=_xlfn.MINIFS($A$2:$A$5001,$B$2:$B$5001,B1591),1,0))</f>
        <v/>
      </c>
      <c r="K1591" s="16" t="str">
        <f aca="false">IF(B1591="","",IF(AND(D1591="Formalização",E1591="Concluído"),IF(COUNTIFS($B$2:$B$5001,B1591,$E$2:$E$5001,"Em ajustes",$A$2:$A$5001,"&lt;"&amp;I1591)&gt;0,1,0),0))</f>
        <v/>
      </c>
      <c r="L1591" s="16" t="str">
        <f aca="false">IF(B1591="","",IF(A1591=_xlfn.MAXIFS($A$2:$A$5001,$B$2:$B$5001,B1591,$I$2:$I$5001,I1591),1,0))</f>
        <v/>
      </c>
    </row>
    <row r="1592" customFormat="false" ht="15" hidden="false" customHeight="false" outlineLevel="0" collapsed="false">
      <c r="I1592" s="15" t="str">
        <f aca="false">IF(A1592="","",INT(A1592))</f>
        <v/>
      </c>
      <c r="J1592" s="16" t="str">
        <f aca="false">IF(B1592="","",IF(A1592=_xlfn.MINIFS($A$2:$A$5001,$B$2:$B$5001,B1592),1,0))</f>
        <v/>
      </c>
      <c r="K1592" s="16" t="str">
        <f aca="false">IF(B1592="","",IF(AND(D1592="Formalização",E1592="Concluído"),IF(COUNTIFS($B$2:$B$5001,B1592,$E$2:$E$5001,"Em ajustes",$A$2:$A$5001,"&lt;"&amp;I1592)&gt;0,1,0),0))</f>
        <v/>
      </c>
      <c r="L1592" s="16" t="str">
        <f aca="false">IF(B1592="","",IF(A1592=_xlfn.MAXIFS($A$2:$A$5001,$B$2:$B$5001,B1592,$I$2:$I$5001,I1592),1,0))</f>
        <v/>
      </c>
    </row>
    <row r="1593" customFormat="false" ht="15" hidden="false" customHeight="false" outlineLevel="0" collapsed="false">
      <c r="I1593" s="15" t="str">
        <f aca="false">IF(A1593="","",INT(A1593))</f>
        <v/>
      </c>
      <c r="J1593" s="16" t="str">
        <f aca="false">IF(B1593="","",IF(A1593=_xlfn.MINIFS($A$2:$A$5001,$B$2:$B$5001,B1593),1,0))</f>
        <v/>
      </c>
      <c r="K1593" s="16" t="str">
        <f aca="false">IF(B1593="","",IF(AND(D1593="Formalização",E1593="Concluído"),IF(COUNTIFS($B$2:$B$5001,B1593,$E$2:$E$5001,"Em ajustes",$A$2:$A$5001,"&lt;"&amp;I1593)&gt;0,1,0),0))</f>
        <v/>
      </c>
      <c r="L1593" s="16" t="str">
        <f aca="false">IF(B1593="","",IF(A1593=_xlfn.MAXIFS($A$2:$A$5001,$B$2:$B$5001,B1593,$I$2:$I$5001,I1593),1,0))</f>
        <v/>
      </c>
    </row>
    <row r="1594" customFormat="false" ht="15" hidden="false" customHeight="false" outlineLevel="0" collapsed="false">
      <c r="I1594" s="15" t="str">
        <f aca="false">IF(A1594="","",INT(A1594))</f>
        <v/>
      </c>
      <c r="J1594" s="16" t="str">
        <f aca="false">IF(B1594="","",IF(A1594=_xlfn.MINIFS($A$2:$A$5001,$B$2:$B$5001,B1594),1,0))</f>
        <v/>
      </c>
      <c r="K1594" s="16" t="str">
        <f aca="false">IF(B1594="","",IF(AND(D1594="Formalização",E1594="Concluído"),IF(COUNTIFS($B$2:$B$5001,B1594,$E$2:$E$5001,"Em ajustes",$A$2:$A$5001,"&lt;"&amp;I1594)&gt;0,1,0),0))</f>
        <v/>
      </c>
      <c r="L1594" s="16" t="str">
        <f aca="false">IF(B1594="","",IF(A1594=_xlfn.MAXIFS($A$2:$A$5001,$B$2:$B$5001,B1594,$I$2:$I$5001,I1594),1,0))</f>
        <v/>
      </c>
    </row>
    <row r="1595" customFormat="false" ht="15" hidden="false" customHeight="false" outlineLevel="0" collapsed="false">
      <c r="I1595" s="15" t="str">
        <f aca="false">IF(A1595="","",INT(A1595))</f>
        <v/>
      </c>
      <c r="J1595" s="16" t="str">
        <f aca="false">IF(B1595="","",IF(A1595=_xlfn.MINIFS($A$2:$A$5001,$B$2:$B$5001,B1595),1,0))</f>
        <v/>
      </c>
      <c r="K1595" s="16" t="str">
        <f aca="false">IF(B1595="","",IF(AND(D1595="Formalização",E1595="Concluído"),IF(COUNTIFS($B$2:$B$5001,B1595,$E$2:$E$5001,"Em ajustes",$A$2:$A$5001,"&lt;"&amp;I1595)&gt;0,1,0),0))</f>
        <v/>
      </c>
      <c r="L1595" s="16" t="str">
        <f aca="false">IF(B1595="","",IF(A1595=_xlfn.MAXIFS($A$2:$A$5001,$B$2:$B$5001,B1595,$I$2:$I$5001,I1595),1,0))</f>
        <v/>
      </c>
    </row>
    <row r="1596" customFormat="false" ht="15" hidden="false" customHeight="false" outlineLevel="0" collapsed="false">
      <c r="I1596" s="15" t="str">
        <f aca="false">IF(A1596="","",INT(A1596))</f>
        <v/>
      </c>
      <c r="J1596" s="16" t="str">
        <f aca="false">IF(B1596="","",IF(A1596=_xlfn.MINIFS($A$2:$A$5001,$B$2:$B$5001,B1596),1,0))</f>
        <v/>
      </c>
      <c r="K1596" s="16" t="str">
        <f aca="false">IF(B1596="","",IF(AND(D1596="Formalização",E1596="Concluído"),IF(COUNTIFS($B$2:$B$5001,B1596,$E$2:$E$5001,"Em ajustes",$A$2:$A$5001,"&lt;"&amp;I1596)&gt;0,1,0),0))</f>
        <v/>
      </c>
      <c r="L1596" s="16" t="str">
        <f aca="false">IF(B1596="","",IF(A1596=_xlfn.MAXIFS($A$2:$A$5001,$B$2:$B$5001,B1596,$I$2:$I$5001,I1596),1,0))</f>
        <v/>
      </c>
    </row>
    <row r="1597" customFormat="false" ht="15" hidden="false" customHeight="false" outlineLevel="0" collapsed="false">
      <c r="I1597" s="15" t="str">
        <f aca="false">IF(A1597="","",INT(A1597))</f>
        <v/>
      </c>
      <c r="J1597" s="16" t="str">
        <f aca="false">IF(B1597="","",IF(A1597=_xlfn.MINIFS($A$2:$A$5001,$B$2:$B$5001,B1597),1,0))</f>
        <v/>
      </c>
      <c r="K1597" s="16" t="str">
        <f aca="false">IF(B1597="","",IF(AND(D1597="Formalização",E1597="Concluído"),IF(COUNTIFS($B$2:$B$5001,B1597,$E$2:$E$5001,"Em ajustes",$A$2:$A$5001,"&lt;"&amp;I1597)&gt;0,1,0),0))</f>
        <v/>
      </c>
      <c r="L1597" s="16" t="str">
        <f aca="false">IF(B1597="","",IF(A1597=_xlfn.MAXIFS($A$2:$A$5001,$B$2:$B$5001,B1597,$I$2:$I$5001,I1597),1,0))</f>
        <v/>
      </c>
    </row>
    <row r="1598" customFormat="false" ht="15" hidden="false" customHeight="false" outlineLevel="0" collapsed="false">
      <c r="I1598" s="15" t="str">
        <f aca="false">IF(A1598="","",INT(A1598))</f>
        <v/>
      </c>
      <c r="J1598" s="16" t="str">
        <f aca="false">IF(B1598="","",IF(A1598=_xlfn.MINIFS($A$2:$A$5001,$B$2:$B$5001,B1598),1,0))</f>
        <v/>
      </c>
      <c r="K1598" s="16" t="str">
        <f aca="false">IF(B1598="","",IF(AND(D1598="Formalização",E1598="Concluído"),IF(COUNTIFS($B$2:$B$5001,B1598,$E$2:$E$5001,"Em ajustes",$A$2:$A$5001,"&lt;"&amp;I1598)&gt;0,1,0),0))</f>
        <v/>
      </c>
      <c r="L1598" s="16" t="str">
        <f aca="false">IF(B1598="","",IF(A1598=_xlfn.MAXIFS($A$2:$A$5001,$B$2:$B$5001,B1598,$I$2:$I$5001,I1598),1,0))</f>
        <v/>
      </c>
    </row>
    <row r="1599" customFormat="false" ht="15" hidden="false" customHeight="false" outlineLevel="0" collapsed="false">
      <c r="I1599" s="15" t="str">
        <f aca="false">IF(A1599="","",INT(A1599))</f>
        <v/>
      </c>
      <c r="J1599" s="16" t="str">
        <f aca="false">IF(B1599="","",IF(A1599=_xlfn.MINIFS($A$2:$A$5001,$B$2:$B$5001,B1599),1,0))</f>
        <v/>
      </c>
      <c r="K1599" s="16" t="str">
        <f aca="false">IF(B1599="","",IF(AND(D1599="Formalização",E1599="Concluído"),IF(COUNTIFS($B$2:$B$5001,B1599,$E$2:$E$5001,"Em ajustes",$A$2:$A$5001,"&lt;"&amp;I1599)&gt;0,1,0),0))</f>
        <v/>
      </c>
      <c r="L1599" s="16" t="str">
        <f aca="false">IF(B1599="","",IF(A1599=_xlfn.MAXIFS($A$2:$A$5001,$B$2:$B$5001,B1599,$I$2:$I$5001,I1599),1,0))</f>
        <v/>
      </c>
    </row>
    <row r="1600" customFormat="false" ht="15" hidden="false" customHeight="false" outlineLevel="0" collapsed="false">
      <c r="I1600" s="15" t="str">
        <f aca="false">IF(A1600="","",INT(A1600))</f>
        <v/>
      </c>
      <c r="J1600" s="16" t="str">
        <f aca="false">IF(B1600="","",IF(A1600=_xlfn.MINIFS($A$2:$A$5001,$B$2:$B$5001,B1600),1,0))</f>
        <v/>
      </c>
      <c r="K1600" s="16" t="str">
        <f aca="false">IF(B1600="","",IF(AND(D1600="Formalização",E1600="Concluído"),IF(COUNTIFS($B$2:$B$5001,B1600,$E$2:$E$5001,"Em ajustes",$A$2:$A$5001,"&lt;"&amp;I1600)&gt;0,1,0),0))</f>
        <v/>
      </c>
      <c r="L1600" s="16" t="str">
        <f aca="false">IF(B1600="","",IF(A1600=_xlfn.MAXIFS($A$2:$A$5001,$B$2:$B$5001,B1600,$I$2:$I$5001,I1600),1,0))</f>
        <v/>
      </c>
    </row>
    <row r="1601" customFormat="false" ht="15" hidden="false" customHeight="false" outlineLevel="0" collapsed="false">
      <c r="I1601" s="15" t="str">
        <f aca="false">IF(A1601="","",INT(A1601))</f>
        <v/>
      </c>
      <c r="J1601" s="16" t="str">
        <f aca="false">IF(B1601="","",IF(A1601=_xlfn.MINIFS($A$2:$A$5001,$B$2:$B$5001,B1601),1,0))</f>
        <v/>
      </c>
      <c r="K1601" s="16" t="str">
        <f aca="false">IF(B1601="","",IF(AND(D1601="Formalização",E1601="Concluído"),IF(COUNTIFS($B$2:$B$5001,B1601,$E$2:$E$5001,"Em ajustes",$A$2:$A$5001,"&lt;"&amp;I1601)&gt;0,1,0),0))</f>
        <v/>
      </c>
      <c r="L1601" s="16" t="str">
        <f aca="false">IF(B1601="","",IF(A1601=_xlfn.MAXIFS($A$2:$A$5001,$B$2:$B$5001,B1601,$I$2:$I$5001,I1601),1,0))</f>
        <v/>
      </c>
    </row>
    <row r="1602" customFormat="false" ht="15" hidden="false" customHeight="false" outlineLevel="0" collapsed="false">
      <c r="I1602" s="15" t="str">
        <f aca="false">IF(A1602="","",INT(A1602))</f>
        <v/>
      </c>
      <c r="J1602" s="16" t="str">
        <f aca="false">IF(B1602="","",IF(A1602=_xlfn.MINIFS($A$2:$A$5001,$B$2:$B$5001,B1602),1,0))</f>
        <v/>
      </c>
      <c r="K1602" s="16" t="str">
        <f aca="false">IF(B1602="","",IF(AND(D1602="Formalização",E1602="Concluído"),IF(COUNTIFS($B$2:$B$5001,B1602,$E$2:$E$5001,"Em ajustes",$A$2:$A$5001,"&lt;"&amp;I1602)&gt;0,1,0),0))</f>
        <v/>
      </c>
      <c r="L1602" s="16" t="str">
        <f aca="false">IF(B1602="","",IF(A1602=_xlfn.MAXIFS($A$2:$A$5001,$B$2:$B$5001,B1602,$I$2:$I$5001,I1602),1,0))</f>
        <v/>
      </c>
    </row>
    <row r="1603" customFormat="false" ht="15" hidden="false" customHeight="false" outlineLevel="0" collapsed="false">
      <c r="I1603" s="15" t="str">
        <f aca="false">IF(A1603="","",INT(A1603))</f>
        <v/>
      </c>
      <c r="J1603" s="16" t="str">
        <f aca="false">IF(B1603="","",IF(A1603=_xlfn.MINIFS($A$2:$A$5001,$B$2:$B$5001,B1603),1,0))</f>
        <v/>
      </c>
      <c r="K1603" s="16" t="str">
        <f aca="false">IF(B1603="","",IF(AND(D1603="Formalização",E1603="Concluído"),IF(COUNTIFS($B$2:$B$5001,B1603,$E$2:$E$5001,"Em ajustes",$A$2:$A$5001,"&lt;"&amp;I1603)&gt;0,1,0),0))</f>
        <v/>
      </c>
      <c r="L1603" s="16" t="str">
        <f aca="false">IF(B1603="","",IF(A1603=_xlfn.MAXIFS($A$2:$A$5001,$B$2:$B$5001,B1603,$I$2:$I$5001,I1603),1,0))</f>
        <v/>
      </c>
    </row>
    <row r="1604" customFormat="false" ht="15" hidden="false" customHeight="false" outlineLevel="0" collapsed="false">
      <c r="I1604" s="15" t="str">
        <f aca="false">IF(A1604="","",INT(A1604))</f>
        <v/>
      </c>
      <c r="J1604" s="16" t="str">
        <f aca="false">IF(B1604="","",IF(A1604=_xlfn.MINIFS($A$2:$A$5001,$B$2:$B$5001,B1604),1,0))</f>
        <v/>
      </c>
      <c r="K1604" s="16" t="str">
        <f aca="false">IF(B1604="","",IF(AND(D1604="Formalização",E1604="Concluído"),IF(COUNTIFS($B$2:$B$5001,B1604,$E$2:$E$5001,"Em ajustes",$A$2:$A$5001,"&lt;"&amp;I1604)&gt;0,1,0),0))</f>
        <v/>
      </c>
      <c r="L1604" s="16" t="str">
        <f aca="false">IF(B1604="","",IF(A1604=_xlfn.MAXIFS($A$2:$A$5001,$B$2:$B$5001,B1604,$I$2:$I$5001,I1604),1,0))</f>
        <v/>
      </c>
    </row>
    <row r="1605" customFormat="false" ht="15" hidden="false" customHeight="false" outlineLevel="0" collapsed="false">
      <c r="I1605" s="15" t="str">
        <f aca="false">IF(A1605="","",INT(A1605))</f>
        <v/>
      </c>
      <c r="J1605" s="16" t="str">
        <f aca="false">IF(B1605="","",IF(A1605=_xlfn.MINIFS($A$2:$A$5001,$B$2:$B$5001,B1605),1,0))</f>
        <v/>
      </c>
      <c r="K1605" s="16" t="str">
        <f aca="false">IF(B1605="","",IF(AND(D1605="Formalização",E1605="Concluído"),IF(COUNTIFS($B$2:$B$5001,B1605,$E$2:$E$5001,"Em ajustes",$A$2:$A$5001,"&lt;"&amp;I1605)&gt;0,1,0),0))</f>
        <v/>
      </c>
      <c r="L1605" s="16" t="str">
        <f aca="false">IF(B1605="","",IF(A1605=_xlfn.MAXIFS($A$2:$A$5001,$B$2:$B$5001,B1605,$I$2:$I$5001,I1605),1,0))</f>
        <v/>
      </c>
    </row>
    <row r="1606" customFormat="false" ht="15" hidden="false" customHeight="false" outlineLevel="0" collapsed="false">
      <c r="I1606" s="15" t="str">
        <f aca="false">IF(A1606="","",INT(A1606))</f>
        <v/>
      </c>
      <c r="J1606" s="16" t="str">
        <f aca="false">IF(B1606="","",IF(A1606=_xlfn.MINIFS($A$2:$A$5001,$B$2:$B$5001,B1606),1,0))</f>
        <v/>
      </c>
      <c r="K1606" s="16" t="str">
        <f aca="false">IF(B1606="","",IF(AND(D1606="Formalização",E1606="Concluído"),IF(COUNTIFS($B$2:$B$5001,B1606,$E$2:$E$5001,"Em ajustes",$A$2:$A$5001,"&lt;"&amp;I1606)&gt;0,1,0),0))</f>
        <v/>
      </c>
      <c r="L1606" s="16" t="str">
        <f aca="false">IF(B1606="","",IF(A1606=_xlfn.MAXIFS($A$2:$A$5001,$B$2:$B$5001,B1606,$I$2:$I$5001,I1606),1,0))</f>
        <v/>
      </c>
    </row>
    <row r="1607" customFormat="false" ht="15" hidden="false" customHeight="false" outlineLevel="0" collapsed="false">
      <c r="I1607" s="15" t="str">
        <f aca="false">IF(A1607="","",INT(A1607))</f>
        <v/>
      </c>
      <c r="J1607" s="16" t="str">
        <f aca="false">IF(B1607="","",IF(A1607=_xlfn.MINIFS($A$2:$A$5001,$B$2:$B$5001,B1607),1,0))</f>
        <v/>
      </c>
      <c r="K1607" s="16" t="str">
        <f aca="false">IF(B1607="","",IF(AND(D1607="Formalização",E1607="Concluído"),IF(COUNTIFS($B$2:$B$5001,B1607,$E$2:$E$5001,"Em ajustes",$A$2:$A$5001,"&lt;"&amp;I1607)&gt;0,1,0),0))</f>
        <v/>
      </c>
      <c r="L1607" s="16" t="str">
        <f aca="false">IF(B1607="","",IF(A1607=_xlfn.MAXIFS($A$2:$A$5001,$B$2:$B$5001,B1607,$I$2:$I$5001,I1607),1,0))</f>
        <v/>
      </c>
    </row>
    <row r="1608" customFormat="false" ht="15" hidden="false" customHeight="false" outlineLevel="0" collapsed="false">
      <c r="I1608" s="15" t="str">
        <f aca="false">IF(A1608="","",INT(A1608))</f>
        <v/>
      </c>
      <c r="J1608" s="16" t="str">
        <f aca="false">IF(B1608="","",IF(A1608=_xlfn.MINIFS($A$2:$A$5001,$B$2:$B$5001,B1608),1,0))</f>
        <v/>
      </c>
      <c r="K1608" s="16" t="str">
        <f aca="false">IF(B1608="","",IF(AND(D1608="Formalização",E1608="Concluído"),IF(COUNTIFS($B$2:$B$5001,B1608,$E$2:$E$5001,"Em ajustes",$A$2:$A$5001,"&lt;"&amp;I1608)&gt;0,1,0),0))</f>
        <v/>
      </c>
      <c r="L1608" s="16" t="str">
        <f aca="false">IF(B1608="","",IF(A1608=_xlfn.MAXIFS($A$2:$A$5001,$B$2:$B$5001,B1608,$I$2:$I$5001,I1608),1,0))</f>
        <v/>
      </c>
    </row>
    <row r="1609" customFormat="false" ht="15" hidden="false" customHeight="false" outlineLevel="0" collapsed="false">
      <c r="I1609" s="15" t="str">
        <f aca="false">IF(A1609="","",INT(A1609))</f>
        <v/>
      </c>
      <c r="J1609" s="16" t="str">
        <f aca="false">IF(B1609="","",IF(A1609=_xlfn.MINIFS($A$2:$A$5001,$B$2:$B$5001,B1609),1,0))</f>
        <v/>
      </c>
      <c r="K1609" s="16" t="str">
        <f aca="false">IF(B1609="","",IF(AND(D1609="Formalização",E1609="Concluído"),IF(COUNTIFS($B$2:$B$5001,B1609,$E$2:$E$5001,"Em ajustes",$A$2:$A$5001,"&lt;"&amp;I1609)&gt;0,1,0),0))</f>
        <v/>
      </c>
      <c r="L1609" s="16" t="str">
        <f aca="false">IF(B1609="","",IF(A1609=_xlfn.MAXIFS($A$2:$A$5001,$B$2:$B$5001,B1609,$I$2:$I$5001,I1609),1,0))</f>
        <v/>
      </c>
    </row>
    <row r="1610" customFormat="false" ht="15" hidden="false" customHeight="false" outlineLevel="0" collapsed="false">
      <c r="I1610" s="15" t="str">
        <f aca="false">IF(A1610="","",INT(A1610))</f>
        <v/>
      </c>
      <c r="J1610" s="16" t="str">
        <f aca="false">IF(B1610="","",IF(A1610=_xlfn.MINIFS($A$2:$A$5001,$B$2:$B$5001,B1610),1,0))</f>
        <v/>
      </c>
      <c r="K1610" s="16" t="str">
        <f aca="false">IF(B1610="","",IF(AND(D1610="Formalização",E1610="Concluído"),IF(COUNTIFS($B$2:$B$5001,B1610,$E$2:$E$5001,"Em ajustes",$A$2:$A$5001,"&lt;"&amp;I1610)&gt;0,1,0),0))</f>
        <v/>
      </c>
      <c r="L1610" s="16" t="str">
        <f aca="false">IF(B1610="","",IF(A1610=_xlfn.MAXIFS($A$2:$A$5001,$B$2:$B$5001,B1610,$I$2:$I$5001,I1610),1,0))</f>
        <v/>
      </c>
    </row>
    <row r="1611" customFormat="false" ht="15" hidden="false" customHeight="false" outlineLevel="0" collapsed="false">
      <c r="I1611" s="15" t="str">
        <f aca="false">IF(A1611="","",INT(A1611))</f>
        <v/>
      </c>
      <c r="J1611" s="16" t="str">
        <f aca="false">IF(B1611="","",IF(A1611=_xlfn.MINIFS($A$2:$A$5001,$B$2:$B$5001,B1611),1,0))</f>
        <v/>
      </c>
      <c r="K1611" s="16" t="str">
        <f aca="false">IF(B1611="","",IF(AND(D1611="Formalização",E1611="Concluído"),IF(COUNTIFS($B$2:$B$5001,B1611,$E$2:$E$5001,"Em ajustes",$A$2:$A$5001,"&lt;"&amp;I1611)&gt;0,1,0),0))</f>
        <v/>
      </c>
      <c r="L1611" s="16" t="str">
        <f aca="false">IF(B1611="","",IF(A1611=_xlfn.MAXIFS($A$2:$A$5001,$B$2:$B$5001,B1611,$I$2:$I$5001,I1611),1,0))</f>
        <v/>
      </c>
    </row>
    <row r="1612" customFormat="false" ht="15" hidden="false" customHeight="false" outlineLevel="0" collapsed="false">
      <c r="I1612" s="15" t="str">
        <f aca="false">IF(A1612="","",INT(A1612))</f>
        <v/>
      </c>
      <c r="J1612" s="16" t="str">
        <f aca="false">IF(B1612="","",IF(A1612=_xlfn.MINIFS($A$2:$A$5001,$B$2:$B$5001,B1612),1,0))</f>
        <v/>
      </c>
      <c r="K1612" s="16" t="str">
        <f aca="false">IF(B1612="","",IF(AND(D1612="Formalização",E1612="Concluído"),IF(COUNTIFS($B$2:$B$5001,B1612,$E$2:$E$5001,"Em ajustes",$A$2:$A$5001,"&lt;"&amp;I1612)&gt;0,1,0),0))</f>
        <v/>
      </c>
      <c r="L1612" s="16" t="str">
        <f aca="false">IF(B1612="","",IF(A1612=_xlfn.MAXIFS($A$2:$A$5001,$B$2:$B$5001,B1612,$I$2:$I$5001,I1612),1,0))</f>
        <v/>
      </c>
    </row>
    <row r="1613" customFormat="false" ht="15" hidden="false" customHeight="false" outlineLevel="0" collapsed="false">
      <c r="I1613" s="15" t="str">
        <f aca="false">IF(A1613="","",INT(A1613))</f>
        <v/>
      </c>
      <c r="J1613" s="16" t="str">
        <f aca="false">IF(B1613="","",IF(A1613=_xlfn.MINIFS($A$2:$A$5001,$B$2:$B$5001,B1613),1,0))</f>
        <v/>
      </c>
      <c r="K1613" s="16" t="str">
        <f aca="false">IF(B1613="","",IF(AND(D1613="Formalização",E1613="Concluído"),IF(COUNTIFS($B$2:$B$5001,B1613,$E$2:$E$5001,"Em ajustes",$A$2:$A$5001,"&lt;"&amp;I1613)&gt;0,1,0),0))</f>
        <v/>
      </c>
      <c r="L1613" s="16" t="str">
        <f aca="false">IF(B1613="","",IF(A1613=_xlfn.MAXIFS($A$2:$A$5001,$B$2:$B$5001,B1613,$I$2:$I$5001,I1613),1,0))</f>
        <v/>
      </c>
    </row>
    <row r="1614" customFormat="false" ht="15" hidden="false" customHeight="false" outlineLevel="0" collapsed="false">
      <c r="I1614" s="15" t="str">
        <f aca="false">IF(A1614="","",INT(A1614))</f>
        <v/>
      </c>
      <c r="J1614" s="16" t="str">
        <f aca="false">IF(B1614="","",IF(A1614=_xlfn.MINIFS($A$2:$A$5001,$B$2:$B$5001,B1614),1,0))</f>
        <v/>
      </c>
      <c r="K1614" s="16" t="str">
        <f aca="false">IF(B1614="","",IF(AND(D1614="Formalização",E1614="Concluído"),IF(COUNTIFS($B$2:$B$5001,B1614,$E$2:$E$5001,"Em ajustes",$A$2:$A$5001,"&lt;"&amp;I1614)&gt;0,1,0),0))</f>
        <v/>
      </c>
      <c r="L1614" s="16" t="str">
        <f aca="false">IF(B1614="","",IF(A1614=_xlfn.MAXIFS($A$2:$A$5001,$B$2:$B$5001,B1614,$I$2:$I$5001,I1614),1,0))</f>
        <v/>
      </c>
    </row>
    <row r="1615" customFormat="false" ht="15" hidden="false" customHeight="false" outlineLevel="0" collapsed="false">
      <c r="I1615" s="15" t="str">
        <f aca="false">IF(A1615="","",INT(A1615))</f>
        <v/>
      </c>
      <c r="J1615" s="16" t="str">
        <f aca="false">IF(B1615="","",IF(A1615=_xlfn.MINIFS($A$2:$A$5001,$B$2:$B$5001,B1615),1,0))</f>
        <v/>
      </c>
      <c r="K1615" s="16" t="str">
        <f aca="false">IF(B1615="","",IF(AND(D1615="Formalização",E1615="Concluído"),IF(COUNTIFS($B$2:$B$5001,B1615,$E$2:$E$5001,"Em ajustes",$A$2:$A$5001,"&lt;"&amp;I1615)&gt;0,1,0),0))</f>
        <v/>
      </c>
      <c r="L1615" s="16" t="str">
        <f aca="false">IF(B1615="","",IF(A1615=_xlfn.MAXIFS($A$2:$A$5001,$B$2:$B$5001,B1615,$I$2:$I$5001,I1615),1,0))</f>
        <v/>
      </c>
    </row>
    <row r="1616" customFormat="false" ht="15" hidden="false" customHeight="false" outlineLevel="0" collapsed="false">
      <c r="I1616" s="15" t="str">
        <f aca="false">IF(A1616="","",INT(A1616))</f>
        <v/>
      </c>
      <c r="J1616" s="16" t="str">
        <f aca="false">IF(B1616="","",IF(A1616=_xlfn.MINIFS($A$2:$A$5001,$B$2:$B$5001,B1616),1,0))</f>
        <v/>
      </c>
      <c r="K1616" s="16" t="str">
        <f aca="false">IF(B1616="","",IF(AND(D1616="Formalização",E1616="Concluído"),IF(COUNTIFS($B$2:$B$5001,B1616,$E$2:$E$5001,"Em ajustes",$A$2:$A$5001,"&lt;"&amp;I1616)&gt;0,1,0),0))</f>
        <v/>
      </c>
      <c r="L1616" s="16" t="str">
        <f aca="false">IF(B1616="","",IF(A1616=_xlfn.MAXIFS($A$2:$A$5001,$B$2:$B$5001,B1616,$I$2:$I$5001,I1616),1,0))</f>
        <v/>
      </c>
    </row>
    <row r="1617" customFormat="false" ht="15" hidden="false" customHeight="false" outlineLevel="0" collapsed="false">
      <c r="I1617" s="15" t="str">
        <f aca="false">IF(A1617="","",INT(A1617))</f>
        <v/>
      </c>
      <c r="J1617" s="16" t="str">
        <f aca="false">IF(B1617="","",IF(A1617=_xlfn.MINIFS($A$2:$A$5001,$B$2:$B$5001,B1617),1,0))</f>
        <v/>
      </c>
      <c r="K1617" s="16" t="str">
        <f aca="false">IF(B1617="","",IF(AND(D1617="Formalização",E1617="Concluído"),IF(COUNTIFS($B$2:$B$5001,B1617,$E$2:$E$5001,"Em ajustes",$A$2:$A$5001,"&lt;"&amp;I1617)&gt;0,1,0),0))</f>
        <v/>
      </c>
      <c r="L1617" s="16" t="str">
        <f aca="false">IF(B1617="","",IF(A1617=_xlfn.MAXIFS($A$2:$A$5001,$B$2:$B$5001,B1617,$I$2:$I$5001,I1617),1,0))</f>
        <v/>
      </c>
    </row>
    <row r="1618" customFormat="false" ht="15" hidden="false" customHeight="false" outlineLevel="0" collapsed="false">
      <c r="I1618" s="15" t="str">
        <f aca="false">IF(A1618="","",INT(A1618))</f>
        <v/>
      </c>
      <c r="J1618" s="16" t="str">
        <f aca="false">IF(B1618="","",IF(A1618=_xlfn.MINIFS($A$2:$A$5001,$B$2:$B$5001,B1618),1,0))</f>
        <v/>
      </c>
      <c r="K1618" s="16" t="str">
        <f aca="false">IF(B1618="","",IF(AND(D1618="Formalização",E1618="Concluído"),IF(COUNTIFS($B$2:$B$5001,B1618,$E$2:$E$5001,"Em ajustes",$A$2:$A$5001,"&lt;"&amp;I1618)&gt;0,1,0),0))</f>
        <v/>
      </c>
      <c r="L1618" s="16" t="str">
        <f aca="false">IF(B1618="","",IF(A1618=_xlfn.MAXIFS($A$2:$A$5001,$B$2:$B$5001,B1618,$I$2:$I$5001,I1618),1,0))</f>
        <v/>
      </c>
    </row>
    <row r="1619" customFormat="false" ht="15" hidden="false" customHeight="false" outlineLevel="0" collapsed="false">
      <c r="I1619" s="15" t="str">
        <f aca="false">IF(A1619="","",INT(A1619))</f>
        <v/>
      </c>
      <c r="J1619" s="16" t="str">
        <f aca="false">IF(B1619="","",IF(A1619=_xlfn.MINIFS($A$2:$A$5001,$B$2:$B$5001,B1619),1,0))</f>
        <v/>
      </c>
      <c r="K1619" s="16" t="str">
        <f aca="false">IF(B1619="","",IF(AND(D1619="Formalização",E1619="Concluído"),IF(COUNTIFS($B$2:$B$5001,B1619,$E$2:$E$5001,"Em ajustes",$A$2:$A$5001,"&lt;"&amp;I1619)&gt;0,1,0),0))</f>
        <v/>
      </c>
      <c r="L1619" s="16" t="str">
        <f aca="false">IF(B1619="","",IF(A1619=_xlfn.MAXIFS($A$2:$A$5001,$B$2:$B$5001,B1619,$I$2:$I$5001,I1619),1,0))</f>
        <v/>
      </c>
    </row>
    <row r="1620" customFormat="false" ht="15" hidden="false" customHeight="false" outlineLevel="0" collapsed="false">
      <c r="I1620" s="15" t="str">
        <f aca="false">IF(A1620="","",INT(A1620))</f>
        <v/>
      </c>
      <c r="J1620" s="16" t="str">
        <f aca="false">IF(B1620="","",IF(A1620=_xlfn.MINIFS($A$2:$A$5001,$B$2:$B$5001,B1620),1,0))</f>
        <v/>
      </c>
      <c r="K1620" s="16" t="str">
        <f aca="false">IF(B1620="","",IF(AND(D1620="Formalização",E1620="Concluído"),IF(COUNTIFS($B$2:$B$5001,B1620,$E$2:$E$5001,"Em ajustes",$A$2:$A$5001,"&lt;"&amp;I1620)&gt;0,1,0),0))</f>
        <v/>
      </c>
      <c r="L1620" s="16" t="str">
        <f aca="false">IF(B1620="","",IF(A1620=_xlfn.MAXIFS($A$2:$A$5001,$B$2:$B$5001,B1620,$I$2:$I$5001,I1620),1,0))</f>
        <v/>
      </c>
    </row>
    <row r="1621" customFormat="false" ht="15" hidden="false" customHeight="false" outlineLevel="0" collapsed="false">
      <c r="I1621" s="15" t="str">
        <f aca="false">IF(A1621="","",INT(A1621))</f>
        <v/>
      </c>
      <c r="J1621" s="16" t="str">
        <f aca="false">IF(B1621="","",IF(A1621=_xlfn.MINIFS($A$2:$A$5001,$B$2:$B$5001,B1621),1,0))</f>
        <v/>
      </c>
      <c r="K1621" s="16" t="str">
        <f aca="false">IF(B1621="","",IF(AND(D1621="Formalização",E1621="Concluído"),IF(COUNTIFS($B$2:$B$5001,B1621,$E$2:$E$5001,"Em ajustes",$A$2:$A$5001,"&lt;"&amp;I1621)&gt;0,1,0),0))</f>
        <v/>
      </c>
      <c r="L1621" s="16" t="str">
        <f aca="false">IF(B1621="","",IF(A1621=_xlfn.MAXIFS($A$2:$A$5001,$B$2:$B$5001,B1621,$I$2:$I$5001,I1621),1,0))</f>
        <v/>
      </c>
    </row>
    <row r="1622" customFormat="false" ht="15" hidden="false" customHeight="false" outlineLevel="0" collapsed="false">
      <c r="I1622" s="15" t="str">
        <f aca="false">IF(A1622="","",INT(A1622))</f>
        <v/>
      </c>
      <c r="J1622" s="16" t="str">
        <f aca="false">IF(B1622="","",IF(A1622=_xlfn.MINIFS($A$2:$A$5001,$B$2:$B$5001,B1622),1,0))</f>
        <v/>
      </c>
      <c r="K1622" s="16" t="str">
        <f aca="false">IF(B1622="","",IF(AND(D1622="Formalização",E1622="Concluído"),IF(COUNTIFS($B$2:$B$5001,B1622,$E$2:$E$5001,"Em ajustes",$A$2:$A$5001,"&lt;"&amp;I1622)&gt;0,1,0),0))</f>
        <v/>
      </c>
      <c r="L1622" s="16" t="str">
        <f aca="false">IF(B1622="","",IF(A1622=_xlfn.MAXIFS($A$2:$A$5001,$B$2:$B$5001,B1622,$I$2:$I$5001,I1622),1,0))</f>
        <v/>
      </c>
    </row>
    <row r="1623" customFormat="false" ht="15" hidden="false" customHeight="false" outlineLevel="0" collapsed="false">
      <c r="I1623" s="15" t="str">
        <f aca="false">IF(A1623="","",INT(A1623))</f>
        <v/>
      </c>
      <c r="J1623" s="16" t="str">
        <f aca="false">IF(B1623="","",IF(A1623=_xlfn.MINIFS($A$2:$A$5001,$B$2:$B$5001,B1623),1,0))</f>
        <v/>
      </c>
      <c r="K1623" s="16" t="str">
        <f aca="false">IF(B1623="","",IF(AND(D1623="Formalização",E1623="Concluído"),IF(COUNTIFS($B$2:$B$5001,B1623,$E$2:$E$5001,"Em ajustes",$A$2:$A$5001,"&lt;"&amp;I1623)&gt;0,1,0),0))</f>
        <v/>
      </c>
      <c r="L1623" s="16" t="str">
        <f aca="false">IF(B1623="","",IF(A1623=_xlfn.MAXIFS($A$2:$A$5001,$B$2:$B$5001,B1623,$I$2:$I$5001,I1623),1,0))</f>
        <v/>
      </c>
    </row>
    <row r="1624" customFormat="false" ht="15" hidden="false" customHeight="false" outlineLevel="0" collapsed="false">
      <c r="I1624" s="15" t="str">
        <f aca="false">IF(A1624="","",INT(A1624))</f>
        <v/>
      </c>
      <c r="J1624" s="16" t="str">
        <f aca="false">IF(B1624="","",IF(A1624=_xlfn.MINIFS($A$2:$A$5001,$B$2:$B$5001,B1624),1,0))</f>
        <v/>
      </c>
      <c r="K1624" s="16" t="str">
        <f aca="false">IF(B1624="","",IF(AND(D1624="Formalização",E1624="Concluído"),IF(COUNTIFS($B$2:$B$5001,B1624,$E$2:$E$5001,"Em ajustes",$A$2:$A$5001,"&lt;"&amp;I1624)&gt;0,1,0),0))</f>
        <v/>
      </c>
      <c r="L1624" s="16" t="str">
        <f aca="false">IF(B1624="","",IF(A1624=_xlfn.MAXIFS($A$2:$A$5001,$B$2:$B$5001,B1624,$I$2:$I$5001,I1624),1,0))</f>
        <v/>
      </c>
    </row>
    <row r="1625" customFormat="false" ht="15" hidden="false" customHeight="false" outlineLevel="0" collapsed="false">
      <c r="I1625" s="15" t="str">
        <f aca="false">IF(A1625="","",INT(A1625))</f>
        <v/>
      </c>
      <c r="J1625" s="16" t="str">
        <f aca="false">IF(B1625="","",IF(A1625=_xlfn.MINIFS($A$2:$A$5001,$B$2:$B$5001,B1625),1,0))</f>
        <v/>
      </c>
      <c r="K1625" s="16" t="str">
        <f aca="false">IF(B1625="","",IF(AND(D1625="Formalização",E1625="Concluído"),IF(COUNTIFS($B$2:$B$5001,B1625,$E$2:$E$5001,"Em ajustes",$A$2:$A$5001,"&lt;"&amp;I1625)&gt;0,1,0),0))</f>
        <v/>
      </c>
      <c r="L1625" s="16" t="str">
        <f aca="false">IF(B1625="","",IF(A1625=_xlfn.MAXIFS($A$2:$A$5001,$B$2:$B$5001,B1625,$I$2:$I$5001,I1625),1,0))</f>
        <v/>
      </c>
    </row>
    <row r="1626" customFormat="false" ht="15" hidden="false" customHeight="false" outlineLevel="0" collapsed="false">
      <c r="I1626" s="15" t="str">
        <f aca="false">IF(A1626="","",INT(A1626))</f>
        <v/>
      </c>
      <c r="J1626" s="16" t="str">
        <f aca="false">IF(B1626="","",IF(A1626=_xlfn.MINIFS($A$2:$A$5001,$B$2:$B$5001,B1626),1,0))</f>
        <v/>
      </c>
      <c r="K1626" s="16" t="str">
        <f aca="false">IF(B1626="","",IF(AND(D1626="Formalização",E1626="Concluído"),IF(COUNTIFS($B$2:$B$5001,B1626,$E$2:$E$5001,"Em ajustes",$A$2:$A$5001,"&lt;"&amp;I1626)&gt;0,1,0),0))</f>
        <v/>
      </c>
      <c r="L1626" s="16" t="str">
        <f aca="false">IF(B1626="","",IF(A1626=_xlfn.MAXIFS($A$2:$A$5001,$B$2:$B$5001,B1626,$I$2:$I$5001,I1626),1,0))</f>
        <v/>
      </c>
    </row>
    <row r="1627" customFormat="false" ht="15" hidden="false" customHeight="false" outlineLevel="0" collapsed="false">
      <c r="I1627" s="15" t="str">
        <f aca="false">IF(A1627="","",INT(A1627))</f>
        <v/>
      </c>
      <c r="J1627" s="16" t="str">
        <f aca="false">IF(B1627="","",IF(A1627=_xlfn.MINIFS($A$2:$A$5001,$B$2:$B$5001,B1627),1,0))</f>
        <v/>
      </c>
      <c r="K1627" s="16" t="str">
        <f aca="false">IF(B1627="","",IF(AND(D1627="Formalização",E1627="Concluído"),IF(COUNTIFS($B$2:$B$5001,B1627,$E$2:$E$5001,"Em ajustes",$A$2:$A$5001,"&lt;"&amp;I1627)&gt;0,1,0),0))</f>
        <v/>
      </c>
      <c r="L1627" s="16" t="str">
        <f aca="false">IF(B1627="","",IF(A1627=_xlfn.MAXIFS($A$2:$A$5001,$B$2:$B$5001,B1627,$I$2:$I$5001,I1627),1,0))</f>
        <v/>
      </c>
    </row>
    <row r="1628" customFormat="false" ht="15" hidden="false" customHeight="false" outlineLevel="0" collapsed="false">
      <c r="I1628" s="15" t="str">
        <f aca="false">IF(A1628="","",INT(A1628))</f>
        <v/>
      </c>
      <c r="J1628" s="16" t="str">
        <f aca="false">IF(B1628="","",IF(A1628=_xlfn.MINIFS($A$2:$A$5001,$B$2:$B$5001,B1628),1,0))</f>
        <v/>
      </c>
      <c r="K1628" s="16" t="str">
        <f aca="false">IF(B1628="","",IF(AND(D1628="Formalização",E1628="Concluído"),IF(COUNTIFS($B$2:$B$5001,B1628,$E$2:$E$5001,"Em ajustes",$A$2:$A$5001,"&lt;"&amp;I1628)&gt;0,1,0),0))</f>
        <v/>
      </c>
      <c r="L1628" s="16" t="str">
        <f aca="false">IF(B1628="","",IF(A1628=_xlfn.MAXIFS($A$2:$A$5001,$B$2:$B$5001,B1628,$I$2:$I$5001,I1628),1,0))</f>
        <v/>
      </c>
    </row>
    <row r="1629" customFormat="false" ht="15" hidden="false" customHeight="false" outlineLevel="0" collapsed="false">
      <c r="I1629" s="15" t="str">
        <f aca="false">IF(A1629="","",INT(A1629))</f>
        <v/>
      </c>
      <c r="J1629" s="16" t="str">
        <f aca="false">IF(B1629="","",IF(A1629=_xlfn.MINIFS($A$2:$A$5001,$B$2:$B$5001,B1629),1,0))</f>
        <v/>
      </c>
      <c r="K1629" s="16" t="str">
        <f aca="false">IF(B1629="","",IF(AND(D1629="Formalização",E1629="Concluído"),IF(COUNTIFS($B$2:$B$5001,B1629,$E$2:$E$5001,"Em ajustes",$A$2:$A$5001,"&lt;"&amp;I1629)&gt;0,1,0),0))</f>
        <v/>
      </c>
      <c r="L1629" s="16" t="str">
        <f aca="false">IF(B1629="","",IF(A1629=_xlfn.MAXIFS($A$2:$A$5001,$B$2:$B$5001,B1629,$I$2:$I$5001,I1629),1,0))</f>
        <v/>
      </c>
    </row>
    <row r="1630" customFormat="false" ht="15" hidden="false" customHeight="false" outlineLevel="0" collapsed="false">
      <c r="I1630" s="15" t="str">
        <f aca="false">IF(A1630="","",INT(A1630))</f>
        <v/>
      </c>
      <c r="J1630" s="16" t="str">
        <f aca="false">IF(B1630="","",IF(A1630=_xlfn.MINIFS($A$2:$A$5001,$B$2:$B$5001,B1630),1,0))</f>
        <v/>
      </c>
      <c r="K1630" s="16" t="str">
        <f aca="false">IF(B1630="","",IF(AND(D1630="Formalização",E1630="Concluído"),IF(COUNTIFS($B$2:$B$5001,B1630,$E$2:$E$5001,"Em ajustes",$A$2:$A$5001,"&lt;"&amp;I1630)&gt;0,1,0),0))</f>
        <v/>
      </c>
      <c r="L1630" s="16" t="str">
        <f aca="false">IF(B1630="","",IF(A1630=_xlfn.MAXIFS($A$2:$A$5001,$B$2:$B$5001,B1630,$I$2:$I$5001,I1630),1,0))</f>
        <v/>
      </c>
    </row>
    <row r="1631" customFormat="false" ht="15" hidden="false" customHeight="false" outlineLevel="0" collapsed="false">
      <c r="I1631" s="15" t="str">
        <f aca="false">IF(A1631="","",INT(A1631))</f>
        <v/>
      </c>
      <c r="J1631" s="16" t="str">
        <f aca="false">IF(B1631="","",IF(A1631=_xlfn.MINIFS($A$2:$A$5001,$B$2:$B$5001,B1631),1,0))</f>
        <v/>
      </c>
      <c r="K1631" s="16" t="str">
        <f aca="false">IF(B1631="","",IF(AND(D1631="Formalização",E1631="Concluído"),IF(COUNTIFS($B$2:$B$5001,B1631,$E$2:$E$5001,"Em ajustes",$A$2:$A$5001,"&lt;"&amp;I1631)&gt;0,1,0),0))</f>
        <v/>
      </c>
      <c r="L1631" s="16" t="str">
        <f aca="false">IF(B1631="","",IF(A1631=_xlfn.MAXIFS($A$2:$A$5001,$B$2:$B$5001,B1631,$I$2:$I$5001,I1631),1,0))</f>
        <v/>
      </c>
    </row>
    <row r="1632" customFormat="false" ht="15" hidden="false" customHeight="false" outlineLevel="0" collapsed="false">
      <c r="I1632" s="15" t="str">
        <f aca="false">IF(A1632="","",INT(A1632))</f>
        <v/>
      </c>
      <c r="J1632" s="16" t="str">
        <f aca="false">IF(B1632="","",IF(A1632=_xlfn.MINIFS($A$2:$A$5001,$B$2:$B$5001,B1632),1,0))</f>
        <v/>
      </c>
      <c r="K1632" s="16" t="str">
        <f aca="false">IF(B1632="","",IF(AND(D1632="Formalização",E1632="Concluído"),IF(COUNTIFS($B$2:$B$5001,B1632,$E$2:$E$5001,"Em ajustes",$A$2:$A$5001,"&lt;"&amp;I1632)&gt;0,1,0),0))</f>
        <v/>
      </c>
      <c r="L1632" s="16" t="str">
        <f aca="false">IF(B1632="","",IF(A1632=_xlfn.MAXIFS($A$2:$A$5001,$B$2:$B$5001,B1632,$I$2:$I$5001,I1632),1,0))</f>
        <v/>
      </c>
    </row>
    <row r="1633" customFormat="false" ht="15" hidden="false" customHeight="false" outlineLevel="0" collapsed="false">
      <c r="I1633" s="15" t="str">
        <f aca="false">IF(A1633="","",INT(A1633))</f>
        <v/>
      </c>
      <c r="J1633" s="16" t="str">
        <f aca="false">IF(B1633="","",IF(A1633=_xlfn.MINIFS($A$2:$A$5001,$B$2:$B$5001,B1633),1,0))</f>
        <v/>
      </c>
      <c r="K1633" s="16" t="str">
        <f aca="false">IF(B1633="","",IF(AND(D1633="Formalização",E1633="Concluído"),IF(COUNTIFS($B$2:$B$5001,B1633,$E$2:$E$5001,"Em ajustes",$A$2:$A$5001,"&lt;"&amp;I1633)&gt;0,1,0),0))</f>
        <v/>
      </c>
      <c r="L1633" s="16" t="str">
        <f aca="false">IF(B1633="","",IF(A1633=_xlfn.MAXIFS($A$2:$A$5001,$B$2:$B$5001,B1633,$I$2:$I$5001,I1633),1,0))</f>
        <v/>
      </c>
    </row>
    <row r="1634" customFormat="false" ht="15" hidden="false" customHeight="false" outlineLevel="0" collapsed="false">
      <c r="I1634" s="15" t="str">
        <f aca="false">IF(A1634="","",INT(A1634))</f>
        <v/>
      </c>
      <c r="J1634" s="16" t="str">
        <f aca="false">IF(B1634="","",IF(A1634=_xlfn.MINIFS($A$2:$A$5001,$B$2:$B$5001,B1634),1,0))</f>
        <v/>
      </c>
      <c r="K1634" s="16" t="str">
        <f aca="false">IF(B1634="","",IF(AND(D1634="Formalização",E1634="Concluído"),IF(COUNTIFS($B$2:$B$5001,B1634,$E$2:$E$5001,"Em ajustes",$A$2:$A$5001,"&lt;"&amp;I1634)&gt;0,1,0),0))</f>
        <v/>
      </c>
      <c r="L1634" s="16" t="str">
        <f aca="false">IF(B1634="","",IF(A1634=_xlfn.MAXIFS($A$2:$A$5001,$B$2:$B$5001,B1634,$I$2:$I$5001,I1634),1,0))</f>
        <v/>
      </c>
    </row>
    <row r="1635" customFormat="false" ht="15" hidden="false" customHeight="false" outlineLevel="0" collapsed="false">
      <c r="I1635" s="15" t="str">
        <f aca="false">IF(A1635="","",INT(A1635))</f>
        <v/>
      </c>
      <c r="J1635" s="16" t="str">
        <f aca="false">IF(B1635="","",IF(A1635=_xlfn.MINIFS($A$2:$A$5001,$B$2:$B$5001,B1635),1,0))</f>
        <v/>
      </c>
      <c r="K1635" s="16" t="str">
        <f aca="false">IF(B1635="","",IF(AND(D1635="Formalização",E1635="Concluído"),IF(COUNTIFS($B$2:$B$5001,B1635,$E$2:$E$5001,"Em ajustes",$A$2:$A$5001,"&lt;"&amp;I1635)&gt;0,1,0),0))</f>
        <v/>
      </c>
      <c r="L1635" s="16" t="str">
        <f aca="false">IF(B1635="","",IF(A1635=_xlfn.MAXIFS($A$2:$A$5001,$B$2:$B$5001,B1635,$I$2:$I$5001,I1635),1,0))</f>
        <v/>
      </c>
    </row>
    <row r="1636" customFormat="false" ht="15" hidden="false" customHeight="false" outlineLevel="0" collapsed="false">
      <c r="I1636" s="15" t="str">
        <f aca="false">IF(A1636="","",INT(A1636))</f>
        <v/>
      </c>
      <c r="J1636" s="16" t="str">
        <f aca="false">IF(B1636="","",IF(A1636=_xlfn.MINIFS($A$2:$A$5001,$B$2:$B$5001,B1636),1,0))</f>
        <v/>
      </c>
      <c r="K1636" s="16" t="str">
        <f aca="false">IF(B1636="","",IF(AND(D1636="Formalização",E1636="Concluído"),IF(COUNTIFS($B$2:$B$5001,B1636,$E$2:$E$5001,"Em ajustes",$A$2:$A$5001,"&lt;"&amp;I1636)&gt;0,1,0),0))</f>
        <v/>
      </c>
      <c r="L1636" s="16" t="str">
        <f aca="false">IF(B1636="","",IF(A1636=_xlfn.MAXIFS($A$2:$A$5001,$B$2:$B$5001,B1636,$I$2:$I$5001,I1636),1,0))</f>
        <v/>
      </c>
    </row>
    <row r="1637" customFormat="false" ht="15" hidden="false" customHeight="false" outlineLevel="0" collapsed="false">
      <c r="I1637" s="15" t="str">
        <f aca="false">IF(A1637="","",INT(A1637))</f>
        <v/>
      </c>
      <c r="J1637" s="16" t="str">
        <f aca="false">IF(B1637="","",IF(A1637=_xlfn.MINIFS($A$2:$A$5001,$B$2:$B$5001,B1637),1,0))</f>
        <v/>
      </c>
      <c r="K1637" s="16" t="str">
        <f aca="false">IF(B1637="","",IF(AND(D1637="Formalização",E1637="Concluído"),IF(COUNTIFS($B$2:$B$5001,B1637,$E$2:$E$5001,"Em ajustes",$A$2:$A$5001,"&lt;"&amp;I1637)&gt;0,1,0),0))</f>
        <v/>
      </c>
      <c r="L1637" s="16" t="str">
        <f aca="false">IF(B1637="","",IF(A1637=_xlfn.MAXIFS($A$2:$A$5001,$B$2:$B$5001,B1637,$I$2:$I$5001,I1637),1,0))</f>
        <v/>
      </c>
    </row>
    <row r="1638" customFormat="false" ht="15" hidden="false" customHeight="false" outlineLevel="0" collapsed="false">
      <c r="I1638" s="15" t="str">
        <f aca="false">IF(A1638="","",INT(A1638))</f>
        <v/>
      </c>
      <c r="J1638" s="16" t="str">
        <f aca="false">IF(B1638="","",IF(A1638=_xlfn.MINIFS($A$2:$A$5001,$B$2:$B$5001,B1638),1,0))</f>
        <v/>
      </c>
      <c r="K1638" s="16" t="str">
        <f aca="false">IF(B1638="","",IF(AND(D1638="Formalização",E1638="Concluído"),IF(COUNTIFS($B$2:$B$5001,B1638,$E$2:$E$5001,"Em ajustes",$A$2:$A$5001,"&lt;"&amp;I1638)&gt;0,1,0),0))</f>
        <v/>
      </c>
      <c r="L1638" s="16" t="str">
        <f aca="false">IF(B1638="","",IF(A1638=_xlfn.MAXIFS($A$2:$A$5001,$B$2:$B$5001,B1638,$I$2:$I$5001,I1638),1,0))</f>
        <v/>
      </c>
    </row>
    <row r="1639" customFormat="false" ht="15" hidden="false" customHeight="false" outlineLevel="0" collapsed="false">
      <c r="I1639" s="15" t="str">
        <f aca="false">IF(A1639="","",INT(A1639))</f>
        <v/>
      </c>
      <c r="J1639" s="16" t="str">
        <f aca="false">IF(B1639="","",IF(A1639=_xlfn.MINIFS($A$2:$A$5001,$B$2:$B$5001,B1639),1,0))</f>
        <v/>
      </c>
      <c r="K1639" s="16" t="str">
        <f aca="false">IF(B1639="","",IF(AND(D1639="Formalização",E1639="Concluído"),IF(COUNTIFS($B$2:$B$5001,B1639,$E$2:$E$5001,"Em ajustes",$A$2:$A$5001,"&lt;"&amp;I1639)&gt;0,1,0),0))</f>
        <v/>
      </c>
      <c r="L1639" s="16" t="str">
        <f aca="false">IF(B1639="","",IF(A1639=_xlfn.MAXIFS($A$2:$A$5001,$B$2:$B$5001,B1639,$I$2:$I$5001,I1639),1,0))</f>
        <v/>
      </c>
    </row>
    <row r="1640" customFormat="false" ht="15" hidden="false" customHeight="false" outlineLevel="0" collapsed="false">
      <c r="I1640" s="15" t="str">
        <f aca="false">IF(A1640="","",INT(A1640))</f>
        <v/>
      </c>
      <c r="J1640" s="16" t="str">
        <f aca="false">IF(B1640="","",IF(A1640=_xlfn.MINIFS($A$2:$A$5001,$B$2:$B$5001,B1640),1,0))</f>
        <v/>
      </c>
      <c r="K1640" s="16" t="str">
        <f aca="false">IF(B1640="","",IF(AND(D1640="Formalização",E1640="Concluído"),IF(COUNTIFS($B$2:$B$5001,B1640,$E$2:$E$5001,"Em ajustes",$A$2:$A$5001,"&lt;"&amp;I1640)&gt;0,1,0),0))</f>
        <v/>
      </c>
      <c r="L1640" s="16" t="str">
        <f aca="false">IF(B1640="","",IF(A1640=_xlfn.MAXIFS($A$2:$A$5001,$B$2:$B$5001,B1640,$I$2:$I$5001,I1640),1,0))</f>
        <v/>
      </c>
    </row>
    <row r="1641" customFormat="false" ht="15" hidden="false" customHeight="false" outlineLevel="0" collapsed="false">
      <c r="I1641" s="15" t="str">
        <f aca="false">IF(A1641="","",INT(A1641))</f>
        <v/>
      </c>
      <c r="J1641" s="16" t="str">
        <f aca="false">IF(B1641="","",IF(A1641=_xlfn.MINIFS($A$2:$A$5001,$B$2:$B$5001,B1641),1,0))</f>
        <v/>
      </c>
      <c r="K1641" s="16" t="str">
        <f aca="false">IF(B1641="","",IF(AND(D1641="Formalização",E1641="Concluído"),IF(COUNTIFS($B$2:$B$5001,B1641,$E$2:$E$5001,"Em ajustes",$A$2:$A$5001,"&lt;"&amp;I1641)&gt;0,1,0),0))</f>
        <v/>
      </c>
      <c r="L1641" s="16" t="str">
        <f aca="false">IF(B1641="","",IF(A1641=_xlfn.MAXIFS($A$2:$A$5001,$B$2:$B$5001,B1641,$I$2:$I$5001,I1641),1,0))</f>
        <v/>
      </c>
    </row>
    <row r="1642" customFormat="false" ht="15" hidden="false" customHeight="false" outlineLevel="0" collapsed="false">
      <c r="I1642" s="15" t="str">
        <f aca="false">IF(A1642="","",INT(A1642))</f>
        <v/>
      </c>
      <c r="J1642" s="16" t="str">
        <f aca="false">IF(B1642="","",IF(A1642=_xlfn.MINIFS($A$2:$A$5001,$B$2:$B$5001,B1642),1,0))</f>
        <v/>
      </c>
      <c r="K1642" s="16" t="str">
        <f aca="false">IF(B1642="","",IF(AND(D1642="Formalização",E1642="Concluído"),IF(COUNTIFS($B$2:$B$5001,B1642,$E$2:$E$5001,"Em ajustes",$A$2:$A$5001,"&lt;"&amp;I1642)&gt;0,1,0),0))</f>
        <v/>
      </c>
      <c r="L1642" s="16" t="str">
        <f aca="false">IF(B1642="","",IF(A1642=_xlfn.MAXIFS($A$2:$A$5001,$B$2:$B$5001,B1642,$I$2:$I$5001,I1642),1,0))</f>
        <v/>
      </c>
    </row>
    <row r="1643" customFormat="false" ht="15" hidden="false" customHeight="false" outlineLevel="0" collapsed="false">
      <c r="I1643" s="15" t="str">
        <f aca="false">IF(A1643="","",INT(A1643))</f>
        <v/>
      </c>
      <c r="J1643" s="16" t="str">
        <f aca="false">IF(B1643="","",IF(A1643=_xlfn.MINIFS($A$2:$A$5001,$B$2:$B$5001,B1643),1,0))</f>
        <v/>
      </c>
      <c r="K1643" s="16" t="str">
        <f aca="false">IF(B1643="","",IF(AND(D1643="Formalização",E1643="Concluído"),IF(COUNTIFS($B$2:$B$5001,B1643,$E$2:$E$5001,"Em ajustes",$A$2:$A$5001,"&lt;"&amp;I1643)&gt;0,1,0),0))</f>
        <v/>
      </c>
      <c r="L1643" s="16" t="str">
        <f aca="false">IF(B1643="","",IF(A1643=_xlfn.MAXIFS($A$2:$A$5001,$B$2:$B$5001,B1643,$I$2:$I$5001,I1643),1,0))</f>
        <v/>
      </c>
    </row>
    <row r="1644" customFormat="false" ht="15" hidden="false" customHeight="false" outlineLevel="0" collapsed="false">
      <c r="I1644" s="15" t="str">
        <f aca="false">IF(A1644="","",INT(A1644))</f>
        <v/>
      </c>
      <c r="J1644" s="16" t="str">
        <f aca="false">IF(B1644="","",IF(A1644=_xlfn.MINIFS($A$2:$A$5001,$B$2:$B$5001,B1644),1,0))</f>
        <v/>
      </c>
      <c r="K1644" s="16" t="str">
        <f aca="false">IF(B1644="","",IF(AND(D1644="Formalização",E1644="Concluído"),IF(COUNTIFS($B$2:$B$5001,B1644,$E$2:$E$5001,"Em ajustes",$A$2:$A$5001,"&lt;"&amp;I1644)&gt;0,1,0),0))</f>
        <v/>
      </c>
      <c r="L1644" s="16" t="str">
        <f aca="false">IF(B1644="","",IF(A1644=_xlfn.MAXIFS($A$2:$A$5001,$B$2:$B$5001,B1644,$I$2:$I$5001,I1644),1,0))</f>
        <v/>
      </c>
    </row>
    <row r="1645" customFormat="false" ht="15" hidden="false" customHeight="false" outlineLevel="0" collapsed="false">
      <c r="I1645" s="15" t="str">
        <f aca="false">IF(A1645="","",INT(A1645))</f>
        <v/>
      </c>
      <c r="J1645" s="16" t="str">
        <f aca="false">IF(B1645="","",IF(A1645=_xlfn.MINIFS($A$2:$A$5001,$B$2:$B$5001,B1645),1,0))</f>
        <v/>
      </c>
      <c r="K1645" s="16" t="str">
        <f aca="false">IF(B1645="","",IF(AND(D1645="Formalização",E1645="Concluído"),IF(COUNTIFS($B$2:$B$5001,B1645,$E$2:$E$5001,"Em ajustes",$A$2:$A$5001,"&lt;"&amp;I1645)&gt;0,1,0),0))</f>
        <v/>
      </c>
      <c r="L1645" s="16" t="str">
        <f aca="false">IF(B1645="","",IF(A1645=_xlfn.MAXIFS($A$2:$A$5001,$B$2:$B$5001,B1645,$I$2:$I$5001,I1645),1,0))</f>
        <v/>
      </c>
    </row>
    <row r="1646" customFormat="false" ht="15" hidden="false" customHeight="false" outlineLevel="0" collapsed="false">
      <c r="I1646" s="15" t="str">
        <f aca="false">IF(A1646="","",INT(A1646))</f>
        <v/>
      </c>
      <c r="J1646" s="16" t="str">
        <f aca="false">IF(B1646="","",IF(A1646=_xlfn.MINIFS($A$2:$A$5001,$B$2:$B$5001,B1646),1,0))</f>
        <v/>
      </c>
      <c r="K1646" s="16" t="str">
        <f aca="false">IF(B1646="","",IF(AND(D1646="Formalização",E1646="Concluído"),IF(COUNTIFS($B$2:$B$5001,B1646,$E$2:$E$5001,"Em ajustes",$A$2:$A$5001,"&lt;"&amp;I1646)&gt;0,1,0),0))</f>
        <v/>
      </c>
      <c r="L1646" s="16" t="str">
        <f aca="false">IF(B1646="","",IF(A1646=_xlfn.MAXIFS($A$2:$A$5001,$B$2:$B$5001,B1646,$I$2:$I$5001,I1646),1,0))</f>
        <v/>
      </c>
    </row>
    <row r="1647" customFormat="false" ht="15" hidden="false" customHeight="false" outlineLevel="0" collapsed="false">
      <c r="I1647" s="15" t="str">
        <f aca="false">IF(A1647="","",INT(A1647))</f>
        <v/>
      </c>
      <c r="J1647" s="16" t="str">
        <f aca="false">IF(B1647="","",IF(A1647=_xlfn.MINIFS($A$2:$A$5001,$B$2:$B$5001,B1647),1,0))</f>
        <v/>
      </c>
      <c r="K1647" s="16" t="str">
        <f aca="false">IF(B1647="","",IF(AND(D1647="Formalização",E1647="Concluído"),IF(COUNTIFS($B$2:$B$5001,B1647,$E$2:$E$5001,"Em ajustes",$A$2:$A$5001,"&lt;"&amp;I1647)&gt;0,1,0),0))</f>
        <v/>
      </c>
      <c r="L1647" s="16" t="str">
        <f aca="false">IF(B1647="","",IF(A1647=_xlfn.MAXIFS($A$2:$A$5001,$B$2:$B$5001,B1647,$I$2:$I$5001,I1647),1,0))</f>
        <v/>
      </c>
    </row>
    <row r="1648" customFormat="false" ht="15" hidden="false" customHeight="false" outlineLevel="0" collapsed="false">
      <c r="I1648" s="15" t="str">
        <f aca="false">IF(A1648="","",INT(A1648))</f>
        <v/>
      </c>
      <c r="J1648" s="16" t="str">
        <f aca="false">IF(B1648="","",IF(A1648=_xlfn.MINIFS($A$2:$A$5001,$B$2:$B$5001,B1648),1,0))</f>
        <v/>
      </c>
      <c r="K1648" s="16" t="str">
        <f aca="false">IF(B1648="","",IF(AND(D1648="Formalização",E1648="Concluído"),IF(COUNTIFS($B$2:$B$5001,B1648,$E$2:$E$5001,"Em ajustes",$A$2:$A$5001,"&lt;"&amp;I1648)&gt;0,1,0),0))</f>
        <v/>
      </c>
      <c r="L1648" s="16" t="str">
        <f aca="false">IF(B1648="","",IF(A1648=_xlfn.MAXIFS($A$2:$A$5001,$B$2:$B$5001,B1648,$I$2:$I$5001,I1648),1,0))</f>
        <v/>
      </c>
    </row>
    <row r="1649" customFormat="false" ht="15" hidden="false" customHeight="false" outlineLevel="0" collapsed="false">
      <c r="I1649" s="15" t="str">
        <f aca="false">IF(A1649="","",INT(A1649))</f>
        <v/>
      </c>
      <c r="J1649" s="16" t="str">
        <f aca="false">IF(B1649="","",IF(A1649=_xlfn.MINIFS($A$2:$A$5001,$B$2:$B$5001,B1649),1,0))</f>
        <v/>
      </c>
      <c r="K1649" s="16" t="str">
        <f aca="false">IF(B1649="","",IF(AND(D1649="Formalização",E1649="Concluído"),IF(COUNTIFS($B$2:$B$5001,B1649,$E$2:$E$5001,"Em ajustes",$A$2:$A$5001,"&lt;"&amp;I1649)&gt;0,1,0),0))</f>
        <v/>
      </c>
      <c r="L1649" s="16" t="str">
        <f aca="false">IF(B1649="","",IF(A1649=_xlfn.MAXIFS($A$2:$A$5001,$B$2:$B$5001,B1649,$I$2:$I$5001,I1649),1,0))</f>
        <v/>
      </c>
    </row>
    <row r="1650" customFormat="false" ht="15" hidden="false" customHeight="false" outlineLevel="0" collapsed="false">
      <c r="I1650" s="15" t="str">
        <f aca="false">IF(A1650="","",INT(A1650))</f>
        <v/>
      </c>
      <c r="J1650" s="16" t="str">
        <f aca="false">IF(B1650="","",IF(A1650=_xlfn.MINIFS($A$2:$A$5001,$B$2:$B$5001,B1650),1,0))</f>
        <v/>
      </c>
      <c r="K1650" s="16" t="str">
        <f aca="false">IF(B1650="","",IF(AND(D1650="Formalização",E1650="Concluído"),IF(COUNTIFS($B$2:$B$5001,B1650,$E$2:$E$5001,"Em ajustes",$A$2:$A$5001,"&lt;"&amp;I1650)&gt;0,1,0),0))</f>
        <v/>
      </c>
      <c r="L1650" s="16" t="str">
        <f aca="false">IF(B1650="","",IF(A1650=_xlfn.MAXIFS($A$2:$A$5001,$B$2:$B$5001,B1650,$I$2:$I$5001,I1650),1,0))</f>
        <v/>
      </c>
    </row>
    <row r="1651" customFormat="false" ht="15" hidden="false" customHeight="false" outlineLevel="0" collapsed="false">
      <c r="I1651" s="15" t="str">
        <f aca="false">IF(A1651="","",INT(A1651))</f>
        <v/>
      </c>
      <c r="J1651" s="16" t="str">
        <f aca="false">IF(B1651="","",IF(A1651=_xlfn.MINIFS($A$2:$A$5001,$B$2:$B$5001,B1651),1,0))</f>
        <v/>
      </c>
      <c r="K1651" s="16" t="str">
        <f aca="false">IF(B1651="","",IF(AND(D1651="Formalização",E1651="Concluído"),IF(COUNTIFS($B$2:$B$5001,B1651,$E$2:$E$5001,"Em ajustes",$A$2:$A$5001,"&lt;"&amp;I1651)&gt;0,1,0),0))</f>
        <v/>
      </c>
      <c r="L1651" s="16" t="str">
        <f aca="false">IF(B1651="","",IF(A1651=_xlfn.MAXIFS($A$2:$A$5001,$B$2:$B$5001,B1651,$I$2:$I$5001,I1651),1,0))</f>
        <v/>
      </c>
    </row>
    <row r="1652" customFormat="false" ht="15" hidden="false" customHeight="false" outlineLevel="0" collapsed="false">
      <c r="I1652" s="15" t="str">
        <f aca="false">IF(A1652="","",INT(A1652))</f>
        <v/>
      </c>
      <c r="J1652" s="16" t="str">
        <f aca="false">IF(B1652="","",IF(A1652=_xlfn.MINIFS($A$2:$A$5001,$B$2:$B$5001,B1652),1,0))</f>
        <v/>
      </c>
      <c r="K1652" s="16" t="str">
        <f aca="false">IF(B1652="","",IF(AND(D1652="Formalização",E1652="Concluído"),IF(COUNTIFS($B$2:$B$5001,B1652,$E$2:$E$5001,"Em ajustes",$A$2:$A$5001,"&lt;"&amp;I1652)&gt;0,1,0),0))</f>
        <v/>
      </c>
      <c r="L1652" s="16" t="str">
        <f aca="false">IF(B1652="","",IF(A1652=_xlfn.MAXIFS($A$2:$A$5001,$B$2:$B$5001,B1652,$I$2:$I$5001,I1652),1,0))</f>
        <v/>
      </c>
    </row>
    <row r="1653" customFormat="false" ht="15" hidden="false" customHeight="false" outlineLevel="0" collapsed="false">
      <c r="I1653" s="15" t="str">
        <f aca="false">IF(A1653="","",INT(A1653))</f>
        <v/>
      </c>
      <c r="J1653" s="16" t="str">
        <f aca="false">IF(B1653="","",IF(A1653=_xlfn.MINIFS($A$2:$A$5001,$B$2:$B$5001,B1653),1,0))</f>
        <v/>
      </c>
      <c r="K1653" s="16" t="str">
        <f aca="false">IF(B1653="","",IF(AND(D1653="Formalização",E1653="Concluído"),IF(COUNTIFS($B$2:$B$5001,B1653,$E$2:$E$5001,"Em ajustes",$A$2:$A$5001,"&lt;"&amp;I1653)&gt;0,1,0),0))</f>
        <v/>
      </c>
      <c r="L1653" s="16" t="str">
        <f aca="false">IF(B1653="","",IF(A1653=_xlfn.MAXIFS($A$2:$A$5001,$B$2:$B$5001,B1653,$I$2:$I$5001,I1653),1,0))</f>
        <v/>
      </c>
    </row>
    <row r="1654" customFormat="false" ht="15" hidden="false" customHeight="false" outlineLevel="0" collapsed="false">
      <c r="I1654" s="15" t="str">
        <f aca="false">IF(A1654="","",INT(A1654))</f>
        <v/>
      </c>
      <c r="J1654" s="16" t="str">
        <f aca="false">IF(B1654="","",IF(A1654=_xlfn.MINIFS($A$2:$A$5001,$B$2:$B$5001,B1654),1,0))</f>
        <v/>
      </c>
      <c r="K1654" s="16" t="str">
        <f aca="false">IF(B1654="","",IF(AND(D1654="Formalização",E1654="Concluído"),IF(COUNTIFS($B$2:$B$5001,B1654,$E$2:$E$5001,"Em ajustes",$A$2:$A$5001,"&lt;"&amp;I1654)&gt;0,1,0),0))</f>
        <v/>
      </c>
      <c r="L1654" s="16" t="str">
        <f aca="false">IF(B1654="","",IF(A1654=_xlfn.MAXIFS($A$2:$A$5001,$B$2:$B$5001,B1654,$I$2:$I$5001,I1654),1,0))</f>
        <v/>
      </c>
    </row>
    <row r="1655" customFormat="false" ht="15" hidden="false" customHeight="false" outlineLevel="0" collapsed="false">
      <c r="I1655" s="15" t="str">
        <f aca="false">IF(A1655="","",INT(A1655))</f>
        <v/>
      </c>
      <c r="J1655" s="16" t="str">
        <f aca="false">IF(B1655="","",IF(A1655=_xlfn.MINIFS($A$2:$A$5001,$B$2:$B$5001,B1655),1,0))</f>
        <v/>
      </c>
      <c r="K1655" s="16" t="str">
        <f aca="false">IF(B1655="","",IF(AND(D1655="Formalização",E1655="Concluído"),IF(COUNTIFS($B$2:$B$5001,B1655,$E$2:$E$5001,"Em ajustes",$A$2:$A$5001,"&lt;"&amp;I1655)&gt;0,1,0),0))</f>
        <v/>
      </c>
      <c r="L1655" s="16" t="str">
        <f aca="false">IF(B1655="","",IF(A1655=_xlfn.MAXIFS($A$2:$A$5001,$B$2:$B$5001,B1655,$I$2:$I$5001,I1655),1,0))</f>
        <v/>
      </c>
    </row>
    <row r="1656" customFormat="false" ht="15" hidden="false" customHeight="false" outlineLevel="0" collapsed="false">
      <c r="I1656" s="15" t="str">
        <f aca="false">IF(A1656="","",INT(A1656))</f>
        <v/>
      </c>
      <c r="J1656" s="16" t="str">
        <f aca="false">IF(B1656="","",IF(A1656=_xlfn.MINIFS($A$2:$A$5001,$B$2:$B$5001,B1656),1,0))</f>
        <v/>
      </c>
      <c r="K1656" s="16" t="str">
        <f aca="false">IF(B1656="","",IF(AND(D1656="Formalização",E1656="Concluído"),IF(COUNTIFS($B$2:$B$5001,B1656,$E$2:$E$5001,"Em ajustes",$A$2:$A$5001,"&lt;"&amp;I1656)&gt;0,1,0),0))</f>
        <v/>
      </c>
      <c r="L1656" s="16" t="str">
        <f aca="false">IF(B1656="","",IF(A1656=_xlfn.MAXIFS($A$2:$A$5001,$B$2:$B$5001,B1656,$I$2:$I$5001,I1656),1,0))</f>
        <v/>
      </c>
    </row>
    <row r="1657" customFormat="false" ht="15" hidden="false" customHeight="false" outlineLevel="0" collapsed="false">
      <c r="I1657" s="15" t="str">
        <f aca="false">IF(A1657="","",INT(A1657))</f>
        <v/>
      </c>
      <c r="J1657" s="16" t="str">
        <f aca="false">IF(B1657="","",IF(A1657=_xlfn.MINIFS($A$2:$A$5001,$B$2:$B$5001,B1657),1,0))</f>
        <v/>
      </c>
      <c r="K1657" s="16" t="str">
        <f aca="false">IF(B1657="","",IF(AND(D1657="Formalização",E1657="Concluído"),IF(COUNTIFS($B$2:$B$5001,B1657,$E$2:$E$5001,"Em ajustes",$A$2:$A$5001,"&lt;"&amp;I1657)&gt;0,1,0),0))</f>
        <v/>
      </c>
      <c r="L1657" s="16" t="str">
        <f aca="false">IF(B1657="","",IF(A1657=_xlfn.MAXIFS($A$2:$A$5001,$B$2:$B$5001,B1657,$I$2:$I$5001,I1657),1,0))</f>
        <v/>
      </c>
    </row>
    <row r="1658" customFormat="false" ht="15" hidden="false" customHeight="false" outlineLevel="0" collapsed="false">
      <c r="I1658" s="15" t="str">
        <f aca="false">IF(A1658="","",INT(A1658))</f>
        <v/>
      </c>
      <c r="J1658" s="16" t="str">
        <f aca="false">IF(B1658="","",IF(A1658=_xlfn.MINIFS($A$2:$A$5001,$B$2:$B$5001,B1658),1,0))</f>
        <v/>
      </c>
      <c r="K1658" s="16" t="str">
        <f aca="false">IF(B1658="","",IF(AND(D1658="Formalização",E1658="Concluído"),IF(COUNTIFS($B$2:$B$5001,B1658,$E$2:$E$5001,"Em ajustes",$A$2:$A$5001,"&lt;"&amp;I1658)&gt;0,1,0),0))</f>
        <v/>
      </c>
      <c r="L1658" s="16" t="str">
        <f aca="false">IF(B1658="","",IF(A1658=_xlfn.MAXIFS($A$2:$A$5001,$B$2:$B$5001,B1658,$I$2:$I$5001,I1658),1,0))</f>
        <v/>
      </c>
    </row>
    <row r="1659" customFormat="false" ht="15" hidden="false" customHeight="false" outlineLevel="0" collapsed="false">
      <c r="I1659" s="15" t="str">
        <f aca="false">IF(A1659="","",INT(A1659))</f>
        <v/>
      </c>
      <c r="J1659" s="16" t="str">
        <f aca="false">IF(B1659="","",IF(A1659=_xlfn.MINIFS($A$2:$A$5001,$B$2:$B$5001,B1659),1,0))</f>
        <v/>
      </c>
      <c r="K1659" s="16" t="str">
        <f aca="false">IF(B1659="","",IF(AND(D1659="Formalização",E1659="Concluído"),IF(COUNTIFS($B$2:$B$5001,B1659,$E$2:$E$5001,"Em ajustes",$A$2:$A$5001,"&lt;"&amp;I1659)&gt;0,1,0),0))</f>
        <v/>
      </c>
      <c r="L1659" s="16" t="str">
        <f aca="false">IF(B1659="","",IF(A1659=_xlfn.MAXIFS($A$2:$A$5001,$B$2:$B$5001,B1659,$I$2:$I$5001,I1659),1,0))</f>
        <v/>
      </c>
    </row>
    <row r="1660" customFormat="false" ht="15" hidden="false" customHeight="false" outlineLevel="0" collapsed="false">
      <c r="I1660" s="15" t="str">
        <f aca="false">IF(A1660="","",INT(A1660))</f>
        <v/>
      </c>
      <c r="J1660" s="16" t="str">
        <f aca="false">IF(B1660="","",IF(A1660=_xlfn.MINIFS($A$2:$A$5001,$B$2:$B$5001,B1660),1,0))</f>
        <v/>
      </c>
      <c r="K1660" s="16" t="str">
        <f aca="false">IF(B1660="","",IF(AND(D1660="Formalização",E1660="Concluído"),IF(COUNTIFS($B$2:$B$5001,B1660,$E$2:$E$5001,"Em ajustes",$A$2:$A$5001,"&lt;"&amp;I1660)&gt;0,1,0),0))</f>
        <v/>
      </c>
      <c r="L1660" s="16" t="str">
        <f aca="false">IF(B1660="","",IF(A1660=_xlfn.MAXIFS($A$2:$A$5001,$B$2:$B$5001,B1660,$I$2:$I$5001,I1660),1,0))</f>
        <v/>
      </c>
    </row>
    <row r="1661" customFormat="false" ht="15" hidden="false" customHeight="false" outlineLevel="0" collapsed="false">
      <c r="I1661" s="15" t="str">
        <f aca="false">IF(A1661="","",INT(A1661))</f>
        <v/>
      </c>
      <c r="J1661" s="16" t="str">
        <f aca="false">IF(B1661="","",IF(A1661=_xlfn.MINIFS($A$2:$A$5001,$B$2:$B$5001,B1661),1,0))</f>
        <v/>
      </c>
      <c r="K1661" s="16" t="str">
        <f aca="false">IF(B1661="","",IF(AND(D1661="Formalização",E1661="Concluído"),IF(COUNTIFS($B$2:$B$5001,B1661,$E$2:$E$5001,"Em ajustes",$A$2:$A$5001,"&lt;"&amp;I1661)&gt;0,1,0),0))</f>
        <v/>
      </c>
      <c r="L1661" s="16" t="str">
        <f aca="false">IF(B1661="","",IF(A1661=_xlfn.MAXIFS($A$2:$A$5001,$B$2:$B$5001,B1661,$I$2:$I$5001,I1661),1,0))</f>
        <v/>
      </c>
    </row>
    <row r="1662" customFormat="false" ht="15" hidden="false" customHeight="false" outlineLevel="0" collapsed="false">
      <c r="I1662" s="15" t="str">
        <f aca="false">IF(A1662="","",INT(A1662))</f>
        <v/>
      </c>
      <c r="J1662" s="16" t="str">
        <f aca="false">IF(B1662="","",IF(A1662=_xlfn.MINIFS($A$2:$A$5001,$B$2:$B$5001,B1662),1,0))</f>
        <v/>
      </c>
      <c r="K1662" s="16" t="str">
        <f aca="false">IF(B1662="","",IF(AND(D1662="Formalização",E1662="Concluído"),IF(COUNTIFS($B$2:$B$5001,B1662,$E$2:$E$5001,"Em ajustes",$A$2:$A$5001,"&lt;"&amp;I1662)&gt;0,1,0),0))</f>
        <v/>
      </c>
      <c r="L1662" s="16" t="str">
        <f aca="false">IF(B1662="","",IF(A1662=_xlfn.MAXIFS($A$2:$A$5001,$B$2:$B$5001,B1662,$I$2:$I$5001,I1662),1,0))</f>
        <v/>
      </c>
    </row>
    <row r="1663" customFormat="false" ht="15" hidden="false" customHeight="false" outlineLevel="0" collapsed="false">
      <c r="I1663" s="15" t="str">
        <f aca="false">IF(A1663="","",INT(A1663))</f>
        <v/>
      </c>
      <c r="J1663" s="16" t="str">
        <f aca="false">IF(B1663="","",IF(A1663=_xlfn.MINIFS($A$2:$A$5001,$B$2:$B$5001,B1663),1,0))</f>
        <v/>
      </c>
      <c r="K1663" s="16" t="str">
        <f aca="false">IF(B1663="","",IF(AND(D1663="Formalização",E1663="Concluído"),IF(COUNTIFS($B$2:$B$5001,B1663,$E$2:$E$5001,"Em ajustes",$A$2:$A$5001,"&lt;"&amp;I1663)&gt;0,1,0),0))</f>
        <v/>
      </c>
      <c r="L1663" s="16" t="str">
        <f aca="false">IF(B1663="","",IF(A1663=_xlfn.MAXIFS($A$2:$A$5001,$B$2:$B$5001,B1663,$I$2:$I$5001,I1663),1,0))</f>
        <v/>
      </c>
    </row>
    <row r="1664" customFormat="false" ht="15" hidden="false" customHeight="false" outlineLevel="0" collapsed="false">
      <c r="I1664" s="15" t="str">
        <f aca="false">IF(A1664="","",INT(A1664))</f>
        <v/>
      </c>
      <c r="J1664" s="16" t="str">
        <f aca="false">IF(B1664="","",IF(A1664=_xlfn.MINIFS($A$2:$A$5001,$B$2:$B$5001,B1664),1,0))</f>
        <v/>
      </c>
      <c r="K1664" s="16" t="str">
        <f aca="false">IF(B1664="","",IF(AND(D1664="Formalização",E1664="Concluído"),IF(COUNTIFS($B$2:$B$5001,B1664,$E$2:$E$5001,"Em ajustes",$A$2:$A$5001,"&lt;"&amp;I1664)&gt;0,1,0),0))</f>
        <v/>
      </c>
      <c r="L1664" s="16" t="str">
        <f aca="false">IF(B1664="","",IF(A1664=_xlfn.MAXIFS($A$2:$A$5001,$B$2:$B$5001,B1664,$I$2:$I$5001,I1664),1,0))</f>
        <v/>
      </c>
    </row>
    <row r="1665" customFormat="false" ht="15" hidden="false" customHeight="false" outlineLevel="0" collapsed="false">
      <c r="I1665" s="15" t="str">
        <f aca="false">IF(A1665="","",INT(A1665))</f>
        <v/>
      </c>
      <c r="J1665" s="16" t="str">
        <f aca="false">IF(B1665="","",IF(A1665=_xlfn.MINIFS($A$2:$A$5001,$B$2:$B$5001,B1665),1,0))</f>
        <v/>
      </c>
      <c r="K1665" s="16" t="str">
        <f aca="false">IF(B1665="","",IF(AND(D1665="Formalização",E1665="Concluído"),IF(COUNTIFS($B$2:$B$5001,B1665,$E$2:$E$5001,"Em ajustes",$A$2:$A$5001,"&lt;"&amp;I1665)&gt;0,1,0),0))</f>
        <v/>
      </c>
      <c r="L1665" s="16" t="str">
        <f aca="false">IF(B1665="","",IF(A1665=_xlfn.MAXIFS($A$2:$A$5001,$B$2:$B$5001,B1665,$I$2:$I$5001,I1665),1,0))</f>
        <v/>
      </c>
    </row>
    <row r="1666" customFormat="false" ht="15" hidden="false" customHeight="false" outlineLevel="0" collapsed="false">
      <c r="I1666" s="15" t="str">
        <f aca="false">IF(A1666="","",INT(A1666))</f>
        <v/>
      </c>
      <c r="J1666" s="16" t="str">
        <f aca="false">IF(B1666="","",IF(A1666=_xlfn.MINIFS($A$2:$A$5001,$B$2:$B$5001,B1666),1,0))</f>
        <v/>
      </c>
      <c r="K1666" s="16" t="str">
        <f aca="false">IF(B1666="","",IF(AND(D1666="Formalização",E1666="Concluído"),IF(COUNTIFS($B$2:$B$5001,B1666,$E$2:$E$5001,"Em ajustes",$A$2:$A$5001,"&lt;"&amp;I1666)&gt;0,1,0),0))</f>
        <v/>
      </c>
      <c r="L1666" s="16" t="str">
        <f aca="false">IF(B1666="","",IF(A1666=_xlfn.MAXIFS($A$2:$A$5001,$B$2:$B$5001,B1666,$I$2:$I$5001,I1666),1,0))</f>
        <v/>
      </c>
    </row>
    <row r="1667" customFormat="false" ht="15" hidden="false" customHeight="false" outlineLevel="0" collapsed="false">
      <c r="I1667" s="15" t="str">
        <f aca="false">IF(A1667="","",INT(A1667))</f>
        <v/>
      </c>
      <c r="J1667" s="16" t="str">
        <f aca="false">IF(B1667="","",IF(A1667=_xlfn.MINIFS($A$2:$A$5001,$B$2:$B$5001,B1667),1,0))</f>
        <v/>
      </c>
      <c r="K1667" s="16" t="str">
        <f aca="false">IF(B1667="","",IF(AND(D1667="Formalização",E1667="Concluído"),IF(COUNTIFS($B$2:$B$5001,B1667,$E$2:$E$5001,"Em ajustes",$A$2:$A$5001,"&lt;"&amp;I1667)&gt;0,1,0),0))</f>
        <v/>
      </c>
      <c r="L1667" s="16" t="str">
        <f aca="false">IF(B1667="","",IF(A1667=_xlfn.MAXIFS($A$2:$A$5001,$B$2:$B$5001,B1667,$I$2:$I$5001,I1667),1,0))</f>
        <v/>
      </c>
    </row>
    <row r="1668" customFormat="false" ht="15" hidden="false" customHeight="false" outlineLevel="0" collapsed="false">
      <c r="I1668" s="15" t="str">
        <f aca="false">IF(A1668="","",INT(A1668))</f>
        <v/>
      </c>
      <c r="J1668" s="16" t="str">
        <f aca="false">IF(B1668="","",IF(A1668=_xlfn.MINIFS($A$2:$A$5001,$B$2:$B$5001,B1668),1,0))</f>
        <v/>
      </c>
      <c r="K1668" s="16" t="str">
        <f aca="false">IF(B1668="","",IF(AND(D1668="Formalização",E1668="Concluído"),IF(COUNTIFS($B$2:$B$5001,B1668,$E$2:$E$5001,"Em ajustes",$A$2:$A$5001,"&lt;"&amp;I1668)&gt;0,1,0),0))</f>
        <v/>
      </c>
      <c r="L1668" s="16" t="str">
        <f aca="false">IF(B1668="","",IF(A1668=_xlfn.MAXIFS($A$2:$A$5001,$B$2:$B$5001,B1668,$I$2:$I$5001,I1668),1,0))</f>
        <v/>
      </c>
    </row>
    <row r="1669" customFormat="false" ht="15" hidden="false" customHeight="false" outlineLevel="0" collapsed="false">
      <c r="I1669" s="15" t="str">
        <f aca="false">IF(A1669="","",INT(A1669))</f>
        <v/>
      </c>
      <c r="J1669" s="16" t="str">
        <f aca="false">IF(B1669="","",IF(A1669=_xlfn.MINIFS($A$2:$A$5001,$B$2:$B$5001,B1669),1,0))</f>
        <v/>
      </c>
      <c r="K1669" s="16" t="str">
        <f aca="false">IF(B1669="","",IF(AND(D1669="Formalização",E1669="Concluído"),IF(COUNTIFS($B$2:$B$5001,B1669,$E$2:$E$5001,"Em ajustes",$A$2:$A$5001,"&lt;"&amp;I1669)&gt;0,1,0),0))</f>
        <v/>
      </c>
      <c r="L1669" s="16" t="str">
        <f aca="false">IF(B1669="","",IF(A1669=_xlfn.MAXIFS($A$2:$A$5001,$B$2:$B$5001,B1669,$I$2:$I$5001,I1669),1,0))</f>
        <v/>
      </c>
    </row>
    <row r="1670" customFormat="false" ht="15" hidden="false" customHeight="false" outlineLevel="0" collapsed="false">
      <c r="I1670" s="15" t="str">
        <f aca="false">IF(A1670="","",INT(A1670))</f>
        <v/>
      </c>
      <c r="J1670" s="16" t="str">
        <f aca="false">IF(B1670="","",IF(A1670=_xlfn.MINIFS($A$2:$A$5001,$B$2:$B$5001,B1670),1,0))</f>
        <v/>
      </c>
      <c r="K1670" s="16" t="str">
        <f aca="false">IF(B1670="","",IF(AND(D1670="Formalização",E1670="Concluído"),IF(COUNTIFS($B$2:$B$5001,B1670,$E$2:$E$5001,"Em ajustes",$A$2:$A$5001,"&lt;"&amp;I1670)&gt;0,1,0),0))</f>
        <v/>
      </c>
      <c r="L1670" s="16" t="str">
        <f aca="false">IF(B1670="","",IF(A1670=_xlfn.MAXIFS($A$2:$A$5001,$B$2:$B$5001,B1670,$I$2:$I$5001,I1670),1,0))</f>
        <v/>
      </c>
    </row>
    <row r="1671" customFormat="false" ht="15" hidden="false" customHeight="false" outlineLevel="0" collapsed="false">
      <c r="I1671" s="15" t="str">
        <f aca="false">IF(A1671="","",INT(A1671))</f>
        <v/>
      </c>
      <c r="J1671" s="16" t="str">
        <f aca="false">IF(B1671="","",IF(A1671=_xlfn.MINIFS($A$2:$A$5001,$B$2:$B$5001,B1671),1,0))</f>
        <v/>
      </c>
      <c r="K1671" s="16" t="str">
        <f aca="false">IF(B1671="","",IF(AND(D1671="Formalização",E1671="Concluído"),IF(COUNTIFS($B$2:$B$5001,B1671,$E$2:$E$5001,"Em ajustes",$A$2:$A$5001,"&lt;"&amp;I1671)&gt;0,1,0),0))</f>
        <v/>
      </c>
      <c r="L1671" s="16" t="str">
        <f aca="false">IF(B1671="","",IF(A1671=_xlfn.MAXIFS($A$2:$A$5001,$B$2:$B$5001,B1671,$I$2:$I$5001,I1671),1,0))</f>
        <v/>
      </c>
    </row>
    <row r="1672" customFormat="false" ht="15" hidden="false" customHeight="false" outlineLevel="0" collapsed="false">
      <c r="I1672" s="15" t="str">
        <f aca="false">IF(A1672="","",INT(A1672))</f>
        <v/>
      </c>
      <c r="J1672" s="16" t="str">
        <f aca="false">IF(B1672="","",IF(A1672=_xlfn.MINIFS($A$2:$A$5001,$B$2:$B$5001,B1672),1,0))</f>
        <v/>
      </c>
      <c r="K1672" s="16" t="str">
        <f aca="false">IF(B1672="","",IF(AND(D1672="Formalização",E1672="Concluído"),IF(COUNTIFS($B$2:$B$5001,B1672,$E$2:$E$5001,"Em ajustes",$A$2:$A$5001,"&lt;"&amp;I1672)&gt;0,1,0),0))</f>
        <v/>
      </c>
      <c r="L1672" s="16" t="str">
        <f aca="false">IF(B1672="","",IF(A1672=_xlfn.MAXIFS($A$2:$A$5001,$B$2:$B$5001,B1672,$I$2:$I$5001,I1672),1,0))</f>
        <v/>
      </c>
    </row>
    <row r="1673" customFormat="false" ht="15" hidden="false" customHeight="false" outlineLevel="0" collapsed="false">
      <c r="I1673" s="15" t="str">
        <f aca="false">IF(A1673="","",INT(A1673))</f>
        <v/>
      </c>
      <c r="J1673" s="16" t="str">
        <f aca="false">IF(B1673="","",IF(A1673=_xlfn.MINIFS($A$2:$A$5001,$B$2:$B$5001,B1673),1,0))</f>
        <v/>
      </c>
      <c r="K1673" s="16" t="str">
        <f aca="false">IF(B1673="","",IF(AND(D1673="Formalização",E1673="Concluído"),IF(COUNTIFS($B$2:$B$5001,B1673,$E$2:$E$5001,"Em ajustes",$A$2:$A$5001,"&lt;"&amp;I1673)&gt;0,1,0),0))</f>
        <v/>
      </c>
      <c r="L1673" s="16" t="str">
        <f aca="false">IF(B1673="","",IF(A1673=_xlfn.MAXIFS($A$2:$A$5001,$B$2:$B$5001,B1673,$I$2:$I$5001,I1673),1,0))</f>
        <v/>
      </c>
    </row>
    <row r="1674" customFormat="false" ht="15" hidden="false" customHeight="false" outlineLevel="0" collapsed="false">
      <c r="I1674" s="15" t="str">
        <f aca="false">IF(A1674="","",INT(A1674))</f>
        <v/>
      </c>
      <c r="J1674" s="16" t="str">
        <f aca="false">IF(B1674="","",IF(A1674=_xlfn.MINIFS($A$2:$A$5001,$B$2:$B$5001,B1674),1,0))</f>
        <v/>
      </c>
      <c r="K1674" s="16" t="str">
        <f aca="false">IF(B1674="","",IF(AND(D1674="Formalização",E1674="Concluído"),IF(COUNTIFS($B$2:$B$5001,B1674,$E$2:$E$5001,"Em ajustes",$A$2:$A$5001,"&lt;"&amp;I1674)&gt;0,1,0),0))</f>
        <v/>
      </c>
      <c r="L1674" s="16" t="str">
        <f aca="false">IF(B1674="","",IF(A1674=_xlfn.MAXIFS($A$2:$A$5001,$B$2:$B$5001,B1674,$I$2:$I$5001,I1674),1,0))</f>
        <v/>
      </c>
    </row>
    <row r="1675" customFormat="false" ht="15" hidden="false" customHeight="false" outlineLevel="0" collapsed="false">
      <c r="I1675" s="15" t="str">
        <f aca="false">IF(A1675="","",INT(A1675))</f>
        <v/>
      </c>
      <c r="J1675" s="16" t="str">
        <f aca="false">IF(B1675="","",IF(A1675=_xlfn.MINIFS($A$2:$A$5001,$B$2:$B$5001,B1675),1,0))</f>
        <v/>
      </c>
      <c r="K1675" s="16" t="str">
        <f aca="false">IF(B1675="","",IF(AND(D1675="Formalização",E1675="Concluído"),IF(COUNTIFS($B$2:$B$5001,B1675,$E$2:$E$5001,"Em ajustes",$A$2:$A$5001,"&lt;"&amp;I1675)&gt;0,1,0),0))</f>
        <v/>
      </c>
      <c r="L1675" s="16" t="str">
        <f aca="false">IF(B1675="","",IF(A1675=_xlfn.MAXIFS($A$2:$A$5001,$B$2:$B$5001,B1675,$I$2:$I$5001,I1675),1,0))</f>
        <v/>
      </c>
    </row>
    <row r="1676" customFormat="false" ht="15" hidden="false" customHeight="false" outlineLevel="0" collapsed="false">
      <c r="I1676" s="15" t="str">
        <f aca="false">IF(A1676="","",INT(A1676))</f>
        <v/>
      </c>
      <c r="J1676" s="16" t="str">
        <f aca="false">IF(B1676="","",IF(A1676=_xlfn.MINIFS($A$2:$A$5001,$B$2:$B$5001,B1676),1,0))</f>
        <v/>
      </c>
      <c r="K1676" s="16" t="str">
        <f aca="false">IF(B1676="","",IF(AND(D1676="Formalização",E1676="Concluído"),IF(COUNTIFS($B$2:$B$5001,B1676,$E$2:$E$5001,"Em ajustes",$A$2:$A$5001,"&lt;"&amp;I1676)&gt;0,1,0),0))</f>
        <v/>
      </c>
      <c r="L1676" s="16" t="str">
        <f aca="false">IF(B1676="","",IF(A1676=_xlfn.MAXIFS($A$2:$A$5001,$B$2:$B$5001,B1676,$I$2:$I$5001,I1676),1,0))</f>
        <v/>
      </c>
    </row>
    <row r="1677" customFormat="false" ht="15" hidden="false" customHeight="false" outlineLevel="0" collapsed="false">
      <c r="I1677" s="15" t="str">
        <f aca="false">IF(A1677="","",INT(A1677))</f>
        <v/>
      </c>
      <c r="J1677" s="16" t="str">
        <f aca="false">IF(B1677="","",IF(A1677=_xlfn.MINIFS($A$2:$A$5001,$B$2:$B$5001,B1677),1,0))</f>
        <v/>
      </c>
      <c r="K1677" s="16" t="str">
        <f aca="false">IF(B1677="","",IF(AND(D1677="Formalização",E1677="Concluído"),IF(COUNTIFS($B$2:$B$5001,B1677,$E$2:$E$5001,"Em ajustes",$A$2:$A$5001,"&lt;"&amp;I1677)&gt;0,1,0),0))</f>
        <v/>
      </c>
      <c r="L1677" s="16" t="str">
        <f aca="false">IF(B1677="","",IF(A1677=_xlfn.MAXIFS($A$2:$A$5001,$B$2:$B$5001,B1677,$I$2:$I$5001,I1677),1,0))</f>
        <v/>
      </c>
    </row>
    <row r="1678" customFormat="false" ht="15" hidden="false" customHeight="false" outlineLevel="0" collapsed="false">
      <c r="I1678" s="15" t="str">
        <f aca="false">IF(A1678="","",INT(A1678))</f>
        <v/>
      </c>
      <c r="J1678" s="16" t="str">
        <f aca="false">IF(B1678="","",IF(A1678=_xlfn.MINIFS($A$2:$A$5001,$B$2:$B$5001,B1678),1,0))</f>
        <v/>
      </c>
      <c r="K1678" s="16" t="str">
        <f aca="false">IF(B1678="","",IF(AND(D1678="Formalização",E1678="Concluído"),IF(COUNTIFS($B$2:$B$5001,B1678,$E$2:$E$5001,"Em ajustes",$A$2:$A$5001,"&lt;"&amp;I1678)&gt;0,1,0),0))</f>
        <v/>
      </c>
      <c r="L1678" s="16" t="str">
        <f aca="false">IF(B1678="","",IF(A1678=_xlfn.MAXIFS($A$2:$A$5001,$B$2:$B$5001,B1678,$I$2:$I$5001,I1678),1,0))</f>
        <v/>
      </c>
    </row>
    <row r="1679" customFormat="false" ht="15" hidden="false" customHeight="false" outlineLevel="0" collapsed="false">
      <c r="I1679" s="15" t="str">
        <f aca="false">IF(A1679="","",INT(A1679))</f>
        <v/>
      </c>
      <c r="J1679" s="16" t="str">
        <f aca="false">IF(B1679="","",IF(A1679=_xlfn.MINIFS($A$2:$A$5001,$B$2:$B$5001,B1679),1,0))</f>
        <v/>
      </c>
      <c r="K1679" s="16" t="str">
        <f aca="false">IF(B1679="","",IF(AND(D1679="Formalização",E1679="Concluído"),IF(COUNTIFS($B$2:$B$5001,B1679,$E$2:$E$5001,"Em ajustes",$A$2:$A$5001,"&lt;"&amp;I1679)&gt;0,1,0),0))</f>
        <v/>
      </c>
      <c r="L1679" s="16" t="str">
        <f aca="false">IF(B1679="","",IF(A1679=_xlfn.MAXIFS($A$2:$A$5001,$B$2:$B$5001,B1679,$I$2:$I$5001,I1679),1,0))</f>
        <v/>
      </c>
    </row>
    <row r="1680" customFormat="false" ht="15" hidden="false" customHeight="false" outlineLevel="0" collapsed="false">
      <c r="I1680" s="15" t="str">
        <f aca="false">IF(A1680="","",INT(A1680))</f>
        <v/>
      </c>
      <c r="J1680" s="16" t="str">
        <f aca="false">IF(B1680="","",IF(A1680=_xlfn.MINIFS($A$2:$A$5001,$B$2:$B$5001,B1680),1,0))</f>
        <v/>
      </c>
      <c r="K1680" s="16" t="str">
        <f aca="false">IF(B1680="","",IF(AND(D1680="Formalização",E1680="Concluído"),IF(COUNTIFS($B$2:$B$5001,B1680,$E$2:$E$5001,"Em ajustes",$A$2:$A$5001,"&lt;"&amp;I1680)&gt;0,1,0),0))</f>
        <v/>
      </c>
      <c r="L1680" s="16" t="str">
        <f aca="false">IF(B1680="","",IF(A1680=_xlfn.MAXIFS($A$2:$A$5001,$B$2:$B$5001,B1680,$I$2:$I$5001,I1680),1,0))</f>
        <v/>
      </c>
    </row>
    <row r="1681" customFormat="false" ht="15" hidden="false" customHeight="false" outlineLevel="0" collapsed="false">
      <c r="I1681" s="15" t="str">
        <f aca="false">IF(A1681="","",INT(A1681))</f>
        <v/>
      </c>
      <c r="J1681" s="16" t="str">
        <f aca="false">IF(B1681="","",IF(A1681=_xlfn.MINIFS($A$2:$A$5001,$B$2:$B$5001,B1681),1,0))</f>
        <v/>
      </c>
      <c r="K1681" s="16" t="str">
        <f aca="false">IF(B1681="","",IF(AND(D1681="Formalização",E1681="Concluído"),IF(COUNTIFS($B$2:$B$5001,B1681,$E$2:$E$5001,"Em ajustes",$A$2:$A$5001,"&lt;"&amp;I1681)&gt;0,1,0),0))</f>
        <v/>
      </c>
      <c r="L1681" s="16" t="str">
        <f aca="false">IF(B1681="","",IF(A1681=_xlfn.MAXIFS($A$2:$A$5001,$B$2:$B$5001,B1681,$I$2:$I$5001,I1681),1,0))</f>
        <v/>
      </c>
    </row>
    <row r="1682" customFormat="false" ht="15" hidden="false" customHeight="false" outlineLevel="0" collapsed="false">
      <c r="I1682" s="15" t="str">
        <f aca="false">IF(A1682="","",INT(A1682))</f>
        <v/>
      </c>
      <c r="J1682" s="16" t="str">
        <f aca="false">IF(B1682="","",IF(A1682=_xlfn.MINIFS($A$2:$A$5001,$B$2:$B$5001,B1682),1,0))</f>
        <v/>
      </c>
      <c r="K1682" s="16" t="str">
        <f aca="false">IF(B1682="","",IF(AND(D1682="Formalização",E1682="Concluído"),IF(COUNTIFS($B$2:$B$5001,B1682,$E$2:$E$5001,"Em ajustes",$A$2:$A$5001,"&lt;"&amp;I1682)&gt;0,1,0),0))</f>
        <v/>
      </c>
      <c r="L1682" s="16" t="str">
        <f aca="false">IF(B1682="","",IF(A1682=_xlfn.MAXIFS($A$2:$A$5001,$B$2:$B$5001,B1682,$I$2:$I$5001,I1682),1,0))</f>
        <v/>
      </c>
    </row>
    <row r="1683" customFormat="false" ht="15" hidden="false" customHeight="false" outlineLevel="0" collapsed="false">
      <c r="I1683" s="15" t="str">
        <f aca="false">IF(A1683="","",INT(A1683))</f>
        <v/>
      </c>
      <c r="J1683" s="16" t="str">
        <f aca="false">IF(B1683="","",IF(A1683=_xlfn.MINIFS($A$2:$A$5001,$B$2:$B$5001,B1683),1,0))</f>
        <v/>
      </c>
      <c r="K1683" s="16" t="str">
        <f aca="false">IF(B1683="","",IF(AND(D1683="Formalização",E1683="Concluído"),IF(COUNTIFS($B$2:$B$5001,B1683,$E$2:$E$5001,"Em ajustes",$A$2:$A$5001,"&lt;"&amp;I1683)&gt;0,1,0),0))</f>
        <v/>
      </c>
      <c r="L1683" s="16" t="str">
        <f aca="false">IF(B1683="","",IF(A1683=_xlfn.MAXIFS($A$2:$A$5001,$B$2:$B$5001,B1683,$I$2:$I$5001,I1683),1,0))</f>
        <v/>
      </c>
    </row>
    <row r="1684" customFormat="false" ht="15" hidden="false" customHeight="false" outlineLevel="0" collapsed="false">
      <c r="I1684" s="15" t="str">
        <f aca="false">IF(A1684="","",INT(A1684))</f>
        <v/>
      </c>
      <c r="J1684" s="16" t="str">
        <f aca="false">IF(B1684="","",IF(A1684=_xlfn.MINIFS($A$2:$A$5001,$B$2:$B$5001,B1684),1,0))</f>
        <v/>
      </c>
      <c r="K1684" s="16" t="str">
        <f aca="false">IF(B1684="","",IF(AND(D1684="Formalização",E1684="Concluído"),IF(COUNTIFS($B$2:$B$5001,B1684,$E$2:$E$5001,"Em ajustes",$A$2:$A$5001,"&lt;"&amp;I1684)&gt;0,1,0),0))</f>
        <v/>
      </c>
      <c r="L1684" s="16" t="str">
        <f aca="false">IF(B1684="","",IF(A1684=_xlfn.MAXIFS($A$2:$A$5001,$B$2:$B$5001,B1684,$I$2:$I$5001,I1684),1,0))</f>
        <v/>
      </c>
    </row>
    <row r="1685" customFormat="false" ht="15" hidden="false" customHeight="false" outlineLevel="0" collapsed="false">
      <c r="I1685" s="15" t="str">
        <f aca="false">IF(A1685="","",INT(A1685))</f>
        <v/>
      </c>
      <c r="J1685" s="16" t="str">
        <f aca="false">IF(B1685="","",IF(A1685=_xlfn.MINIFS($A$2:$A$5001,$B$2:$B$5001,B1685),1,0))</f>
        <v/>
      </c>
      <c r="K1685" s="16" t="str">
        <f aca="false">IF(B1685="","",IF(AND(D1685="Formalização",E1685="Concluído"),IF(COUNTIFS($B$2:$B$5001,B1685,$E$2:$E$5001,"Em ajustes",$A$2:$A$5001,"&lt;"&amp;I1685)&gt;0,1,0),0))</f>
        <v/>
      </c>
      <c r="L1685" s="16" t="str">
        <f aca="false">IF(B1685="","",IF(A1685=_xlfn.MAXIFS($A$2:$A$5001,$B$2:$B$5001,B1685,$I$2:$I$5001,I1685),1,0))</f>
        <v/>
      </c>
    </row>
    <row r="1686" customFormat="false" ht="15" hidden="false" customHeight="false" outlineLevel="0" collapsed="false">
      <c r="I1686" s="15" t="str">
        <f aca="false">IF(A1686="","",INT(A1686))</f>
        <v/>
      </c>
      <c r="J1686" s="16" t="str">
        <f aca="false">IF(B1686="","",IF(A1686=_xlfn.MINIFS($A$2:$A$5001,$B$2:$B$5001,B1686),1,0))</f>
        <v/>
      </c>
      <c r="K1686" s="16" t="str">
        <f aca="false">IF(B1686="","",IF(AND(D1686="Formalização",E1686="Concluído"),IF(COUNTIFS($B$2:$B$5001,B1686,$E$2:$E$5001,"Em ajustes",$A$2:$A$5001,"&lt;"&amp;I1686)&gt;0,1,0),0))</f>
        <v/>
      </c>
      <c r="L1686" s="16" t="str">
        <f aca="false">IF(B1686="","",IF(A1686=_xlfn.MAXIFS($A$2:$A$5001,$B$2:$B$5001,B1686,$I$2:$I$5001,I1686),1,0))</f>
        <v/>
      </c>
    </row>
    <row r="1687" customFormat="false" ht="15" hidden="false" customHeight="false" outlineLevel="0" collapsed="false">
      <c r="I1687" s="15" t="str">
        <f aca="false">IF(A1687="","",INT(A1687))</f>
        <v/>
      </c>
      <c r="J1687" s="16" t="str">
        <f aca="false">IF(B1687="","",IF(A1687=_xlfn.MINIFS($A$2:$A$5001,$B$2:$B$5001,B1687),1,0))</f>
        <v/>
      </c>
      <c r="K1687" s="16" t="str">
        <f aca="false">IF(B1687="","",IF(AND(D1687="Formalização",E1687="Concluído"),IF(COUNTIFS($B$2:$B$5001,B1687,$E$2:$E$5001,"Em ajustes",$A$2:$A$5001,"&lt;"&amp;I1687)&gt;0,1,0),0))</f>
        <v/>
      </c>
      <c r="L1687" s="16" t="str">
        <f aca="false">IF(B1687="","",IF(A1687=_xlfn.MAXIFS($A$2:$A$5001,$B$2:$B$5001,B1687,$I$2:$I$5001,I1687),1,0))</f>
        <v/>
      </c>
    </row>
    <row r="1688" customFormat="false" ht="15" hidden="false" customHeight="false" outlineLevel="0" collapsed="false">
      <c r="I1688" s="15" t="str">
        <f aca="false">IF(A1688="","",INT(A1688))</f>
        <v/>
      </c>
      <c r="J1688" s="16" t="str">
        <f aca="false">IF(B1688="","",IF(A1688=_xlfn.MINIFS($A$2:$A$5001,$B$2:$B$5001,B1688),1,0))</f>
        <v/>
      </c>
      <c r="K1688" s="16" t="str">
        <f aca="false">IF(B1688="","",IF(AND(D1688="Formalização",E1688="Concluído"),IF(COUNTIFS($B$2:$B$5001,B1688,$E$2:$E$5001,"Em ajustes",$A$2:$A$5001,"&lt;"&amp;I1688)&gt;0,1,0),0))</f>
        <v/>
      </c>
      <c r="L1688" s="16" t="str">
        <f aca="false">IF(B1688="","",IF(A1688=_xlfn.MAXIFS($A$2:$A$5001,$B$2:$B$5001,B1688,$I$2:$I$5001,I1688),1,0))</f>
        <v/>
      </c>
    </row>
    <row r="1689" customFormat="false" ht="15" hidden="false" customHeight="false" outlineLevel="0" collapsed="false">
      <c r="I1689" s="15" t="str">
        <f aca="false">IF(A1689="","",INT(A1689))</f>
        <v/>
      </c>
      <c r="J1689" s="16" t="str">
        <f aca="false">IF(B1689="","",IF(A1689=_xlfn.MINIFS($A$2:$A$5001,$B$2:$B$5001,B1689),1,0))</f>
        <v/>
      </c>
      <c r="K1689" s="16" t="str">
        <f aca="false">IF(B1689="","",IF(AND(D1689="Formalização",E1689="Concluído"),IF(COUNTIFS($B$2:$B$5001,B1689,$E$2:$E$5001,"Em ajustes",$A$2:$A$5001,"&lt;"&amp;I1689)&gt;0,1,0),0))</f>
        <v/>
      </c>
      <c r="L1689" s="16" t="str">
        <f aca="false">IF(B1689="","",IF(A1689=_xlfn.MAXIFS($A$2:$A$5001,$B$2:$B$5001,B1689,$I$2:$I$5001,I1689),1,0))</f>
        <v/>
      </c>
    </row>
    <row r="1690" customFormat="false" ht="15" hidden="false" customHeight="false" outlineLevel="0" collapsed="false">
      <c r="I1690" s="15" t="str">
        <f aca="false">IF(A1690="","",INT(A1690))</f>
        <v/>
      </c>
      <c r="J1690" s="16" t="str">
        <f aca="false">IF(B1690="","",IF(A1690=_xlfn.MINIFS($A$2:$A$5001,$B$2:$B$5001,B1690),1,0))</f>
        <v/>
      </c>
      <c r="K1690" s="16" t="str">
        <f aca="false">IF(B1690="","",IF(AND(D1690="Formalização",E1690="Concluído"),IF(COUNTIFS($B$2:$B$5001,B1690,$E$2:$E$5001,"Em ajustes",$A$2:$A$5001,"&lt;"&amp;I1690)&gt;0,1,0),0))</f>
        <v/>
      </c>
      <c r="L1690" s="16" t="str">
        <f aca="false">IF(B1690="","",IF(A1690=_xlfn.MAXIFS($A$2:$A$5001,$B$2:$B$5001,B1690,$I$2:$I$5001,I1690),1,0))</f>
        <v/>
      </c>
    </row>
    <row r="1691" customFormat="false" ht="15" hidden="false" customHeight="false" outlineLevel="0" collapsed="false">
      <c r="I1691" s="15" t="str">
        <f aca="false">IF(A1691="","",INT(A1691))</f>
        <v/>
      </c>
      <c r="J1691" s="16" t="str">
        <f aca="false">IF(B1691="","",IF(A1691=_xlfn.MINIFS($A$2:$A$5001,$B$2:$B$5001,B1691),1,0))</f>
        <v/>
      </c>
      <c r="K1691" s="16" t="str">
        <f aca="false">IF(B1691="","",IF(AND(D1691="Formalização",E1691="Concluído"),IF(COUNTIFS($B$2:$B$5001,B1691,$E$2:$E$5001,"Em ajustes",$A$2:$A$5001,"&lt;"&amp;I1691)&gt;0,1,0),0))</f>
        <v/>
      </c>
      <c r="L1691" s="16" t="str">
        <f aca="false">IF(B1691="","",IF(A1691=_xlfn.MAXIFS($A$2:$A$5001,$B$2:$B$5001,B1691,$I$2:$I$5001,I1691),1,0))</f>
        <v/>
      </c>
    </row>
    <row r="1692" customFormat="false" ht="15" hidden="false" customHeight="false" outlineLevel="0" collapsed="false">
      <c r="I1692" s="15" t="str">
        <f aca="false">IF(A1692="","",INT(A1692))</f>
        <v/>
      </c>
      <c r="J1692" s="16" t="str">
        <f aca="false">IF(B1692="","",IF(A1692=_xlfn.MINIFS($A$2:$A$5001,$B$2:$B$5001,B1692),1,0))</f>
        <v/>
      </c>
      <c r="K1692" s="16" t="str">
        <f aca="false">IF(B1692="","",IF(AND(D1692="Formalização",E1692="Concluído"),IF(COUNTIFS($B$2:$B$5001,B1692,$E$2:$E$5001,"Em ajustes",$A$2:$A$5001,"&lt;"&amp;I1692)&gt;0,1,0),0))</f>
        <v/>
      </c>
      <c r="L1692" s="16" t="str">
        <f aca="false">IF(B1692="","",IF(A1692=_xlfn.MAXIFS($A$2:$A$5001,$B$2:$B$5001,B1692,$I$2:$I$5001,I1692),1,0))</f>
        <v/>
      </c>
    </row>
    <row r="1693" customFormat="false" ht="15" hidden="false" customHeight="false" outlineLevel="0" collapsed="false">
      <c r="I1693" s="15" t="str">
        <f aca="false">IF(A1693="","",INT(A1693))</f>
        <v/>
      </c>
      <c r="J1693" s="16" t="str">
        <f aca="false">IF(B1693="","",IF(A1693=_xlfn.MINIFS($A$2:$A$5001,$B$2:$B$5001,B1693),1,0))</f>
        <v/>
      </c>
      <c r="K1693" s="16" t="str">
        <f aca="false">IF(B1693="","",IF(AND(D1693="Formalização",E1693="Concluído"),IF(COUNTIFS($B$2:$B$5001,B1693,$E$2:$E$5001,"Em ajustes",$A$2:$A$5001,"&lt;"&amp;I1693)&gt;0,1,0),0))</f>
        <v/>
      </c>
      <c r="L1693" s="16" t="str">
        <f aca="false">IF(B1693="","",IF(A1693=_xlfn.MAXIFS($A$2:$A$5001,$B$2:$B$5001,B1693,$I$2:$I$5001,I1693),1,0))</f>
        <v/>
      </c>
    </row>
    <row r="1694" customFormat="false" ht="15" hidden="false" customHeight="false" outlineLevel="0" collapsed="false">
      <c r="I1694" s="15" t="str">
        <f aca="false">IF(A1694="","",INT(A1694))</f>
        <v/>
      </c>
      <c r="J1694" s="16" t="str">
        <f aca="false">IF(B1694="","",IF(A1694=_xlfn.MINIFS($A$2:$A$5001,$B$2:$B$5001,B1694),1,0))</f>
        <v/>
      </c>
      <c r="K1694" s="16" t="str">
        <f aca="false">IF(B1694="","",IF(AND(D1694="Formalização",E1694="Concluído"),IF(COUNTIFS($B$2:$B$5001,B1694,$E$2:$E$5001,"Em ajustes",$A$2:$A$5001,"&lt;"&amp;I1694)&gt;0,1,0),0))</f>
        <v/>
      </c>
      <c r="L1694" s="16" t="str">
        <f aca="false">IF(B1694="","",IF(A1694=_xlfn.MAXIFS($A$2:$A$5001,$B$2:$B$5001,B1694,$I$2:$I$5001,I1694),1,0))</f>
        <v/>
      </c>
    </row>
    <row r="1695" customFormat="false" ht="15" hidden="false" customHeight="false" outlineLevel="0" collapsed="false">
      <c r="I1695" s="15" t="str">
        <f aca="false">IF(A1695="","",INT(A1695))</f>
        <v/>
      </c>
      <c r="J1695" s="16" t="str">
        <f aca="false">IF(B1695="","",IF(A1695=_xlfn.MINIFS($A$2:$A$5001,$B$2:$B$5001,B1695),1,0))</f>
        <v/>
      </c>
      <c r="K1695" s="16" t="str">
        <f aca="false">IF(B1695="","",IF(AND(D1695="Formalização",E1695="Concluído"),IF(COUNTIFS($B$2:$B$5001,B1695,$E$2:$E$5001,"Em ajustes",$A$2:$A$5001,"&lt;"&amp;I1695)&gt;0,1,0),0))</f>
        <v/>
      </c>
      <c r="L1695" s="16" t="str">
        <f aca="false">IF(B1695="","",IF(A1695=_xlfn.MAXIFS($A$2:$A$5001,$B$2:$B$5001,B1695,$I$2:$I$5001,I1695),1,0))</f>
        <v/>
      </c>
    </row>
    <row r="1696" customFormat="false" ht="15" hidden="false" customHeight="false" outlineLevel="0" collapsed="false">
      <c r="I1696" s="15" t="str">
        <f aca="false">IF(A1696="","",INT(A1696))</f>
        <v/>
      </c>
      <c r="J1696" s="16" t="str">
        <f aca="false">IF(B1696="","",IF(A1696=_xlfn.MINIFS($A$2:$A$5001,$B$2:$B$5001,B1696),1,0))</f>
        <v/>
      </c>
      <c r="K1696" s="16" t="str">
        <f aca="false">IF(B1696="","",IF(AND(D1696="Formalização",E1696="Concluído"),IF(COUNTIFS($B$2:$B$5001,B1696,$E$2:$E$5001,"Em ajustes",$A$2:$A$5001,"&lt;"&amp;I1696)&gt;0,1,0),0))</f>
        <v/>
      </c>
      <c r="L1696" s="16" t="str">
        <f aca="false">IF(B1696="","",IF(A1696=_xlfn.MAXIFS($A$2:$A$5001,$B$2:$B$5001,B1696,$I$2:$I$5001,I1696),1,0))</f>
        <v/>
      </c>
    </row>
    <row r="1697" customFormat="false" ht="15" hidden="false" customHeight="false" outlineLevel="0" collapsed="false">
      <c r="I1697" s="15" t="str">
        <f aca="false">IF(A1697="","",INT(A1697))</f>
        <v/>
      </c>
      <c r="J1697" s="16" t="str">
        <f aca="false">IF(B1697="","",IF(A1697=_xlfn.MINIFS($A$2:$A$5001,$B$2:$B$5001,B1697),1,0))</f>
        <v/>
      </c>
      <c r="K1697" s="16" t="str">
        <f aca="false">IF(B1697="","",IF(AND(D1697="Formalização",E1697="Concluído"),IF(COUNTIFS($B$2:$B$5001,B1697,$E$2:$E$5001,"Em ajustes",$A$2:$A$5001,"&lt;"&amp;I1697)&gt;0,1,0),0))</f>
        <v/>
      </c>
      <c r="L1697" s="16" t="str">
        <f aca="false">IF(B1697="","",IF(A1697=_xlfn.MAXIFS($A$2:$A$5001,$B$2:$B$5001,B1697,$I$2:$I$5001,I1697),1,0))</f>
        <v/>
      </c>
    </row>
    <row r="1698" customFormat="false" ht="15" hidden="false" customHeight="false" outlineLevel="0" collapsed="false">
      <c r="I1698" s="15" t="str">
        <f aca="false">IF(A1698="","",INT(A1698))</f>
        <v/>
      </c>
      <c r="J1698" s="16" t="str">
        <f aca="false">IF(B1698="","",IF(A1698=_xlfn.MINIFS($A$2:$A$5001,$B$2:$B$5001,B1698),1,0))</f>
        <v/>
      </c>
      <c r="K1698" s="16" t="str">
        <f aca="false">IF(B1698="","",IF(AND(D1698="Formalização",E1698="Concluído"),IF(COUNTIFS($B$2:$B$5001,B1698,$E$2:$E$5001,"Em ajustes",$A$2:$A$5001,"&lt;"&amp;I1698)&gt;0,1,0),0))</f>
        <v/>
      </c>
      <c r="L1698" s="16" t="str">
        <f aca="false">IF(B1698="","",IF(A1698=_xlfn.MAXIFS($A$2:$A$5001,$B$2:$B$5001,B1698,$I$2:$I$5001,I1698),1,0))</f>
        <v/>
      </c>
    </row>
    <row r="1699" customFormat="false" ht="15" hidden="false" customHeight="false" outlineLevel="0" collapsed="false">
      <c r="I1699" s="15" t="str">
        <f aca="false">IF(A1699="","",INT(A1699))</f>
        <v/>
      </c>
      <c r="J1699" s="16" t="str">
        <f aca="false">IF(B1699="","",IF(A1699=_xlfn.MINIFS($A$2:$A$5001,$B$2:$B$5001,B1699),1,0))</f>
        <v/>
      </c>
      <c r="K1699" s="16" t="str">
        <f aca="false">IF(B1699="","",IF(AND(D1699="Formalização",E1699="Concluído"),IF(COUNTIFS($B$2:$B$5001,B1699,$E$2:$E$5001,"Em ajustes",$A$2:$A$5001,"&lt;"&amp;I1699)&gt;0,1,0),0))</f>
        <v/>
      </c>
      <c r="L1699" s="16" t="str">
        <f aca="false">IF(B1699="","",IF(A1699=_xlfn.MAXIFS($A$2:$A$5001,$B$2:$B$5001,B1699,$I$2:$I$5001,I1699),1,0))</f>
        <v/>
      </c>
    </row>
    <row r="1700" customFormat="false" ht="15" hidden="false" customHeight="false" outlineLevel="0" collapsed="false">
      <c r="I1700" s="15" t="str">
        <f aca="false">IF(A1700="","",INT(A1700))</f>
        <v/>
      </c>
      <c r="J1700" s="16" t="str">
        <f aca="false">IF(B1700="","",IF(A1700=_xlfn.MINIFS($A$2:$A$5001,$B$2:$B$5001,B1700),1,0))</f>
        <v/>
      </c>
      <c r="K1700" s="16" t="str">
        <f aca="false">IF(B1700="","",IF(AND(D1700="Formalização",E1700="Concluído"),IF(COUNTIFS($B$2:$B$5001,B1700,$E$2:$E$5001,"Em ajustes",$A$2:$A$5001,"&lt;"&amp;I1700)&gt;0,1,0),0))</f>
        <v/>
      </c>
      <c r="L1700" s="16" t="str">
        <f aca="false">IF(B1700="","",IF(A1700=_xlfn.MAXIFS($A$2:$A$5001,$B$2:$B$5001,B1700,$I$2:$I$5001,I1700),1,0))</f>
        <v/>
      </c>
    </row>
    <row r="1701" customFormat="false" ht="15" hidden="false" customHeight="false" outlineLevel="0" collapsed="false">
      <c r="I1701" s="15" t="str">
        <f aca="false">IF(A1701="","",INT(A1701))</f>
        <v/>
      </c>
      <c r="J1701" s="16" t="str">
        <f aca="false">IF(B1701="","",IF(A1701=_xlfn.MINIFS($A$2:$A$5001,$B$2:$B$5001,B1701),1,0))</f>
        <v/>
      </c>
      <c r="K1701" s="16" t="str">
        <f aca="false">IF(B1701="","",IF(AND(D1701="Formalização",E1701="Concluído"),IF(COUNTIFS($B$2:$B$5001,B1701,$E$2:$E$5001,"Em ajustes",$A$2:$A$5001,"&lt;"&amp;I1701)&gt;0,1,0),0))</f>
        <v/>
      </c>
      <c r="L1701" s="16" t="str">
        <f aca="false">IF(B1701="","",IF(A1701=_xlfn.MAXIFS($A$2:$A$5001,$B$2:$B$5001,B1701,$I$2:$I$5001,I1701),1,0))</f>
        <v/>
      </c>
    </row>
    <row r="1702" customFormat="false" ht="15" hidden="false" customHeight="false" outlineLevel="0" collapsed="false">
      <c r="I1702" s="15" t="str">
        <f aca="false">IF(A1702="","",INT(A1702))</f>
        <v/>
      </c>
      <c r="J1702" s="16" t="str">
        <f aca="false">IF(B1702="","",IF(A1702=_xlfn.MINIFS($A$2:$A$5001,$B$2:$B$5001,B1702),1,0))</f>
        <v/>
      </c>
      <c r="K1702" s="16" t="str">
        <f aca="false">IF(B1702="","",IF(AND(D1702="Formalização",E1702="Concluído"),IF(COUNTIFS($B$2:$B$5001,B1702,$E$2:$E$5001,"Em ajustes",$A$2:$A$5001,"&lt;"&amp;I1702)&gt;0,1,0),0))</f>
        <v/>
      </c>
      <c r="L1702" s="16" t="str">
        <f aca="false">IF(B1702="","",IF(A1702=_xlfn.MAXIFS($A$2:$A$5001,$B$2:$B$5001,B1702,$I$2:$I$5001,I1702),1,0))</f>
        <v/>
      </c>
    </row>
    <row r="1703" customFormat="false" ht="15" hidden="false" customHeight="false" outlineLevel="0" collapsed="false">
      <c r="I1703" s="15" t="str">
        <f aca="false">IF(A1703="","",INT(A1703))</f>
        <v/>
      </c>
      <c r="J1703" s="16" t="str">
        <f aca="false">IF(B1703="","",IF(A1703=_xlfn.MINIFS($A$2:$A$5001,$B$2:$B$5001,B1703),1,0))</f>
        <v/>
      </c>
      <c r="K1703" s="16" t="str">
        <f aca="false">IF(B1703="","",IF(AND(D1703="Formalização",E1703="Concluído"),IF(COUNTIFS($B$2:$B$5001,B1703,$E$2:$E$5001,"Em ajustes",$A$2:$A$5001,"&lt;"&amp;I1703)&gt;0,1,0),0))</f>
        <v/>
      </c>
      <c r="L1703" s="16" t="str">
        <f aca="false">IF(B1703="","",IF(A1703=_xlfn.MAXIFS($A$2:$A$5001,$B$2:$B$5001,B1703,$I$2:$I$5001,I1703),1,0))</f>
        <v/>
      </c>
    </row>
    <row r="1704" customFormat="false" ht="15" hidden="false" customHeight="false" outlineLevel="0" collapsed="false">
      <c r="I1704" s="15" t="str">
        <f aca="false">IF(A1704="","",INT(A1704))</f>
        <v/>
      </c>
      <c r="J1704" s="16" t="str">
        <f aca="false">IF(B1704="","",IF(A1704=_xlfn.MINIFS($A$2:$A$5001,$B$2:$B$5001,B1704),1,0))</f>
        <v/>
      </c>
      <c r="K1704" s="16" t="str">
        <f aca="false">IF(B1704="","",IF(AND(D1704="Formalização",E1704="Concluído"),IF(COUNTIFS($B$2:$B$5001,B1704,$E$2:$E$5001,"Em ajustes",$A$2:$A$5001,"&lt;"&amp;I1704)&gt;0,1,0),0))</f>
        <v/>
      </c>
      <c r="L1704" s="16" t="str">
        <f aca="false">IF(B1704="","",IF(A1704=_xlfn.MAXIFS($A$2:$A$5001,$B$2:$B$5001,B1704,$I$2:$I$5001,I1704),1,0))</f>
        <v/>
      </c>
    </row>
    <row r="1705" customFormat="false" ht="15" hidden="false" customHeight="false" outlineLevel="0" collapsed="false">
      <c r="I1705" s="15" t="str">
        <f aca="false">IF(A1705="","",INT(A1705))</f>
        <v/>
      </c>
      <c r="J1705" s="16" t="str">
        <f aca="false">IF(B1705="","",IF(A1705=_xlfn.MINIFS($A$2:$A$5001,$B$2:$B$5001,B1705),1,0))</f>
        <v/>
      </c>
      <c r="K1705" s="16" t="str">
        <f aca="false">IF(B1705="","",IF(AND(D1705="Formalização",E1705="Concluído"),IF(COUNTIFS($B$2:$B$5001,B1705,$E$2:$E$5001,"Em ajustes",$A$2:$A$5001,"&lt;"&amp;I1705)&gt;0,1,0),0))</f>
        <v/>
      </c>
      <c r="L1705" s="16" t="str">
        <f aca="false">IF(B1705="","",IF(A1705=_xlfn.MAXIFS($A$2:$A$5001,$B$2:$B$5001,B1705,$I$2:$I$5001,I1705),1,0))</f>
        <v/>
      </c>
    </row>
    <row r="1706" customFormat="false" ht="15" hidden="false" customHeight="false" outlineLevel="0" collapsed="false">
      <c r="I1706" s="15" t="str">
        <f aca="false">IF(A1706="","",INT(A1706))</f>
        <v/>
      </c>
      <c r="J1706" s="16" t="str">
        <f aca="false">IF(B1706="","",IF(A1706=_xlfn.MINIFS($A$2:$A$5001,$B$2:$B$5001,B1706),1,0))</f>
        <v/>
      </c>
      <c r="K1706" s="16" t="str">
        <f aca="false">IF(B1706="","",IF(AND(D1706="Formalização",E1706="Concluído"),IF(COUNTIFS($B$2:$B$5001,B1706,$E$2:$E$5001,"Em ajustes",$A$2:$A$5001,"&lt;"&amp;I1706)&gt;0,1,0),0))</f>
        <v/>
      </c>
      <c r="L1706" s="16" t="str">
        <f aca="false">IF(B1706="","",IF(A1706=_xlfn.MAXIFS($A$2:$A$5001,$B$2:$B$5001,B1706,$I$2:$I$5001,I1706),1,0))</f>
        <v/>
      </c>
    </row>
    <row r="1707" customFormat="false" ht="15" hidden="false" customHeight="false" outlineLevel="0" collapsed="false">
      <c r="I1707" s="15" t="str">
        <f aca="false">IF(A1707="","",INT(A1707))</f>
        <v/>
      </c>
      <c r="J1707" s="16" t="str">
        <f aca="false">IF(B1707="","",IF(A1707=_xlfn.MINIFS($A$2:$A$5001,$B$2:$B$5001,B1707),1,0))</f>
        <v/>
      </c>
      <c r="K1707" s="16" t="str">
        <f aca="false">IF(B1707="","",IF(AND(D1707="Formalização",E1707="Concluído"),IF(COUNTIFS($B$2:$B$5001,B1707,$E$2:$E$5001,"Em ajustes",$A$2:$A$5001,"&lt;"&amp;I1707)&gt;0,1,0),0))</f>
        <v/>
      </c>
      <c r="L1707" s="16" t="str">
        <f aca="false">IF(B1707="","",IF(A1707=_xlfn.MAXIFS($A$2:$A$5001,$B$2:$B$5001,B1707,$I$2:$I$5001,I1707),1,0))</f>
        <v/>
      </c>
    </row>
    <row r="1708" customFormat="false" ht="15" hidden="false" customHeight="false" outlineLevel="0" collapsed="false">
      <c r="I1708" s="15" t="str">
        <f aca="false">IF(A1708="","",INT(A1708))</f>
        <v/>
      </c>
      <c r="J1708" s="16" t="str">
        <f aca="false">IF(B1708="","",IF(A1708=_xlfn.MINIFS($A$2:$A$5001,$B$2:$B$5001,B1708),1,0))</f>
        <v/>
      </c>
      <c r="K1708" s="16" t="str">
        <f aca="false">IF(B1708="","",IF(AND(D1708="Formalização",E1708="Concluído"),IF(COUNTIFS($B$2:$B$5001,B1708,$E$2:$E$5001,"Em ajustes",$A$2:$A$5001,"&lt;"&amp;I1708)&gt;0,1,0),0))</f>
        <v/>
      </c>
      <c r="L1708" s="16" t="str">
        <f aca="false">IF(B1708="","",IF(A1708=_xlfn.MAXIFS($A$2:$A$5001,$B$2:$B$5001,B1708,$I$2:$I$5001,I1708),1,0))</f>
        <v/>
      </c>
    </row>
    <row r="1709" customFormat="false" ht="15" hidden="false" customHeight="false" outlineLevel="0" collapsed="false">
      <c r="I1709" s="15" t="str">
        <f aca="false">IF(A1709="","",INT(A1709))</f>
        <v/>
      </c>
      <c r="J1709" s="16" t="str">
        <f aca="false">IF(B1709="","",IF(A1709=_xlfn.MINIFS($A$2:$A$5001,$B$2:$B$5001,B1709),1,0))</f>
        <v/>
      </c>
      <c r="K1709" s="16" t="str">
        <f aca="false">IF(B1709="","",IF(AND(D1709="Formalização",E1709="Concluído"),IF(COUNTIFS($B$2:$B$5001,B1709,$E$2:$E$5001,"Em ajustes",$A$2:$A$5001,"&lt;"&amp;I1709)&gt;0,1,0),0))</f>
        <v/>
      </c>
      <c r="L1709" s="16" t="str">
        <f aca="false">IF(B1709="","",IF(A1709=_xlfn.MAXIFS($A$2:$A$5001,$B$2:$B$5001,B1709,$I$2:$I$5001,I1709),1,0))</f>
        <v/>
      </c>
    </row>
    <row r="1710" customFormat="false" ht="15" hidden="false" customHeight="false" outlineLevel="0" collapsed="false">
      <c r="I1710" s="15" t="str">
        <f aca="false">IF(A1710="","",INT(A1710))</f>
        <v/>
      </c>
      <c r="J1710" s="16" t="str">
        <f aca="false">IF(B1710="","",IF(A1710=_xlfn.MINIFS($A$2:$A$5001,$B$2:$B$5001,B1710),1,0))</f>
        <v/>
      </c>
      <c r="K1710" s="16" t="str">
        <f aca="false">IF(B1710="","",IF(AND(D1710="Formalização",E1710="Concluído"),IF(COUNTIFS($B$2:$B$5001,B1710,$E$2:$E$5001,"Em ajustes",$A$2:$A$5001,"&lt;"&amp;I1710)&gt;0,1,0),0))</f>
        <v/>
      </c>
      <c r="L1710" s="16" t="str">
        <f aca="false">IF(B1710="","",IF(A1710=_xlfn.MAXIFS($A$2:$A$5001,$B$2:$B$5001,B1710,$I$2:$I$5001,I1710),1,0))</f>
        <v/>
      </c>
    </row>
    <row r="1711" customFormat="false" ht="15" hidden="false" customHeight="false" outlineLevel="0" collapsed="false">
      <c r="I1711" s="15" t="str">
        <f aca="false">IF(A1711="","",INT(A1711))</f>
        <v/>
      </c>
      <c r="J1711" s="16" t="str">
        <f aca="false">IF(B1711="","",IF(A1711=_xlfn.MINIFS($A$2:$A$5001,$B$2:$B$5001,B1711),1,0))</f>
        <v/>
      </c>
      <c r="K1711" s="16" t="str">
        <f aca="false">IF(B1711="","",IF(AND(D1711="Formalização",E1711="Concluído"),IF(COUNTIFS($B$2:$B$5001,B1711,$E$2:$E$5001,"Em ajustes",$A$2:$A$5001,"&lt;"&amp;I1711)&gt;0,1,0),0))</f>
        <v/>
      </c>
      <c r="L1711" s="16" t="str">
        <f aca="false">IF(B1711="","",IF(A1711=_xlfn.MAXIFS($A$2:$A$5001,$B$2:$B$5001,B1711,$I$2:$I$5001,I1711),1,0))</f>
        <v/>
      </c>
    </row>
    <row r="1712" customFormat="false" ht="15" hidden="false" customHeight="false" outlineLevel="0" collapsed="false">
      <c r="I1712" s="15" t="str">
        <f aca="false">IF(A1712="","",INT(A1712))</f>
        <v/>
      </c>
      <c r="J1712" s="16" t="str">
        <f aca="false">IF(B1712="","",IF(A1712=_xlfn.MINIFS($A$2:$A$5001,$B$2:$B$5001,B1712),1,0))</f>
        <v/>
      </c>
      <c r="K1712" s="16" t="str">
        <f aca="false">IF(B1712="","",IF(AND(D1712="Formalização",E1712="Concluído"),IF(COUNTIFS($B$2:$B$5001,B1712,$E$2:$E$5001,"Em ajustes",$A$2:$A$5001,"&lt;"&amp;I1712)&gt;0,1,0),0))</f>
        <v/>
      </c>
      <c r="L1712" s="16" t="str">
        <f aca="false">IF(B1712="","",IF(A1712=_xlfn.MAXIFS($A$2:$A$5001,$B$2:$B$5001,B1712,$I$2:$I$5001,I1712),1,0))</f>
        <v/>
      </c>
    </row>
    <row r="1713" customFormat="false" ht="15" hidden="false" customHeight="false" outlineLevel="0" collapsed="false">
      <c r="I1713" s="15" t="str">
        <f aca="false">IF(A1713="","",INT(A1713))</f>
        <v/>
      </c>
      <c r="J1713" s="16" t="str">
        <f aca="false">IF(B1713="","",IF(A1713=_xlfn.MINIFS($A$2:$A$5001,$B$2:$B$5001,B1713),1,0))</f>
        <v/>
      </c>
      <c r="K1713" s="16" t="str">
        <f aca="false">IF(B1713="","",IF(AND(D1713="Formalização",E1713="Concluído"),IF(COUNTIFS($B$2:$B$5001,B1713,$E$2:$E$5001,"Em ajustes",$A$2:$A$5001,"&lt;"&amp;I1713)&gt;0,1,0),0))</f>
        <v/>
      </c>
      <c r="L1713" s="16" t="str">
        <f aca="false">IF(B1713="","",IF(A1713=_xlfn.MAXIFS($A$2:$A$5001,$B$2:$B$5001,B1713,$I$2:$I$5001,I1713),1,0))</f>
        <v/>
      </c>
    </row>
    <row r="1714" customFormat="false" ht="15" hidden="false" customHeight="false" outlineLevel="0" collapsed="false">
      <c r="I1714" s="15" t="str">
        <f aca="false">IF(A1714="","",INT(A1714))</f>
        <v/>
      </c>
      <c r="J1714" s="16" t="str">
        <f aca="false">IF(B1714="","",IF(A1714=_xlfn.MINIFS($A$2:$A$5001,$B$2:$B$5001,B1714),1,0))</f>
        <v/>
      </c>
      <c r="K1714" s="16" t="str">
        <f aca="false">IF(B1714="","",IF(AND(D1714="Formalização",E1714="Concluído"),IF(COUNTIFS($B$2:$B$5001,B1714,$E$2:$E$5001,"Em ajustes",$A$2:$A$5001,"&lt;"&amp;I1714)&gt;0,1,0),0))</f>
        <v/>
      </c>
      <c r="L1714" s="16" t="str">
        <f aca="false">IF(B1714="","",IF(A1714=_xlfn.MAXIFS($A$2:$A$5001,$B$2:$B$5001,B1714,$I$2:$I$5001,I1714),1,0))</f>
        <v/>
      </c>
    </row>
    <row r="1715" customFormat="false" ht="15" hidden="false" customHeight="false" outlineLevel="0" collapsed="false">
      <c r="I1715" s="15" t="str">
        <f aca="false">IF(A1715="","",INT(A1715))</f>
        <v/>
      </c>
      <c r="J1715" s="16" t="str">
        <f aca="false">IF(B1715="","",IF(A1715=_xlfn.MINIFS($A$2:$A$5001,$B$2:$B$5001,B1715),1,0))</f>
        <v/>
      </c>
      <c r="K1715" s="16" t="str">
        <f aca="false">IF(B1715="","",IF(AND(D1715="Formalização",E1715="Concluído"),IF(COUNTIFS($B$2:$B$5001,B1715,$E$2:$E$5001,"Em ajustes",$A$2:$A$5001,"&lt;"&amp;I1715)&gt;0,1,0),0))</f>
        <v/>
      </c>
      <c r="L1715" s="16" t="str">
        <f aca="false">IF(B1715="","",IF(A1715=_xlfn.MAXIFS($A$2:$A$5001,$B$2:$B$5001,B1715,$I$2:$I$5001,I1715),1,0))</f>
        <v/>
      </c>
    </row>
    <row r="1716" customFormat="false" ht="15" hidden="false" customHeight="false" outlineLevel="0" collapsed="false">
      <c r="I1716" s="15" t="str">
        <f aca="false">IF(A1716="","",INT(A1716))</f>
        <v/>
      </c>
      <c r="J1716" s="16" t="str">
        <f aca="false">IF(B1716="","",IF(A1716=_xlfn.MINIFS($A$2:$A$5001,$B$2:$B$5001,B1716),1,0))</f>
        <v/>
      </c>
      <c r="K1716" s="16" t="str">
        <f aca="false">IF(B1716="","",IF(AND(D1716="Formalização",E1716="Concluído"),IF(COUNTIFS($B$2:$B$5001,B1716,$E$2:$E$5001,"Em ajustes",$A$2:$A$5001,"&lt;"&amp;I1716)&gt;0,1,0),0))</f>
        <v/>
      </c>
      <c r="L1716" s="16" t="str">
        <f aca="false">IF(B1716="","",IF(A1716=_xlfn.MAXIFS($A$2:$A$5001,$B$2:$B$5001,B1716,$I$2:$I$5001,I1716),1,0))</f>
        <v/>
      </c>
    </row>
    <row r="1717" customFormat="false" ht="15" hidden="false" customHeight="false" outlineLevel="0" collapsed="false">
      <c r="I1717" s="15" t="str">
        <f aca="false">IF(A1717="","",INT(A1717))</f>
        <v/>
      </c>
      <c r="J1717" s="16" t="str">
        <f aca="false">IF(B1717="","",IF(A1717=_xlfn.MINIFS($A$2:$A$5001,$B$2:$B$5001,B1717),1,0))</f>
        <v/>
      </c>
      <c r="K1717" s="16" t="str">
        <f aca="false">IF(B1717="","",IF(AND(D1717="Formalização",E1717="Concluído"),IF(COUNTIFS($B$2:$B$5001,B1717,$E$2:$E$5001,"Em ajustes",$A$2:$A$5001,"&lt;"&amp;I1717)&gt;0,1,0),0))</f>
        <v/>
      </c>
      <c r="L1717" s="16" t="str">
        <f aca="false">IF(B1717="","",IF(A1717=_xlfn.MAXIFS($A$2:$A$5001,$B$2:$B$5001,B1717,$I$2:$I$5001,I1717),1,0))</f>
        <v/>
      </c>
    </row>
    <row r="1718" customFormat="false" ht="15" hidden="false" customHeight="false" outlineLevel="0" collapsed="false">
      <c r="I1718" s="15" t="str">
        <f aca="false">IF(A1718="","",INT(A1718))</f>
        <v/>
      </c>
      <c r="J1718" s="16" t="str">
        <f aca="false">IF(B1718="","",IF(A1718=_xlfn.MINIFS($A$2:$A$5001,$B$2:$B$5001,B1718),1,0))</f>
        <v/>
      </c>
      <c r="K1718" s="16" t="str">
        <f aca="false">IF(B1718="","",IF(AND(D1718="Formalização",E1718="Concluído"),IF(COUNTIFS($B$2:$B$5001,B1718,$E$2:$E$5001,"Em ajustes",$A$2:$A$5001,"&lt;"&amp;I1718)&gt;0,1,0),0))</f>
        <v/>
      </c>
      <c r="L1718" s="16" t="str">
        <f aca="false">IF(B1718="","",IF(A1718=_xlfn.MAXIFS($A$2:$A$5001,$B$2:$B$5001,B1718,$I$2:$I$5001,I1718),1,0))</f>
        <v/>
      </c>
    </row>
    <row r="1719" customFormat="false" ht="15" hidden="false" customHeight="false" outlineLevel="0" collapsed="false">
      <c r="I1719" s="15" t="str">
        <f aca="false">IF(A1719="","",INT(A1719))</f>
        <v/>
      </c>
      <c r="J1719" s="16" t="str">
        <f aca="false">IF(B1719="","",IF(A1719=_xlfn.MINIFS($A$2:$A$5001,$B$2:$B$5001,B1719),1,0))</f>
        <v/>
      </c>
      <c r="K1719" s="16" t="str">
        <f aca="false">IF(B1719="","",IF(AND(D1719="Formalização",E1719="Concluído"),IF(COUNTIFS($B$2:$B$5001,B1719,$E$2:$E$5001,"Em ajustes",$A$2:$A$5001,"&lt;"&amp;I1719)&gt;0,1,0),0))</f>
        <v/>
      </c>
      <c r="L1719" s="16" t="str">
        <f aca="false">IF(B1719="","",IF(A1719=_xlfn.MAXIFS($A$2:$A$5001,$B$2:$B$5001,B1719,$I$2:$I$5001,I1719),1,0))</f>
        <v/>
      </c>
    </row>
    <row r="1720" customFormat="false" ht="15" hidden="false" customHeight="false" outlineLevel="0" collapsed="false">
      <c r="I1720" s="15" t="str">
        <f aca="false">IF(A1720="","",INT(A1720))</f>
        <v/>
      </c>
      <c r="J1720" s="16" t="str">
        <f aca="false">IF(B1720="","",IF(A1720=_xlfn.MINIFS($A$2:$A$5001,$B$2:$B$5001,B1720),1,0))</f>
        <v/>
      </c>
      <c r="K1720" s="16" t="str">
        <f aca="false">IF(B1720="","",IF(AND(D1720="Formalização",E1720="Concluído"),IF(COUNTIFS($B$2:$B$5001,B1720,$E$2:$E$5001,"Em ajustes",$A$2:$A$5001,"&lt;"&amp;I1720)&gt;0,1,0),0))</f>
        <v/>
      </c>
      <c r="L1720" s="16" t="str">
        <f aca="false">IF(B1720="","",IF(A1720=_xlfn.MAXIFS($A$2:$A$5001,$B$2:$B$5001,B1720,$I$2:$I$5001,I1720),1,0))</f>
        <v/>
      </c>
    </row>
    <row r="1721" customFormat="false" ht="15" hidden="false" customHeight="false" outlineLevel="0" collapsed="false">
      <c r="I1721" s="15" t="str">
        <f aca="false">IF(A1721="","",INT(A1721))</f>
        <v/>
      </c>
      <c r="J1721" s="16" t="str">
        <f aca="false">IF(B1721="","",IF(A1721=_xlfn.MINIFS($A$2:$A$5001,$B$2:$B$5001,B1721),1,0))</f>
        <v/>
      </c>
      <c r="K1721" s="16" t="str">
        <f aca="false">IF(B1721="","",IF(AND(D1721="Formalização",E1721="Concluído"),IF(COUNTIFS($B$2:$B$5001,B1721,$E$2:$E$5001,"Em ajustes",$A$2:$A$5001,"&lt;"&amp;I1721)&gt;0,1,0),0))</f>
        <v/>
      </c>
      <c r="L1721" s="16" t="str">
        <f aca="false">IF(B1721="","",IF(A1721=_xlfn.MAXIFS($A$2:$A$5001,$B$2:$B$5001,B1721,$I$2:$I$5001,I1721),1,0))</f>
        <v/>
      </c>
    </row>
    <row r="1722" customFormat="false" ht="15" hidden="false" customHeight="false" outlineLevel="0" collapsed="false">
      <c r="I1722" s="15" t="str">
        <f aca="false">IF(A1722="","",INT(A1722))</f>
        <v/>
      </c>
      <c r="J1722" s="16" t="str">
        <f aca="false">IF(B1722="","",IF(A1722=_xlfn.MINIFS($A$2:$A$5001,$B$2:$B$5001,B1722),1,0))</f>
        <v/>
      </c>
      <c r="K1722" s="16" t="str">
        <f aca="false">IF(B1722="","",IF(AND(D1722="Formalização",E1722="Concluído"),IF(COUNTIFS($B$2:$B$5001,B1722,$E$2:$E$5001,"Em ajustes",$A$2:$A$5001,"&lt;"&amp;I1722)&gt;0,1,0),0))</f>
        <v/>
      </c>
      <c r="L1722" s="16" t="str">
        <f aca="false">IF(B1722="","",IF(A1722=_xlfn.MAXIFS($A$2:$A$5001,$B$2:$B$5001,B1722,$I$2:$I$5001,I1722),1,0))</f>
        <v/>
      </c>
    </row>
    <row r="1723" customFormat="false" ht="15" hidden="false" customHeight="false" outlineLevel="0" collapsed="false">
      <c r="I1723" s="15" t="str">
        <f aca="false">IF(A1723="","",INT(A1723))</f>
        <v/>
      </c>
      <c r="J1723" s="16" t="str">
        <f aca="false">IF(B1723="","",IF(A1723=_xlfn.MINIFS($A$2:$A$5001,$B$2:$B$5001,B1723),1,0))</f>
        <v/>
      </c>
      <c r="K1723" s="16" t="str">
        <f aca="false">IF(B1723="","",IF(AND(D1723="Formalização",E1723="Concluído"),IF(COUNTIFS($B$2:$B$5001,B1723,$E$2:$E$5001,"Em ajustes",$A$2:$A$5001,"&lt;"&amp;I1723)&gt;0,1,0),0))</f>
        <v/>
      </c>
      <c r="L1723" s="16" t="str">
        <f aca="false">IF(B1723="","",IF(A1723=_xlfn.MAXIFS($A$2:$A$5001,$B$2:$B$5001,B1723,$I$2:$I$5001,I1723),1,0))</f>
        <v/>
      </c>
    </row>
    <row r="1724" customFormat="false" ht="15" hidden="false" customHeight="false" outlineLevel="0" collapsed="false">
      <c r="I1724" s="15" t="str">
        <f aca="false">IF(A1724="","",INT(A1724))</f>
        <v/>
      </c>
      <c r="J1724" s="16" t="str">
        <f aca="false">IF(B1724="","",IF(A1724=_xlfn.MINIFS($A$2:$A$5001,$B$2:$B$5001,B1724),1,0))</f>
        <v/>
      </c>
      <c r="K1724" s="16" t="str">
        <f aca="false">IF(B1724="","",IF(AND(D1724="Formalização",E1724="Concluído"),IF(COUNTIFS($B$2:$B$5001,B1724,$E$2:$E$5001,"Em ajustes",$A$2:$A$5001,"&lt;"&amp;I1724)&gt;0,1,0),0))</f>
        <v/>
      </c>
      <c r="L1724" s="16" t="str">
        <f aca="false">IF(B1724="","",IF(A1724=_xlfn.MAXIFS($A$2:$A$5001,$B$2:$B$5001,B1724,$I$2:$I$5001,I1724),1,0))</f>
        <v/>
      </c>
    </row>
    <row r="1725" customFormat="false" ht="15" hidden="false" customHeight="false" outlineLevel="0" collapsed="false">
      <c r="I1725" s="15" t="str">
        <f aca="false">IF(A1725="","",INT(A1725))</f>
        <v/>
      </c>
      <c r="J1725" s="16" t="str">
        <f aca="false">IF(B1725="","",IF(A1725=_xlfn.MINIFS($A$2:$A$5001,$B$2:$B$5001,B1725),1,0))</f>
        <v/>
      </c>
      <c r="K1725" s="16" t="str">
        <f aca="false">IF(B1725="","",IF(AND(D1725="Formalização",E1725="Concluído"),IF(COUNTIFS($B$2:$B$5001,B1725,$E$2:$E$5001,"Em ajustes",$A$2:$A$5001,"&lt;"&amp;I1725)&gt;0,1,0),0))</f>
        <v/>
      </c>
      <c r="L1725" s="16" t="str">
        <f aca="false">IF(B1725="","",IF(A1725=_xlfn.MAXIFS($A$2:$A$5001,$B$2:$B$5001,B1725,$I$2:$I$5001,I1725),1,0))</f>
        <v/>
      </c>
    </row>
    <row r="1726" customFormat="false" ht="15" hidden="false" customHeight="false" outlineLevel="0" collapsed="false">
      <c r="I1726" s="15" t="str">
        <f aca="false">IF(A1726="","",INT(A1726))</f>
        <v/>
      </c>
      <c r="J1726" s="16" t="str">
        <f aca="false">IF(B1726="","",IF(A1726=_xlfn.MINIFS($A$2:$A$5001,$B$2:$B$5001,B1726),1,0))</f>
        <v/>
      </c>
      <c r="K1726" s="16" t="str">
        <f aca="false">IF(B1726="","",IF(AND(D1726="Formalização",E1726="Concluído"),IF(COUNTIFS($B$2:$B$5001,B1726,$E$2:$E$5001,"Em ajustes",$A$2:$A$5001,"&lt;"&amp;I1726)&gt;0,1,0),0))</f>
        <v/>
      </c>
      <c r="L1726" s="16" t="str">
        <f aca="false">IF(B1726="","",IF(A1726=_xlfn.MAXIFS($A$2:$A$5001,$B$2:$B$5001,B1726,$I$2:$I$5001,I1726),1,0))</f>
        <v/>
      </c>
    </row>
    <row r="1727" customFormat="false" ht="15" hidden="false" customHeight="false" outlineLevel="0" collapsed="false">
      <c r="I1727" s="15" t="str">
        <f aca="false">IF(A1727="","",INT(A1727))</f>
        <v/>
      </c>
      <c r="J1727" s="16" t="str">
        <f aca="false">IF(B1727="","",IF(A1727=_xlfn.MINIFS($A$2:$A$5001,$B$2:$B$5001,B1727),1,0))</f>
        <v/>
      </c>
      <c r="K1727" s="16" t="str">
        <f aca="false">IF(B1727="","",IF(AND(D1727="Formalização",E1727="Concluído"),IF(COUNTIFS($B$2:$B$5001,B1727,$E$2:$E$5001,"Em ajustes",$A$2:$A$5001,"&lt;"&amp;I1727)&gt;0,1,0),0))</f>
        <v/>
      </c>
      <c r="L1727" s="16" t="str">
        <f aca="false">IF(B1727="","",IF(A1727=_xlfn.MAXIFS($A$2:$A$5001,$B$2:$B$5001,B1727,$I$2:$I$5001,I1727),1,0))</f>
        <v/>
      </c>
    </row>
    <row r="1728" customFormat="false" ht="15" hidden="false" customHeight="false" outlineLevel="0" collapsed="false">
      <c r="I1728" s="15" t="str">
        <f aca="false">IF(A1728="","",INT(A1728))</f>
        <v/>
      </c>
      <c r="J1728" s="16" t="str">
        <f aca="false">IF(B1728="","",IF(A1728=_xlfn.MINIFS($A$2:$A$5001,$B$2:$B$5001,B1728),1,0))</f>
        <v/>
      </c>
      <c r="K1728" s="16" t="str">
        <f aca="false">IF(B1728="","",IF(AND(D1728="Formalização",E1728="Concluído"),IF(COUNTIFS($B$2:$B$5001,B1728,$E$2:$E$5001,"Em ajustes",$A$2:$A$5001,"&lt;"&amp;I1728)&gt;0,1,0),0))</f>
        <v/>
      </c>
      <c r="L1728" s="16" t="str">
        <f aca="false">IF(B1728="","",IF(A1728=_xlfn.MAXIFS($A$2:$A$5001,$B$2:$B$5001,B1728,$I$2:$I$5001,I1728),1,0))</f>
        <v/>
      </c>
    </row>
    <row r="1729" customFormat="false" ht="15" hidden="false" customHeight="false" outlineLevel="0" collapsed="false">
      <c r="I1729" s="15" t="str">
        <f aca="false">IF(A1729="","",INT(A1729))</f>
        <v/>
      </c>
      <c r="J1729" s="16" t="str">
        <f aca="false">IF(B1729="","",IF(A1729=_xlfn.MINIFS($A$2:$A$5001,$B$2:$B$5001,B1729),1,0))</f>
        <v/>
      </c>
      <c r="K1729" s="16" t="str">
        <f aca="false">IF(B1729="","",IF(AND(D1729="Formalização",E1729="Concluído"),IF(COUNTIFS($B$2:$B$5001,B1729,$E$2:$E$5001,"Em ajustes",$A$2:$A$5001,"&lt;"&amp;I1729)&gt;0,1,0),0))</f>
        <v/>
      </c>
      <c r="L1729" s="16" t="str">
        <f aca="false">IF(B1729="","",IF(A1729=_xlfn.MAXIFS($A$2:$A$5001,$B$2:$B$5001,B1729,$I$2:$I$5001,I1729),1,0))</f>
        <v/>
      </c>
    </row>
    <row r="1730" customFormat="false" ht="15" hidden="false" customHeight="false" outlineLevel="0" collapsed="false">
      <c r="I1730" s="15" t="str">
        <f aca="false">IF(A1730="","",INT(A1730))</f>
        <v/>
      </c>
      <c r="J1730" s="16" t="str">
        <f aca="false">IF(B1730="","",IF(A1730=_xlfn.MINIFS($A$2:$A$5001,$B$2:$B$5001,B1730),1,0))</f>
        <v/>
      </c>
      <c r="K1730" s="16" t="str">
        <f aca="false">IF(B1730="","",IF(AND(D1730="Formalização",E1730="Concluído"),IF(COUNTIFS($B$2:$B$5001,B1730,$E$2:$E$5001,"Em ajustes",$A$2:$A$5001,"&lt;"&amp;I1730)&gt;0,1,0),0))</f>
        <v/>
      </c>
      <c r="L1730" s="16" t="str">
        <f aca="false">IF(B1730="","",IF(A1730=_xlfn.MAXIFS($A$2:$A$5001,$B$2:$B$5001,B1730,$I$2:$I$5001,I1730),1,0))</f>
        <v/>
      </c>
    </row>
    <row r="1731" customFormat="false" ht="15" hidden="false" customHeight="false" outlineLevel="0" collapsed="false">
      <c r="I1731" s="15" t="str">
        <f aca="false">IF(A1731="","",INT(A1731))</f>
        <v/>
      </c>
      <c r="J1731" s="16" t="str">
        <f aca="false">IF(B1731="","",IF(A1731=_xlfn.MINIFS($A$2:$A$5001,$B$2:$B$5001,B1731),1,0))</f>
        <v/>
      </c>
      <c r="K1731" s="16" t="str">
        <f aca="false">IF(B1731="","",IF(AND(D1731="Formalização",E1731="Concluído"),IF(COUNTIFS($B$2:$B$5001,B1731,$E$2:$E$5001,"Em ajustes",$A$2:$A$5001,"&lt;"&amp;I1731)&gt;0,1,0),0))</f>
        <v/>
      </c>
      <c r="L1731" s="16" t="str">
        <f aca="false">IF(B1731="","",IF(A1731=_xlfn.MAXIFS($A$2:$A$5001,$B$2:$B$5001,B1731,$I$2:$I$5001,I1731),1,0))</f>
        <v/>
      </c>
    </row>
    <row r="1732" customFormat="false" ht="15" hidden="false" customHeight="false" outlineLevel="0" collapsed="false">
      <c r="I1732" s="15" t="str">
        <f aca="false">IF(A1732="","",INT(A1732))</f>
        <v/>
      </c>
      <c r="J1732" s="16" t="str">
        <f aca="false">IF(B1732="","",IF(A1732=_xlfn.MINIFS($A$2:$A$5001,$B$2:$B$5001,B1732),1,0))</f>
        <v/>
      </c>
      <c r="K1732" s="16" t="str">
        <f aca="false">IF(B1732="","",IF(AND(D1732="Formalização",E1732="Concluído"),IF(COUNTIFS($B$2:$B$5001,B1732,$E$2:$E$5001,"Em ajustes",$A$2:$A$5001,"&lt;"&amp;I1732)&gt;0,1,0),0))</f>
        <v/>
      </c>
      <c r="L1732" s="16" t="str">
        <f aca="false">IF(B1732="","",IF(A1732=_xlfn.MAXIFS($A$2:$A$5001,$B$2:$B$5001,B1732,$I$2:$I$5001,I1732),1,0))</f>
        <v/>
      </c>
    </row>
    <row r="1733" customFormat="false" ht="15" hidden="false" customHeight="false" outlineLevel="0" collapsed="false">
      <c r="I1733" s="15" t="str">
        <f aca="false">IF(A1733="","",INT(A1733))</f>
        <v/>
      </c>
      <c r="J1733" s="16" t="str">
        <f aca="false">IF(B1733="","",IF(A1733=_xlfn.MINIFS($A$2:$A$5001,$B$2:$B$5001,B1733),1,0))</f>
        <v/>
      </c>
      <c r="K1733" s="16" t="str">
        <f aca="false">IF(B1733="","",IF(AND(D1733="Formalização",E1733="Concluído"),IF(COUNTIFS($B$2:$B$5001,B1733,$E$2:$E$5001,"Em ajustes",$A$2:$A$5001,"&lt;"&amp;I1733)&gt;0,1,0),0))</f>
        <v/>
      </c>
      <c r="L1733" s="16" t="str">
        <f aca="false">IF(B1733="","",IF(A1733=_xlfn.MAXIFS($A$2:$A$5001,$B$2:$B$5001,B1733,$I$2:$I$5001,I1733),1,0))</f>
        <v/>
      </c>
    </row>
    <row r="1734" customFormat="false" ht="15" hidden="false" customHeight="false" outlineLevel="0" collapsed="false">
      <c r="I1734" s="15" t="str">
        <f aca="false">IF(A1734="","",INT(A1734))</f>
        <v/>
      </c>
      <c r="J1734" s="16" t="str">
        <f aca="false">IF(B1734="","",IF(A1734=_xlfn.MINIFS($A$2:$A$5001,$B$2:$B$5001,B1734),1,0))</f>
        <v/>
      </c>
      <c r="K1734" s="16" t="str">
        <f aca="false">IF(B1734="","",IF(AND(D1734="Formalização",E1734="Concluído"),IF(COUNTIFS($B$2:$B$5001,B1734,$E$2:$E$5001,"Em ajustes",$A$2:$A$5001,"&lt;"&amp;I1734)&gt;0,1,0),0))</f>
        <v/>
      </c>
      <c r="L1734" s="16" t="str">
        <f aca="false">IF(B1734="","",IF(A1734=_xlfn.MAXIFS($A$2:$A$5001,$B$2:$B$5001,B1734,$I$2:$I$5001,I1734),1,0))</f>
        <v/>
      </c>
    </row>
    <row r="1735" customFormat="false" ht="15" hidden="false" customHeight="false" outlineLevel="0" collapsed="false">
      <c r="I1735" s="15" t="str">
        <f aca="false">IF(A1735="","",INT(A1735))</f>
        <v/>
      </c>
      <c r="J1735" s="16" t="str">
        <f aca="false">IF(B1735="","",IF(A1735=_xlfn.MINIFS($A$2:$A$5001,$B$2:$B$5001,B1735),1,0))</f>
        <v/>
      </c>
      <c r="K1735" s="16" t="str">
        <f aca="false">IF(B1735="","",IF(AND(D1735="Formalização",E1735="Concluído"),IF(COUNTIFS($B$2:$B$5001,B1735,$E$2:$E$5001,"Em ajustes",$A$2:$A$5001,"&lt;"&amp;I1735)&gt;0,1,0),0))</f>
        <v/>
      </c>
      <c r="L1735" s="16" t="str">
        <f aca="false">IF(B1735="","",IF(A1735=_xlfn.MAXIFS($A$2:$A$5001,$B$2:$B$5001,B1735,$I$2:$I$5001,I1735),1,0))</f>
        <v/>
      </c>
    </row>
    <row r="1736" customFormat="false" ht="15" hidden="false" customHeight="false" outlineLevel="0" collapsed="false">
      <c r="I1736" s="15" t="str">
        <f aca="false">IF(A1736="","",INT(A1736))</f>
        <v/>
      </c>
      <c r="J1736" s="16" t="str">
        <f aca="false">IF(B1736="","",IF(A1736=_xlfn.MINIFS($A$2:$A$5001,$B$2:$B$5001,B1736),1,0))</f>
        <v/>
      </c>
      <c r="K1736" s="16" t="str">
        <f aca="false">IF(B1736="","",IF(AND(D1736="Formalização",E1736="Concluído"),IF(COUNTIFS($B$2:$B$5001,B1736,$E$2:$E$5001,"Em ajustes",$A$2:$A$5001,"&lt;"&amp;I1736)&gt;0,1,0),0))</f>
        <v/>
      </c>
      <c r="L1736" s="16" t="str">
        <f aca="false">IF(B1736="","",IF(A1736=_xlfn.MAXIFS($A$2:$A$5001,$B$2:$B$5001,B1736,$I$2:$I$5001,I1736),1,0))</f>
        <v/>
      </c>
    </row>
    <row r="1737" customFormat="false" ht="15" hidden="false" customHeight="false" outlineLevel="0" collapsed="false">
      <c r="I1737" s="15" t="str">
        <f aca="false">IF(A1737="","",INT(A1737))</f>
        <v/>
      </c>
      <c r="J1737" s="16" t="str">
        <f aca="false">IF(B1737="","",IF(A1737=_xlfn.MINIFS($A$2:$A$5001,$B$2:$B$5001,B1737),1,0))</f>
        <v/>
      </c>
      <c r="K1737" s="16" t="str">
        <f aca="false">IF(B1737="","",IF(AND(D1737="Formalização",E1737="Concluído"),IF(COUNTIFS($B$2:$B$5001,B1737,$E$2:$E$5001,"Em ajustes",$A$2:$A$5001,"&lt;"&amp;I1737)&gt;0,1,0),0))</f>
        <v/>
      </c>
      <c r="L1737" s="16" t="str">
        <f aca="false">IF(B1737="","",IF(A1737=_xlfn.MAXIFS($A$2:$A$5001,$B$2:$B$5001,B1737,$I$2:$I$5001,I1737),1,0))</f>
        <v/>
      </c>
    </row>
    <row r="1738" customFormat="false" ht="15" hidden="false" customHeight="false" outlineLevel="0" collapsed="false">
      <c r="I1738" s="15" t="str">
        <f aca="false">IF(A1738="","",INT(A1738))</f>
        <v/>
      </c>
      <c r="J1738" s="16" t="str">
        <f aca="false">IF(B1738="","",IF(A1738=_xlfn.MINIFS($A$2:$A$5001,$B$2:$B$5001,B1738),1,0))</f>
        <v/>
      </c>
      <c r="K1738" s="16" t="str">
        <f aca="false">IF(B1738="","",IF(AND(D1738="Formalização",E1738="Concluído"),IF(COUNTIFS($B$2:$B$5001,B1738,$E$2:$E$5001,"Em ajustes",$A$2:$A$5001,"&lt;"&amp;I1738)&gt;0,1,0),0))</f>
        <v/>
      </c>
      <c r="L1738" s="16" t="str">
        <f aca="false">IF(B1738="","",IF(A1738=_xlfn.MAXIFS($A$2:$A$5001,$B$2:$B$5001,B1738,$I$2:$I$5001,I1738),1,0))</f>
        <v/>
      </c>
    </row>
    <row r="1739" customFormat="false" ht="15" hidden="false" customHeight="false" outlineLevel="0" collapsed="false">
      <c r="I1739" s="15" t="str">
        <f aca="false">IF(A1739="","",INT(A1739))</f>
        <v/>
      </c>
      <c r="J1739" s="16" t="str">
        <f aca="false">IF(B1739="","",IF(A1739=_xlfn.MINIFS($A$2:$A$5001,$B$2:$B$5001,B1739),1,0))</f>
        <v/>
      </c>
      <c r="K1739" s="16" t="str">
        <f aca="false">IF(B1739="","",IF(AND(D1739="Formalização",E1739="Concluído"),IF(COUNTIFS($B$2:$B$5001,B1739,$E$2:$E$5001,"Em ajustes",$A$2:$A$5001,"&lt;"&amp;I1739)&gt;0,1,0),0))</f>
        <v/>
      </c>
      <c r="L1739" s="16" t="str">
        <f aca="false">IF(B1739="","",IF(A1739=_xlfn.MAXIFS($A$2:$A$5001,$B$2:$B$5001,B1739,$I$2:$I$5001,I1739),1,0))</f>
        <v/>
      </c>
    </row>
    <row r="1740" customFormat="false" ht="15" hidden="false" customHeight="false" outlineLevel="0" collapsed="false">
      <c r="I1740" s="15" t="str">
        <f aca="false">IF(A1740="","",INT(A1740))</f>
        <v/>
      </c>
      <c r="J1740" s="16" t="str">
        <f aca="false">IF(B1740="","",IF(A1740=_xlfn.MINIFS($A$2:$A$5001,$B$2:$B$5001,B1740),1,0))</f>
        <v/>
      </c>
      <c r="K1740" s="16" t="str">
        <f aca="false">IF(B1740="","",IF(AND(D1740="Formalização",E1740="Concluído"),IF(COUNTIFS($B$2:$B$5001,B1740,$E$2:$E$5001,"Em ajustes",$A$2:$A$5001,"&lt;"&amp;I1740)&gt;0,1,0),0))</f>
        <v/>
      </c>
      <c r="L1740" s="16" t="str">
        <f aca="false">IF(B1740="","",IF(A1740=_xlfn.MAXIFS($A$2:$A$5001,$B$2:$B$5001,B1740,$I$2:$I$5001,I1740),1,0))</f>
        <v/>
      </c>
    </row>
    <row r="1741" customFormat="false" ht="15" hidden="false" customHeight="false" outlineLevel="0" collapsed="false">
      <c r="I1741" s="15" t="str">
        <f aca="false">IF(A1741="","",INT(A1741))</f>
        <v/>
      </c>
      <c r="J1741" s="16" t="str">
        <f aca="false">IF(B1741="","",IF(A1741=_xlfn.MINIFS($A$2:$A$5001,$B$2:$B$5001,B1741),1,0))</f>
        <v/>
      </c>
      <c r="K1741" s="16" t="str">
        <f aca="false">IF(B1741="","",IF(AND(D1741="Formalização",E1741="Concluído"),IF(COUNTIFS($B$2:$B$5001,B1741,$E$2:$E$5001,"Em ajustes",$A$2:$A$5001,"&lt;"&amp;I1741)&gt;0,1,0),0))</f>
        <v/>
      </c>
      <c r="L1741" s="16" t="str">
        <f aca="false">IF(B1741="","",IF(A1741=_xlfn.MAXIFS($A$2:$A$5001,$B$2:$B$5001,B1741,$I$2:$I$5001,I1741),1,0))</f>
        <v/>
      </c>
    </row>
    <row r="1742" customFormat="false" ht="15" hidden="false" customHeight="false" outlineLevel="0" collapsed="false">
      <c r="I1742" s="15" t="str">
        <f aca="false">IF(A1742="","",INT(A1742))</f>
        <v/>
      </c>
      <c r="J1742" s="16" t="str">
        <f aca="false">IF(B1742="","",IF(A1742=_xlfn.MINIFS($A$2:$A$5001,$B$2:$B$5001,B1742),1,0))</f>
        <v/>
      </c>
      <c r="K1742" s="16" t="str">
        <f aca="false">IF(B1742="","",IF(AND(D1742="Formalização",E1742="Concluído"),IF(COUNTIFS($B$2:$B$5001,B1742,$E$2:$E$5001,"Em ajustes",$A$2:$A$5001,"&lt;"&amp;I1742)&gt;0,1,0),0))</f>
        <v/>
      </c>
      <c r="L1742" s="16" t="str">
        <f aca="false">IF(B1742="","",IF(A1742=_xlfn.MAXIFS($A$2:$A$5001,$B$2:$B$5001,B1742,$I$2:$I$5001,I1742),1,0))</f>
        <v/>
      </c>
    </row>
    <row r="1743" customFormat="false" ht="15" hidden="false" customHeight="false" outlineLevel="0" collapsed="false">
      <c r="I1743" s="15" t="str">
        <f aca="false">IF(A1743="","",INT(A1743))</f>
        <v/>
      </c>
      <c r="J1743" s="16" t="str">
        <f aca="false">IF(B1743="","",IF(A1743=_xlfn.MINIFS($A$2:$A$5001,$B$2:$B$5001,B1743),1,0))</f>
        <v/>
      </c>
      <c r="K1743" s="16" t="str">
        <f aca="false">IF(B1743="","",IF(AND(D1743="Formalização",E1743="Concluído"),IF(COUNTIFS($B$2:$B$5001,B1743,$E$2:$E$5001,"Em ajustes",$A$2:$A$5001,"&lt;"&amp;I1743)&gt;0,1,0),0))</f>
        <v/>
      </c>
      <c r="L1743" s="16" t="str">
        <f aca="false">IF(B1743="","",IF(A1743=_xlfn.MAXIFS($A$2:$A$5001,$B$2:$B$5001,B1743,$I$2:$I$5001,I1743),1,0))</f>
        <v/>
      </c>
    </row>
    <row r="1744" customFormat="false" ht="15" hidden="false" customHeight="false" outlineLevel="0" collapsed="false">
      <c r="I1744" s="15" t="str">
        <f aca="false">IF(A1744="","",INT(A1744))</f>
        <v/>
      </c>
      <c r="J1744" s="16" t="str">
        <f aca="false">IF(B1744="","",IF(A1744=_xlfn.MINIFS($A$2:$A$5001,$B$2:$B$5001,B1744),1,0))</f>
        <v/>
      </c>
      <c r="K1744" s="16" t="str">
        <f aca="false">IF(B1744="","",IF(AND(D1744="Formalização",E1744="Concluído"),IF(COUNTIFS($B$2:$B$5001,B1744,$E$2:$E$5001,"Em ajustes",$A$2:$A$5001,"&lt;"&amp;I1744)&gt;0,1,0),0))</f>
        <v/>
      </c>
      <c r="L1744" s="16" t="str">
        <f aca="false">IF(B1744="","",IF(A1744=_xlfn.MAXIFS($A$2:$A$5001,$B$2:$B$5001,B1744,$I$2:$I$5001,I1744),1,0))</f>
        <v/>
      </c>
    </row>
    <row r="1745" customFormat="false" ht="15" hidden="false" customHeight="false" outlineLevel="0" collapsed="false">
      <c r="I1745" s="15" t="str">
        <f aca="false">IF(A1745="","",INT(A1745))</f>
        <v/>
      </c>
      <c r="J1745" s="16" t="str">
        <f aca="false">IF(B1745="","",IF(A1745=_xlfn.MINIFS($A$2:$A$5001,$B$2:$B$5001,B1745),1,0))</f>
        <v/>
      </c>
      <c r="K1745" s="16" t="str">
        <f aca="false">IF(B1745="","",IF(AND(D1745="Formalização",E1745="Concluído"),IF(COUNTIFS($B$2:$B$5001,B1745,$E$2:$E$5001,"Em ajustes",$A$2:$A$5001,"&lt;"&amp;I1745)&gt;0,1,0),0))</f>
        <v/>
      </c>
      <c r="L1745" s="16" t="str">
        <f aca="false">IF(B1745="","",IF(A1745=_xlfn.MAXIFS($A$2:$A$5001,$B$2:$B$5001,B1745,$I$2:$I$5001,I1745),1,0))</f>
        <v/>
      </c>
    </row>
    <row r="1746" customFormat="false" ht="15" hidden="false" customHeight="false" outlineLevel="0" collapsed="false">
      <c r="I1746" s="15" t="str">
        <f aca="false">IF(A1746="","",INT(A1746))</f>
        <v/>
      </c>
      <c r="J1746" s="16" t="str">
        <f aca="false">IF(B1746="","",IF(A1746=_xlfn.MINIFS($A$2:$A$5001,$B$2:$B$5001,B1746),1,0))</f>
        <v/>
      </c>
      <c r="K1746" s="16" t="str">
        <f aca="false">IF(B1746="","",IF(AND(D1746="Formalização",E1746="Concluído"),IF(COUNTIFS($B$2:$B$5001,B1746,$E$2:$E$5001,"Em ajustes",$A$2:$A$5001,"&lt;"&amp;I1746)&gt;0,1,0),0))</f>
        <v/>
      </c>
      <c r="L1746" s="16" t="str">
        <f aca="false">IF(B1746="","",IF(A1746=_xlfn.MAXIFS($A$2:$A$5001,$B$2:$B$5001,B1746,$I$2:$I$5001,I1746),1,0))</f>
        <v/>
      </c>
    </row>
    <row r="1747" customFormat="false" ht="15" hidden="false" customHeight="false" outlineLevel="0" collapsed="false">
      <c r="I1747" s="15" t="str">
        <f aca="false">IF(A1747="","",INT(A1747))</f>
        <v/>
      </c>
      <c r="J1747" s="16" t="str">
        <f aca="false">IF(B1747="","",IF(A1747=_xlfn.MINIFS($A$2:$A$5001,$B$2:$B$5001,B1747),1,0))</f>
        <v/>
      </c>
      <c r="K1747" s="16" t="str">
        <f aca="false">IF(B1747="","",IF(AND(D1747="Formalização",E1747="Concluído"),IF(COUNTIFS($B$2:$B$5001,B1747,$E$2:$E$5001,"Em ajustes",$A$2:$A$5001,"&lt;"&amp;I1747)&gt;0,1,0),0))</f>
        <v/>
      </c>
      <c r="L1747" s="16" t="str">
        <f aca="false">IF(B1747="","",IF(A1747=_xlfn.MAXIFS($A$2:$A$5001,$B$2:$B$5001,B1747,$I$2:$I$5001,I1747),1,0))</f>
        <v/>
      </c>
    </row>
    <row r="1748" customFormat="false" ht="15" hidden="false" customHeight="false" outlineLevel="0" collapsed="false">
      <c r="I1748" s="15" t="str">
        <f aca="false">IF(A1748="","",INT(A1748))</f>
        <v/>
      </c>
      <c r="J1748" s="16" t="str">
        <f aca="false">IF(B1748="","",IF(A1748=_xlfn.MINIFS($A$2:$A$5001,$B$2:$B$5001,B1748),1,0))</f>
        <v/>
      </c>
      <c r="K1748" s="16" t="str">
        <f aca="false">IF(B1748="","",IF(AND(D1748="Formalização",E1748="Concluído"),IF(COUNTIFS($B$2:$B$5001,B1748,$E$2:$E$5001,"Em ajustes",$A$2:$A$5001,"&lt;"&amp;I1748)&gt;0,1,0),0))</f>
        <v/>
      </c>
      <c r="L1748" s="16" t="str">
        <f aca="false">IF(B1748="","",IF(A1748=_xlfn.MAXIFS($A$2:$A$5001,$B$2:$B$5001,B1748,$I$2:$I$5001,I1748),1,0))</f>
        <v/>
      </c>
    </row>
    <row r="1749" customFormat="false" ht="15" hidden="false" customHeight="false" outlineLevel="0" collapsed="false">
      <c r="I1749" s="15" t="str">
        <f aca="false">IF(A1749="","",INT(A1749))</f>
        <v/>
      </c>
      <c r="J1749" s="16" t="str">
        <f aca="false">IF(B1749="","",IF(A1749=_xlfn.MINIFS($A$2:$A$5001,$B$2:$B$5001,B1749),1,0))</f>
        <v/>
      </c>
      <c r="K1749" s="16" t="str">
        <f aca="false">IF(B1749="","",IF(AND(D1749="Formalização",E1749="Concluído"),IF(COUNTIFS($B$2:$B$5001,B1749,$E$2:$E$5001,"Em ajustes",$A$2:$A$5001,"&lt;"&amp;I1749)&gt;0,1,0),0))</f>
        <v/>
      </c>
      <c r="L1749" s="16" t="str">
        <f aca="false">IF(B1749="","",IF(A1749=_xlfn.MAXIFS($A$2:$A$5001,$B$2:$B$5001,B1749,$I$2:$I$5001,I1749),1,0))</f>
        <v/>
      </c>
    </row>
    <row r="1750" customFormat="false" ht="15" hidden="false" customHeight="false" outlineLevel="0" collapsed="false">
      <c r="I1750" s="15" t="str">
        <f aca="false">IF(A1750="","",INT(A1750))</f>
        <v/>
      </c>
      <c r="J1750" s="16" t="str">
        <f aca="false">IF(B1750="","",IF(A1750=_xlfn.MINIFS($A$2:$A$5001,$B$2:$B$5001,B1750),1,0))</f>
        <v/>
      </c>
      <c r="K1750" s="16" t="str">
        <f aca="false">IF(B1750="","",IF(AND(D1750="Formalização",E1750="Concluído"),IF(COUNTIFS($B$2:$B$5001,B1750,$E$2:$E$5001,"Em ajustes",$A$2:$A$5001,"&lt;"&amp;I1750)&gt;0,1,0),0))</f>
        <v/>
      </c>
      <c r="L1750" s="16" t="str">
        <f aca="false">IF(B1750="","",IF(A1750=_xlfn.MAXIFS($A$2:$A$5001,$B$2:$B$5001,B1750,$I$2:$I$5001,I1750),1,0))</f>
        <v/>
      </c>
    </row>
    <row r="1751" customFormat="false" ht="15" hidden="false" customHeight="false" outlineLevel="0" collapsed="false">
      <c r="I1751" s="15" t="str">
        <f aca="false">IF(A1751="","",INT(A1751))</f>
        <v/>
      </c>
      <c r="J1751" s="16" t="str">
        <f aca="false">IF(B1751="","",IF(A1751=_xlfn.MINIFS($A$2:$A$5001,$B$2:$B$5001,B1751),1,0))</f>
        <v/>
      </c>
      <c r="K1751" s="16" t="str">
        <f aca="false">IF(B1751="","",IF(AND(D1751="Formalização",E1751="Concluído"),IF(COUNTIFS($B$2:$B$5001,B1751,$E$2:$E$5001,"Em ajustes",$A$2:$A$5001,"&lt;"&amp;I1751)&gt;0,1,0),0))</f>
        <v/>
      </c>
      <c r="L1751" s="16" t="str">
        <f aca="false">IF(B1751="","",IF(A1751=_xlfn.MAXIFS($A$2:$A$5001,$B$2:$B$5001,B1751,$I$2:$I$5001,I1751),1,0))</f>
        <v/>
      </c>
    </row>
    <row r="1752" customFormat="false" ht="15" hidden="false" customHeight="false" outlineLevel="0" collapsed="false">
      <c r="I1752" s="15" t="str">
        <f aca="false">IF(A1752="","",INT(A1752))</f>
        <v/>
      </c>
      <c r="J1752" s="16" t="str">
        <f aca="false">IF(B1752="","",IF(A1752=_xlfn.MINIFS($A$2:$A$5001,$B$2:$B$5001,B1752),1,0))</f>
        <v/>
      </c>
      <c r="K1752" s="16" t="str">
        <f aca="false">IF(B1752="","",IF(AND(D1752="Formalização",E1752="Concluído"),IF(COUNTIFS($B$2:$B$5001,B1752,$E$2:$E$5001,"Em ajustes",$A$2:$A$5001,"&lt;"&amp;I1752)&gt;0,1,0),0))</f>
        <v/>
      </c>
      <c r="L1752" s="16" t="str">
        <f aca="false">IF(B1752="","",IF(A1752=_xlfn.MAXIFS($A$2:$A$5001,$B$2:$B$5001,B1752,$I$2:$I$5001,I1752),1,0))</f>
        <v/>
      </c>
    </row>
    <row r="1753" customFormat="false" ht="15" hidden="false" customHeight="false" outlineLevel="0" collapsed="false">
      <c r="I1753" s="15" t="str">
        <f aca="false">IF(A1753="","",INT(A1753))</f>
        <v/>
      </c>
      <c r="J1753" s="16" t="str">
        <f aca="false">IF(B1753="","",IF(A1753=_xlfn.MINIFS($A$2:$A$5001,$B$2:$B$5001,B1753),1,0))</f>
        <v/>
      </c>
      <c r="K1753" s="16" t="str">
        <f aca="false">IF(B1753="","",IF(AND(D1753="Formalização",E1753="Concluído"),IF(COUNTIFS($B$2:$B$5001,B1753,$E$2:$E$5001,"Em ajustes",$A$2:$A$5001,"&lt;"&amp;I1753)&gt;0,1,0),0))</f>
        <v/>
      </c>
      <c r="L1753" s="16" t="str">
        <f aca="false">IF(B1753="","",IF(A1753=_xlfn.MAXIFS($A$2:$A$5001,$B$2:$B$5001,B1753,$I$2:$I$5001,I1753),1,0))</f>
        <v/>
      </c>
    </row>
    <row r="1754" customFormat="false" ht="15" hidden="false" customHeight="false" outlineLevel="0" collapsed="false">
      <c r="I1754" s="15" t="str">
        <f aca="false">IF(A1754="","",INT(A1754))</f>
        <v/>
      </c>
      <c r="J1754" s="16" t="str">
        <f aca="false">IF(B1754="","",IF(A1754=_xlfn.MINIFS($A$2:$A$5001,$B$2:$B$5001,B1754),1,0))</f>
        <v/>
      </c>
      <c r="K1754" s="16" t="str">
        <f aca="false">IF(B1754="","",IF(AND(D1754="Formalização",E1754="Concluído"),IF(COUNTIFS($B$2:$B$5001,B1754,$E$2:$E$5001,"Em ajustes",$A$2:$A$5001,"&lt;"&amp;I1754)&gt;0,1,0),0))</f>
        <v/>
      </c>
      <c r="L1754" s="16" t="str">
        <f aca="false">IF(B1754="","",IF(A1754=_xlfn.MAXIFS($A$2:$A$5001,$B$2:$B$5001,B1754,$I$2:$I$5001,I1754),1,0))</f>
        <v/>
      </c>
    </row>
    <row r="1755" customFormat="false" ht="15" hidden="false" customHeight="false" outlineLevel="0" collapsed="false">
      <c r="I1755" s="15" t="str">
        <f aca="false">IF(A1755="","",INT(A1755))</f>
        <v/>
      </c>
      <c r="J1755" s="16" t="str">
        <f aca="false">IF(B1755="","",IF(A1755=_xlfn.MINIFS($A$2:$A$5001,$B$2:$B$5001,B1755),1,0))</f>
        <v/>
      </c>
      <c r="K1755" s="16" t="str">
        <f aca="false">IF(B1755="","",IF(AND(D1755="Formalização",E1755="Concluído"),IF(COUNTIFS($B$2:$B$5001,B1755,$E$2:$E$5001,"Em ajustes",$A$2:$A$5001,"&lt;"&amp;I1755)&gt;0,1,0),0))</f>
        <v/>
      </c>
      <c r="L1755" s="16" t="str">
        <f aca="false">IF(B1755="","",IF(A1755=_xlfn.MAXIFS($A$2:$A$5001,$B$2:$B$5001,B1755,$I$2:$I$5001,I1755),1,0))</f>
        <v/>
      </c>
    </row>
    <row r="1756" customFormat="false" ht="15" hidden="false" customHeight="false" outlineLevel="0" collapsed="false">
      <c r="I1756" s="15" t="str">
        <f aca="false">IF(A1756="","",INT(A1756))</f>
        <v/>
      </c>
      <c r="J1756" s="16" t="str">
        <f aca="false">IF(B1756="","",IF(A1756=_xlfn.MINIFS($A$2:$A$5001,$B$2:$B$5001,B1756),1,0))</f>
        <v/>
      </c>
      <c r="K1756" s="16" t="str">
        <f aca="false">IF(B1756="","",IF(AND(D1756="Formalização",E1756="Concluído"),IF(COUNTIFS($B$2:$B$5001,B1756,$E$2:$E$5001,"Em ajustes",$A$2:$A$5001,"&lt;"&amp;I1756)&gt;0,1,0),0))</f>
        <v/>
      </c>
      <c r="L1756" s="16" t="str">
        <f aca="false">IF(B1756="","",IF(A1756=_xlfn.MAXIFS($A$2:$A$5001,$B$2:$B$5001,B1756,$I$2:$I$5001,I1756),1,0))</f>
        <v/>
      </c>
    </row>
    <row r="1757" customFormat="false" ht="15" hidden="false" customHeight="false" outlineLevel="0" collapsed="false">
      <c r="I1757" s="15" t="str">
        <f aca="false">IF(A1757="","",INT(A1757))</f>
        <v/>
      </c>
      <c r="J1757" s="16" t="str">
        <f aca="false">IF(B1757="","",IF(A1757=_xlfn.MINIFS($A$2:$A$5001,$B$2:$B$5001,B1757),1,0))</f>
        <v/>
      </c>
      <c r="K1757" s="16" t="str">
        <f aca="false">IF(B1757="","",IF(AND(D1757="Formalização",E1757="Concluído"),IF(COUNTIFS($B$2:$B$5001,B1757,$E$2:$E$5001,"Em ajustes",$A$2:$A$5001,"&lt;"&amp;I1757)&gt;0,1,0),0))</f>
        <v/>
      </c>
      <c r="L1757" s="16" t="str">
        <f aca="false">IF(B1757="","",IF(A1757=_xlfn.MAXIFS($A$2:$A$5001,$B$2:$B$5001,B1757,$I$2:$I$5001,I1757),1,0))</f>
        <v/>
      </c>
    </row>
    <row r="1758" customFormat="false" ht="15" hidden="false" customHeight="false" outlineLevel="0" collapsed="false">
      <c r="I1758" s="15" t="str">
        <f aca="false">IF(A1758="","",INT(A1758))</f>
        <v/>
      </c>
      <c r="J1758" s="16" t="str">
        <f aca="false">IF(B1758="","",IF(A1758=_xlfn.MINIFS($A$2:$A$5001,$B$2:$B$5001,B1758),1,0))</f>
        <v/>
      </c>
      <c r="K1758" s="16" t="str">
        <f aca="false">IF(B1758="","",IF(AND(D1758="Formalização",E1758="Concluído"),IF(COUNTIFS($B$2:$B$5001,B1758,$E$2:$E$5001,"Em ajustes",$A$2:$A$5001,"&lt;"&amp;I1758)&gt;0,1,0),0))</f>
        <v/>
      </c>
      <c r="L1758" s="16" t="str">
        <f aca="false">IF(B1758="","",IF(A1758=_xlfn.MAXIFS($A$2:$A$5001,$B$2:$B$5001,B1758,$I$2:$I$5001,I1758),1,0))</f>
        <v/>
      </c>
    </row>
    <row r="1759" customFormat="false" ht="15" hidden="false" customHeight="false" outlineLevel="0" collapsed="false">
      <c r="I1759" s="15" t="str">
        <f aca="false">IF(A1759="","",INT(A1759))</f>
        <v/>
      </c>
      <c r="J1759" s="16" t="str">
        <f aca="false">IF(B1759="","",IF(A1759=_xlfn.MINIFS($A$2:$A$5001,$B$2:$B$5001,B1759),1,0))</f>
        <v/>
      </c>
      <c r="K1759" s="16" t="str">
        <f aca="false">IF(B1759="","",IF(AND(D1759="Formalização",E1759="Concluído"),IF(COUNTIFS($B$2:$B$5001,B1759,$E$2:$E$5001,"Em ajustes",$A$2:$A$5001,"&lt;"&amp;I1759)&gt;0,1,0),0))</f>
        <v/>
      </c>
      <c r="L1759" s="16" t="str">
        <f aca="false">IF(B1759="","",IF(A1759=_xlfn.MAXIFS($A$2:$A$5001,$B$2:$B$5001,B1759,$I$2:$I$5001,I1759),1,0))</f>
        <v/>
      </c>
    </row>
    <row r="1760" customFormat="false" ht="15" hidden="false" customHeight="false" outlineLevel="0" collapsed="false">
      <c r="I1760" s="15" t="str">
        <f aca="false">IF(A1760="","",INT(A1760))</f>
        <v/>
      </c>
      <c r="J1760" s="16" t="str">
        <f aca="false">IF(B1760="","",IF(A1760=_xlfn.MINIFS($A$2:$A$5001,$B$2:$B$5001,B1760),1,0))</f>
        <v/>
      </c>
      <c r="K1760" s="16" t="str">
        <f aca="false">IF(B1760="","",IF(AND(D1760="Formalização",E1760="Concluído"),IF(COUNTIFS($B$2:$B$5001,B1760,$E$2:$E$5001,"Em ajustes",$A$2:$A$5001,"&lt;"&amp;I1760)&gt;0,1,0),0))</f>
        <v/>
      </c>
      <c r="L1760" s="16" t="str">
        <f aca="false">IF(B1760="","",IF(A1760=_xlfn.MAXIFS($A$2:$A$5001,$B$2:$B$5001,B1760,$I$2:$I$5001,I1760),1,0))</f>
        <v/>
      </c>
    </row>
    <row r="1761" customFormat="false" ht="15" hidden="false" customHeight="false" outlineLevel="0" collapsed="false">
      <c r="I1761" s="15" t="str">
        <f aca="false">IF(A1761="","",INT(A1761))</f>
        <v/>
      </c>
      <c r="J1761" s="16" t="str">
        <f aca="false">IF(B1761="","",IF(A1761=_xlfn.MINIFS($A$2:$A$5001,$B$2:$B$5001,B1761),1,0))</f>
        <v/>
      </c>
      <c r="K1761" s="16" t="str">
        <f aca="false">IF(B1761="","",IF(AND(D1761="Formalização",E1761="Concluído"),IF(COUNTIFS($B$2:$B$5001,B1761,$E$2:$E$5001,"Em ajustes",$A$2:$A$5001,"&lt;"&amp;I1761)&gt;0,1,0),0))</f>
        <v/>
      </c>
      <c r="L1761" s="16" t="str">
        <f aca="false">IF(B1761="","",IF(A1761=_xlfn.MAXIFS($A$2:$A$5001,$B$2:$B$5001,B1761,$I$2:$I$5001,I1761),1,0))</f>
        <v/>
      </c>
    </row>
    <row r="1762" customFormat="false" ht="15" hidden="false" customHeight="false" outlineLevel="0" collapsed="false">
      <c r="I1762" s="15" t="str">
        <f aca="false">IF(A1762="","",INT(A1762))</f>
        <v/>
      </c>
      <c r="J1762" s="16" t="str">
        <f aca="false">IF(B1762="","",IF(A1762=_xlfn.MINIFS($A$2:$A$5001,$B$2:$B$5001,B1762),1,0))</f>
        <v/>
      </c>
      <c r="K1762" s="16" t="str">
        <f aca="false">IF(B1762="","",IF(AND(D1762="Formalização",E1762="Concluído"),IF(COUNTIFS($B$2:$B$5001,B1762,$E$2:$E$5001,"Em ajustes",$A$2:$A$5001,"&lt;"&amp;I1762)&gt;0,1,0),0))</f>
        <v/>
      </c>
      <c r="L1762" s="16" t="str">
        <f aca="false">IF(B1762="","",IF(A1762=_xlfn.MAXIFS($A$2:$A$5001,$B$2:$B$5001,B1762,$I$2:$I$5001,I1762),1,0))</f>
        <v/>
      </c>
    </row>
    <row r="1763" customFormat="false" ht="15" hidden="false" customHeight="false" outlineLevel="0" collapsed="false">
      <c r="I1763" s="15" t="str">
        <f aca="false">IF(A1763="","",INT(A1763))</f>
        <v/>
      </c>
      <c r="J1763" s="16" t="str">
        <f aca="false">IF(B1763="","",IF(A1763=_xlfn.MINIFS($A$2:$A$5001,$B$2:$B$5001,B1763),1,0))</f>
        <v/>
      </c>
      <c r="K1763" s="16" t="str">
        <f aca="false">IF(B1763="","",IF(AND(D1763="Formalização",E1763="Concluído"),IF(COUNTIFS($B$2:$B$5001,B1763,$E$2:$E$5001,"Em ajustes",$A$2:$A$5001,"&lt;"&amp;I1763)&gt;0,1,0),0))</f>
        <v/>
      </c>
      <c r="L1763" s="16" t="str">
        <f aca="false">IF(B1763="","",IF(A1763=_xlfn.MAXIFS($A$2:$A$5001,$B$2:$B$5001,B1763,$I$2:$I$5001,I1763),1,0))</f>
        <v/>
      </c>
    </row>
    <row r="1764" customFormat="false" ht="15" hidden="false" customHeight="false" outlineLevel="0" collapsed="false">
      <c r="I1764" s="15" t="str">
        <f aca="false">IF(A1764="","",INT(A1764))</f>
        <v/>
      </c>
      <c r="J1764" s="16" t="str">
        <f aca="false">IF(B1764="","",IF(A1764=_xlfn.MINIFS($A$2:$A$5001,$B$2:$B$5001,B1764),1,0))</f>
        <v/>
      </c>
      <c r="K1764" s="16" t="str">
        <f aca="false">IF(B1764="","",IF(AND(D1764="Formalização",E1764="Concluído"),IF(COUNTIFS($B$2:$B$5001,B1764,$E$2:$E$5001,"Em ajustes",$A$2:$A$5001,"&lt;"&amp;I1764)&gt;0,1,0),0))</f>
        <v/>
      </c>
      <c r="L1764" s="16" t="str">
        <f aca="false">IF(B1764="","",IF(A1764=_xlfn.MAXIFS($A$2:$A$5001,$B$2:$B$5001,B1764,$I$2:$I$5001,I1764),1,0))</f>
        <v/>
      </c>
    </row>
    <row r="1765" customFormat="false" ht="15" hidden="false" customHeight="false" outlineLevel="0" collapsed="false">
      <c r="I1765" s="15" t="str">
        <f aca="false">IF(A1765="","",INT(A1765))</f>
        <v/>
      </c>
      <c r="J1765" s="16" t="str">
        <f aca="false">IF(B1765="","",IF(A1765=_xlfn.MINIFS($A$2:$A$5001,$B$2:$B$5001,B1765),1,0))</f>
        <v/>
      </c>
      <c r="K1765" s="16" t="str">
        <f aca="false">IF(B1765="","",IF(AND(D1765="Formalização",E1765="Concluído"),IF(COUNTIFS($B$2:$B$5001,B1765,$E$2:$E$5001,"Em ajustes",$A$2:$A$5001,"&lt;"&amp;I1765)&gt;0,1,0),0))</f>
        <v/>
      </c>
      <c r="L1765" s="16" t="str">
        <f aca="false">IF(B1765="","",IF(A1765=_xlfn.MAXIFS($A$2:$A$5001,$B$2:$B$5001,B1765,$I$2:$I$5001,I1765),1,0))</f>
        <v/>
      </c>
    </row>
    <row r="1766" customFormat="false" ht="15" hidden="false" customHeight="false" outlineLevel="0" collapsed="false">
      <c r="I1766" s="15" t="str">
        <f aca="false">IF(A1766="","",INT(A1766))</f>
        <v/>
      </c>
      <c r="J1766" s="16" t="str">
        <f aca="false">IF(B1766="","",IF(A1766=_xlfn.MINIFS($A$2:$A$5001,$B$2:$B$5001,B1766),1,0))</f>
        <v/>
      </c>
      <c r="K1766" s="16" t="str">
        <f aca="false">IF(B1766="","",IF(AND(D1766="Formalização",E1766="Concluído"),IF(COUNTIFS($B$2:$B$5001,B1766,$E$2:$E$5001,"Em ajustes",$A$2:$A$5001,"&lt;"&amp;I1766)&gt;0,1,0),0))</f>
        <v/>
      </c>
      <c r="L1766" s="16" t="str">
        <f aca="false">IF(B1766="","",IF(A1766=_xlfn.MAXIFS($A$2:$A$5001,$B$2:$B$5001,B1766,$I$2:$I$5001,I1766),1,0))</f>
        <v/>
      </c>
    </row>
    <row r="1767" customFormat="false" ht="15" hidden="false" customHeight="false" outlineLevel="0" collapsed="false">
      <c r="I1767" s="15" t="str">
        <f aca="false">IF(A1767="","",INT(A1767))</f>
        <v/>
      </c>
      <c r="J1767" s="16" t="str">
        <f aca="false">IF(B1767="","",IF(A1767=_xlfn.MINIFS($A$2:$A$5001,$B$2:$B$5001,B1767),1,0))</f>
        <v/>
      </c>
      <c r="K1767" s="16" t="str">
        <f aca="false">IF(B1767="","",IF(AND(D1767="Formalização",E1767="Concluído"),IF(COUNTIFS($B$2:$B$5001,B1767,$E$2:$E$5001,"Em ajustes",$A$2:$A$5001,"&lt;"&amp;I1767)&gt;0,1,0),0))</f>
        <v/>
      </c>
      <c r="L1767" s="16" t="str">
        <f aca="false">IF(B1767="","",IF(A1767=_xlfn.MAXIFS($A$2:$A$5001,$B$2:$B$5001,B1767,$I$2:$I$5001,I1767),1,0))</f>
        <v/>
      </c>
    </row>
    <row r="1768" customFormat="false" ht="15" hidden="false" customHeight="false" outlineLevel="0" collapsed="false">
      <c r="I1768" s="15" t="str">
        <f aca="false">IF(A1768="","",INT(A1768))</f>
        <v/>
      </c>
      <c r="J1768" s="16" t="str">
        <f aca="false">IF(B1768="","",IF(A1768=_xlfn.MINIFS($A$2:$A$5001,$B$2:$B$5001,B1768),1,0))</f>
        <v/>
      </c>
      <c r="K1768" s="16" t="str">
        <f aca="false">IF(B1768="","",IF(AND(D1768="Formalização",E1768="Concluído"),IF(COUNTIFS($B$2:$B$5001,B1768,$E$2:$E$5001,"Em ajustes",$A$2:$A$5001,"&lt;"&amp;I1768)&gt;0,1,0),0))</f>
        <v/>
      </c>
      <c r="L1768" s="16" t="str">
        <f aca="false">IF(B1768="","",IF(A1768=_xlfn.MAXIFS($A$2:$A$5001,$B$2:$B$5001,B1768,$I$2:$I$5001,I1768),1,0))</f>
        <v/>
      </c>
    </row>
    <row r="1769" customFormat="false" ht="15" hidden="false" customHeight="false" outlineLevel="0" collapsed="false">
      <c r="I1769" s="15" t="str">
        <f aca="false">IF(A1769="","",INT(A1769))</f>
        <v/>
      </c>
      <c r="J1769" s="16" t="str">
        <f aca="false">IF(B1769="","",IF(A1769=_xlfn.MINIFS($A$2:$A$5001,$B$2:$B$5001,B1769),1,0))</f>
        <v/>
      </c>
      <c r="K1769" s="16" t="str">
        <f aca="false">IF(B1769="","",IF(AND(D1769="Formalização",E1769="Concluído"),IF(COUNTIFS($B$2:$B$5001,B1769,$E$2:$E$5001,"Em ajustes",$A$2:$A$5001,"&lt;"&amp;I1769)&gt;0,1,0),0))</f>
        <v/>
      </c>
      <c r="L1769" s="16" t="str">
        <f aca="false">IF(B1769="","",IF(A1769=_xlfn.MAXIFS($A$2:$A$5001,$B$2:$B$5001,B1769,$I$2:$I$5001,I1769),1,0))</f>
        <v/>
      </c>
    </row>
    <row r="1770" customFormat="false" ht="15" hidden="false" customHeight="false" outlineLevel="0" collapsed="false">
      <c r="I1770" s="15" t="str">
        <f aca="false">IF(A1770="","",INT(A1770))</f>
        <v/>
      </c>
      <c r="J1770" s="16" t="str">
        <f aca="false">IF(B1770="","",IF(A1770=_xlfn.MINIFS($A$2:$A$5001,$B$2:$B$5001,B1770),1,0))</f>
        <v/>
      </c>
      <c r="K1770" s="16" t="str">
        <f aca="false">IF(B1770="","",IF(AND(D1770="Formalização",E1770="Concluído"),IF(COUNTIFS($B$2:$B$5001,B1770,$E$2:$E$5001,"Em ajustes",$A$2:$A$5001,"&lt;"&amp;I1770)&gt;0,1,0),0))</f>
        <v/>
      </c>
      <c r="L1770" s="16" t="str">
        <f aca="false">IF(B1770="","",IF(A1770=_xlfn.MAXIFS($A$2:$A$5001,$B$2:$B$5001,B1770,$I$2:$I$5001,I1770),1,0))</f>
        <v/>
      </c>
    </row>
    <row r="1771" customFormat="false" ht="15" hidden="false" customHeight="false" outlineLevel="0" collapsed="false">
      <c r="I1771" s="15" t="str">
        <f aca="false">IF(A1771="","",INT(A1771))</f>
        <v/>
      </c>
      <c r="J1771" s="16" t="str">
        <f aca="false">IF(B1771="","",IF(A1771=_xlfn.MINIFS($A$2:$A$5001,$B$2:$B$5001,B1771),1,0))</f>
        <v/>
      </c>
      <c r="K1771" s="16" t="str">
        <f aca="false">IF(B1771="","",IF(AND(D1771="Formalização",E1771="Concluído"),IF(COUNTIFS($B$2:$B$5001,B1771,$E$2:$E$5001,"Em ajustes",$A$2:$A$5001,"&lt;"&amp;I1771)&gt;0,1,0),0))</f>
        <v/>
      </c>
      <c r="L1771" s="16" t="str">
        <f aca="false">IF(B1771="","",IF(A1771=_xlfn.MAXIFS($A$2:$A$5001,$B$2:$B$5001,B1771,$I$2:$I$5001,I1771),1,0))</f>
        <v/>
      </c>
    </row>
    <row r="1772" customFormat="false" ht="15" hidden="false" customHeight="false" outlineLevel="0" collapsed="false">
      <c r="I1772" s="15" t="str">
        <f aca="false">IF(A1772="","",INT(A1772))</f>
        <v/>
      </c>
      <c r="J1772" s="16" t="str">
        <f aca="false">IF(B1772="","",IF(A1772=_xlfn.MINIFS($A$2:$A$5001,$B$2:$B$5001,B1772),1,0))</f>
        <v/>
      </c>
      <c r="K1772" s="16" t="str">
        <f aca="false">IF(B1772="","",IF(AND(D1772="Formalização",E1772="Concluído"),IF(COUNTIFS($B$2:$B$5001,B1772,$E$2:$E$5001,"Em ajustes",$A$2:$A$5001,"&lt;"&amp;I1772)&gt;0,1,0),0))</f>
        <v/>
      </c>
      <c r="L1772" s="16" t="str">
        <f aca="false">IF(B1772="","",IF(A1772=_xlfn.MAXIFS($A$2:$A$5001,$B$2:$B$5001,B1772,$I$2:$I$5001,I1772),1,0))</f>
        <v/>
      </c>
    </row>
    <row r="1773" customFormat="false" ht="15" hidden="false" customHeight="false" outlineLevel="0" collapsed="false">
      <c r="I1773" s="15" t="str">
        <f aca="false">IF(A1773="","",INT(A1773))</f>
        <v/>
      </c>
      <c r="J1773" s="16" t="str">
        <f aca="false">IF(B1773="","",IF(A1773=_xlfn.MINIFS($A$2:$A$5001,$B$2:$B$5001,B1773),1,0))</f>
        <v/>
      </c>
      <c r="K1773" s="16" t="str">
        <f aca="false">IF(B1773="","",IF(AND(D1773="Formalização",E1773="Concluído"),IF(COUNTIFS($B$2:$B$5001,B1773,$E$2:$E$5001,"Em ajustes",$A$2:$A$5001,"&lt;"&amp;I1773)&gt;0,1,0),0))</f>
        <v/>
      </c>
      <c r="L1773" s="16" t="str">
        <f aca="false">IF(B1773="","",IF(A1773=_xlfn.MAXIFS($A$2:$A$5001,$B$2:$B$5001,B1773,$I$2:$I$5001,I1773),1,0))</f>
        <v/>
      </c>
    </row>
    <row r="1774" customFormat="false" ht="15" hidden="false" customHeight="false" outlineLevel="0" collapsed="false">
      <c r="I1774" s="15" t="str">
        <f aca="false">IF(A1774="","",INT(A1774))</f>
        <v/>
      </c>
      <c r="J1774" s="16" t="str">
        <f aca="false">IF(B1774="","",IF(A1774=_xlfn.MINIFS($A$2:$A$5001,$B$2:$B$5001,B1774),1,0))</f>
        <v/>
      </c>
      <c r="K1774" s="16" t="str">
        <f aca="false">IF(B1774="","",IF(AND(D1774="Formalização",E1774="Concluído"),IF(COUNTIFS($B$2:$B$5001,B1774,$E$2:$E$5001,"Em ajustes",$A$2:$A$5001,"&lt;"&amp;I1774)&gt;0,1,0),0))</f>
        <v/>
      </c>
      <c r="L1774" s="16" t="str">
        <f aca="false">IF(B1774="","",IF(A1774=_xlfn.MAXIFS($A$2:$A$5001,$B$2:$B$5001,B1774,$I$2:$I$5001,I1774),1,0))</f>
        <v/>
      </c>
    </row>
    <row r="1775" customFormat="false" ht="15" hidden="false" customHeight="false" outlineLevel="0" collapsed="false">
      <c r="I1775" s="15" t="str">
        <f aca="false">IF(A1775="","",INT(A1775))</f>
        <v/>
      </c>
      <c r="J1775" s="16" t="str">
        <f aca="false">IF(B1775="","",IF(A1775=_xlfn.MINIFS($A$2:$A$5001,$B$2:$B$5001,B1775),1,0))</f>
        <v/>
      </c>
      <c r="K1775" s="16" t="str">
        <f aca="false">IF(B1775="","",IF(AND(D1775="Formalização",E1775="Concluído"),IF(COUNTIFS($B$2:$B$5001,B1775,$E$2:$E$5001,"Em ajustes",$A$2:$A$5001,"&lt;"&amp;I1775)&gt;0,1,0),0))</f>
        <v/>
      </c>
      <c r="L1775" s="16" t="str">
        <f aca="false">IF(B1775="","",IF(A1775=_xlfn.MAXIFS($A$2:$A$5001,$B$2:$B$5001,B1775,$I$2:$I$5001,I1775),1,0))</f>
        <v/>
      </c>
    </row>
    <row r="1776" customFormat="false" ht="15" hidden="false" customHeight="false" outlineLevel="0" collapsed="false">
      <c r="I1776" s="15" t="str">
        <f aca="false">IF(A1776="","",INT(A1776))</f>
        <v/>
      </c>
      <c r="J1776" s="16" t="str">
        <f aca="false">IF(B1776="","",IF(A1776=_xlfn.MINIFS($A$2:$A$5001,$B$2:$B$5001,B1776),1,0))</f>
        <v/>
      </c>
      <c r="K1776" s="16" t="str">
        <f aca="false">IF(B1776="","",IF(AND(D1776="Formalização",E1776="Concluído"),IF(COUNTIFS($B$2:$B$5001,B1776,$E$2:$E$5001,"Em ajustes",$A$2:$A$5001,"&lt;"&amp;I1776)&gt;0,1,0),0))</f>
        <v/>
      </c>
      <c r="L1776" s="16" t="str">
        <f aca="false">IF(B1776="","",IF(A1776=_xlfn.MAXIFS($A$2:$A$5001,$B$2:$B$5001,B1776,$I$2:$I$5001,I1776),1,0))</f>
        <v/>
      </c>
    </row>
    <row r="1777" customFormat="false" ht="15" hidden="false" customHeight="false" outlineLevel="0" collapsed="false">
      <c r="I1777" s="15" t="str">
        <f aca="false">IF(A1777="","",INT(A1777))</f>
        <v/>
      </c>
      <c r="J1777" s="16" t="str">
        <f aca="false">IF(B1777="","",IF(A1777=_xlfn.MINIFS($A$2:$A$5001,$B$2:$B$5001,B1777),1,0))</f>
        <v/>
      </c>
      <c r="K1777" s="16" t="str">
        <f aca="false">IF(B1777="","",IF(AND(D1777="Formalização",E1777="Concluído"),IF(COUNTIFS($B$2:$B$5001,B1777,$E$2:$E$5001,"Em ajustes",$A$2:$A$5001,"&lt;"&amp;I1777)&gt;0,1,0),0))</f>
        <v/>
      </c>
      <c r="L1777" s="16" t="str">
        <f aca="false">IF(B1777="","",IF(A1777=_xlfn.MAXIFS($A$2:$A$5001,$B$2:$B$5001,B1777,$I$2:$I$5001,I1777),1,0))</f>
        <v/>
      </c>
    </row>
    <row r="1778" customFormat="false" ht="15" hidden="false" customHeight="false" outlineLevel="0" collapsed="false">
      <c r="I1778" s="15" t="str">
        <f aca="false">IF(A1778="","",INT(A1778))</f>
        <v/>
      </c>
      <c r="J1778" s="16" t="str">
        <f aca="false">IF(B1778="","",IF(A1778=_xlfn.MINIFS($A$2:$A$5001,$B$2:$B$5001,B1778),1,0))</f>
        <v/>
      </c>
      <c r="K1778" s="16" t="str">
        <f aca="false">IF(B1778="","",IF(AND(D1778="Formalização",E1778="Concluído"),IF(COUNTIFS($B$2:$B$5001,B1778,$E$2:$E$5001,"Em ajustes",$A$2:$A$5001,"&lt;"&amp;I1778)&gt;0,1,0),0))</f>
        <v/>
      </c>
      <c r="L1778" s="16" t="str">
        <f aca="false">IF(B1778="","",IF(A1778=_xlfn.MAXIFS($A$2:$A$5001,$B$2:$B$5001,B1778,$I$2:$I$5001,I1778),1,0))</f>
        <v/>
      </c>
    </row>
    <row r="1779" customFormat="false" ht="15" hidden="false" customHeight="false" outlineLevel="0" collapsed="false">
      <c r="I1779" s="15" t="str">
        <f aca="false">IF(A1779="","",INT(A1779))</f>
        <v/>
      </c>
      <c r="J1779" s="16" t="str">
        <f aca="false">IF(B1779="","",IF(A1779=_xlfn.MINIFS($A$2:$A$5001,$B$2:$B$5001,B1779),1,0))</f>
        <v/>
      </c>
      <c r="K1779" s="16" t="str">
        <f aca="false">IF(B1779="","",IF(AND(D1779="Formalização",E1779="Concluído"),IF(COUNTIFS($B$2:$B$5001,B1779,$E$2:$E$5001,"Em ajustes",$A$2:$A$5001,"&lt;"&amp;I1779)&gt;0,1,0),0))</f>
        <v/>
      </c>
      <c r="L1779" s="16" t="str">
        <f aca="false">IF(B1779="","",IF(A1779=_xlfn.MAXIFS($A$2:$A$5001,$B$2:$B$5001,B1779,$I$2:$I$5001,I1779),1,0))</f>
        <v/>
      </c>
    </row>
    <row r="1780" customFormat="false" ht="15" hidden="false" customHeight="false" outlineLevel="0" collapsed="false">
      <c r="I1780" s="15" t="str">
        <f aca="false">IF(A1780="","",INT(A1780))</f>
        <v/>
      </c>
      <c r="J1780" s="16" t="str">
        <f aca="false">IF(B1780="","",IF(A1780=_xlfn.MINIFS($A$2:$A$5001,$B$2:$B$5001,B1780),1,0))</f>
        <v/>
      </c>
      <c r="K1780" s="16" t="str">
        <f aca="false">IF(B1780="","",IF(AND(D1780="Formalização",E1780="Concluído"),IF(COUNTIFS($B$2:$B$5001,B1780,$E$2:$E$5001,"Em ajustes",$A$2:$A$5001,"&lt;"&amp;I1780)&gt;0,1,0),0))</f>
        <v/>
      </c>
      <c r="L1780" s="16" t="str">
        <f aca="false">IF(B1780="","",IF(A1780=_xlfn.MAXIFS($A$2:$A$5001,$B$2:$B$5001,B1780,$I$2:$I$5001,I1780),1,0))</f>
        <v/>
      </c>
    </row>
    <row r="1781" customFormat="false" ht="15" hidden="false" customHeight="false" outlineLevel="0" collapsed="false">
      <c r="I1781" s="15" t="str">
        <f aca="false">IF(A1781="","",INT(A1781))</f>
        <v/>
      </c>
      <c r="J1781" s="16" t="str">
        <f aca="false">IF(B1781="","",IF(A1781=_xlfn.MINIFS($A$2:$A$5001,$B$2:$B$5001,B1781),1,0))</f>
        <v/>
      </c>
      <c r="K1781" s="16" t="str">
        <f aca="false">IF(B1781="","",IF(AND(D1781="Formalização",E1781="Concluído"),IF(COUNTIFS($B$2:$B$5001,B1781,$E$2:$E$5001,"Em ajustes",$A$2:$A$5001,"&lt;"&amp;I1781)&gt;0,1,0),0))</f>
        <v/>
      </c>
      <c r="L1781" s="16" t="str">
        <f aca="false">IF(B1781="","",IF(A1781=_xlfn.MAXIFS($A$2:$A$5001,$B$2:$B$5001,B1781,$I$2:$I$5001,I1781),1,0))</f>
        <v/>
      </c>
    </row>
    <row r="1782" customFormat="false" ht="15" hidden="false" customHeight="false" outlineLevel="0" collapsed="false">
      <c r="I1782" s="15" t="str">
        <f aca="false">IF(A1782="","",INT(A1782))</f>
        <v/>
      </c>
      <c r="J1782" s="16" t="str">
        <f aca="false">IF(B1782="","",IF(A1782=_xlfn.MINIFS($A$2:$A$5001,$B$2:$B$5001,B1782),1,0))</f>
        <v/>
      </c>
      <c r="K1782" s="16" t="str">
        <f aca="false">IF(B1782="","",IF(AND(D1782="Formalização",E1782="Concluído"),IF(COUNTIFS($B$2:$B$5001,B1782,$E$2:$E$5001,"Em ajustes",$A$2:$A$5001,"&lt;"&amp;I1782)&gt;0,1,0),0))</f>
        <v/>
      </c>
      <c r="L1782" s="16" t="str">
        <f aca="false">IF(B1782="","",IF(A1782=_xlfn.MAXIFS($A$2:$A$5001,$B$2:$B$5001,B1782,$I$2:$I$5001,I1782),1,0))</f>
        <v/>
      </c>
    </row>
    <row r="1783" customFormat="false" ht="15" hidden="false" customHeight="false" outlineLevel="0" collapsed="false">
      <c r="I1783" s="15" t="str">
        <f aca="false">IF(A1783="","",INT(A1783))</f>
        <v/>
      </c>
      <c r="J1783" s="16" t="str">
        <f aca="false">IF(B1783="","",IF(A1783=_xlfn.MINIFS($A$2:$A$5001,$B$2:$B$5001,B1783),1,0))</f>
        <v/>
      </c>
      <c r="K1783" s="16" t="str">
        <f aca="false">IF(B1783="","",IF(AND(D1783="Formalização",E1783="Concluído"),IF(COUNTIFS($B$2:$B$5001,B1783,$E$2:$E$5001,"Em ajustes",$A$2:$A$5001,"&lt;"&amp;I1783)&gt;0,1,0),0))</f>
        <v/>
      </c>
      <c r="L1783" s="16" t="str">
        <f aca="false">IF(B1783="","",IF(A1783=_xlfn.MAXIFS($A$2:$A$5001,$B$2:$B$5001,B1783,$I$2:$I$5001,I1783),1,0))</f>
        <v/>
      </c>
    </row>
    <row r="1784" customFormat="false" ht="15" hidden="false" customHeight="false" outlineLevel="0" collapsed="false">
      <c r="I1784" s="15" t="str">
        <f aca="false">IF(A1784="","",INT(A1784))</f>
        <v/>
      </c>
      <c r="J1784" s="16" t="str">
        <f aca="false">IF(B1784="","",IF(A1784=_xlfn.MINIFS($A$2:$A$5001,$B$2:$B$5001,B1784),1,0))</f>
        <v/>
      </c>
      <c r="K1784" s="16" t="str">
        <f aca="false">IF(B1784="","",IF(AND(D1784="Formalização",E1784="Concluído"),IF(COUNTIFS($B$2:$B$5001,B1784,$E$2:$E$5001,"Em ajustes",$A$2:$A$5001,"&lt;"&amp;I1784)&gt;0,1,0),0))</f>
        <v/>
      </c>
      <c r="L1784" s="16" t="str">
        <f aca="false">IF(B1784="","",IF(A1784=_xlfn.MAXIFS($A$2:$A$5001,$B$2:$B$5001,B1784,$I$2:$I$5001,I1784),1,0))</f>
        <v/>
      </c>
    </row>
    <row r="1785" customFormat="false" ht="15" hidden="false" customHeight="false" outlineLevel="0" collapsed="false">
      <c r="I1785" s="15" t="str">
        <f aca="false">IF(A1785="","",INT(A1785))</f>
        <v/>
      </c>
      <c r="J1785" s="16" t="str">
        <f aca="false">IF(B1785="","",IF(A1785=_xlfn.MINIFS($A$2:$A$5001,$B$2:$B$5001,B1785),1,0))</f>
        <v/>
      </c>
      <c r="K1785" s="16" t="str">
        <f aca="false">IF(B1785="","",IF(AND(D1785="Formalização",E1785="Concluído"),IF(COUNTIFS($B$2:$B$5001,B1785,$E$2:$E$5001,"Em ajustes",$A$2:$A$5001,"&lt;"&amp;I1785)&gt;0,1,0),0))</f>
        <v/>
      </c>
      <c r="L1785" s="16" t="str">
        <f aca="false">IF(B1785="","",IF(A1785=_xlfn.MAXIFS($A$2:$A$5001,$B$2:$B$5001,B1785,$I$2:$I$5001,I1785),1,0))</f>
        <v/>
      </c>
    </row>
    <row r="1786" customFormat="false" ht="15" hidden="false" customHeight="false" outlineLevel="0" collapsed="false">
      <c r="I1786" s="15" t="str">
        <f aca="false">IF(A1786="","",INT(A1786))</f>
        <v/>
      </c>
      <c r="J1786" s="16" t="str">
        <f aca="false">IF(B1786="","",IF(A1786=_xlfn.MINIFS($A$2:$A$5001,$B$2:$B$5001,B1786),1,0))</f>
        <v/>
      </c>
      <c r="K1786" s="16" t="str">
        <f aca="false">IF(B1786="","",IF(AND(D1786="Formalização",E1786="Concluído"),IF(COUNTIFS($B$2:$B$5001,B1786,$E$2:$E$5001,"Em ajustes",$A$2:$A$5001,"&lt;"&amp;I1786)&gt;0,1,0),0))</f>
        <v/>
      </c>
      <c r="L1786" s="16" t="str">
        <f aca="false">IF(B1786="","",IF(A1786=_xlfn.MAXIFS($A$2:$A$5001,$B$2:$B$5001,B1786,$I$2:$I$5001,I1786),1,0))</f>
        <v/>
      </c>
    </row>
    <row r="1787" customFormat="false" ht="15" hidden="false" customHeight="false" outlineLevel="0" collapsed="false">
      <c r="I1787" s="15" t="str">
        <f aca="false">IF(A1787="","",INT(A1787))</f>
        <v/>
      </c>
      <c r="J1787" s="16" t="str">
        <f aca="false">IF(B1787="","",IF(A1787=_xlfn.MINIFS($A$2:$A$5001,$B$2:$B$5001,B1787),1,0))</f>
        <v/>
      </c>
      <c r="K1787" s="16" t="str">
        <f aca="false">IF(B1787="","",IF(AND(D1787="Formalização",E1787="Concluído"),IF(COUNTIFS($B$2:$B$5001,B1787,$E$2:$E$5001,"Em ajustes",$A$2:$A$5001,"&lt;"&amp;I1787)&gt;0,1,0),0))</f>
        <v/>
      </c>
      <c r="L1787" s="16" t="str">
        <f aca="false">IF(B1787="","",IF(A1787=_xlfn.MAXIFS($A$2:$A$5001,$B$2:$B$5001,B1787,$I$2:$I$5001,I1787),1,0))</f>
        <v/>
      </c>
    </row>
    <row r="1788" customFormat="false" ht="15" hidden="false" customHeight="false" outlineLevel="0" collapsed="false">
      <c r="I1788" s="15" t="str">
        <f aca="false">IF(A1788="","",INT(A1788))</f>
        <v/>
      </c>
      <c r="J1788" s="16" t="str">
        <f aca="false">IF(B1788="","",IF(A1788=_xlfn.MINIFS($A$2:$A$5001,$B$2:$B$5001,B1788),1,0))</f>
        <v/>
      </c>
      <c r="K1788" s="16" t="str">
        <f aca="false">IF(B1788="","",IF(AND(D1788="Formalização",E1788="Concluído"),IF(COUNTIFS($B$2:$B$5001,B1788,$E$2:$E$5001,"Em ajustes",$A$2:$A$5001,"&lt;"&amp;I1788)&gt;0,1,0),0))</f>
        <v/>
      </c>
      <c r="L1788" s="16" t="str">
        <f aca="false">IF(B1788="","",IF(A1788=_xlfn.MAXIFS($A$2:$A$5001,$B$2:$B$5001,B1788,$I$2:$I$5001,I1788),1,0))</f>
        <v/>
      </c>
    </row>
    <row r="1789" customFormat="false" ht="15" hidden="false" customHeight="false" outlineLevel="0" collapsed="false">
      <c r="I1789" s="15" t="str">
        <f aca="false">IF(A1789="","",INT(A1789))</f>
        <v/>
      </c>
      <c r="J1789" s="16" t="str">
        <f aca="false">IF(B1789="","",IF(A1789=_xlfn.MINIFS($A$2:$A$5001,$B$2:$B$5001,B1789),1,0))</f>
        <v/>
      </c>
      <c r="K1789" s="16" t="str">
        <f aca="false">IF(B1789="","",IF(AND(D1789="Formalização",E1789="Concluído"),IF(COUNTIFS($B$2:$B$5001,B1789,$E$2:$E$5001,"Em ajustes",$A$2:$A$5001,"&lt;"&amp;I1789)&gt;0,1,0),0))</f>
        <v/>
      </c>
      <c r="L1789" s="16" t="str">
        <f aca="false">IF(B1789="","",IF(A1789=_xlfn.MAXIFS($A$2:$A$5001,$B$2:$B$5001,B1789,$I$2:$I$5001,I1789),1,0))</f>
        <v/>
      </c>
    </row>
    <row r="1790" customFormat="false" ht="15" hidden="false" customHeight="false" outlineLevel="0" collapsed="false">
      <c r="I1790" s="15" t="str">
        <f aca="false">IF(A1790="","",INT(A1790))</f>
        <v/>
      </c>
      <c r="J1790" s="16" t="str">
        <f aca="false">IF(B1790="","",IF(A1790=_xlfn.MINIFS($A$2:$A$5001,$B$2:$B$5001,B1790),1,0))</f>
        <v/>
      </c>
      <c r="K1790" s="16" t="str">
        <f aca="false">IF(B1790="","",IF(AND(D1790="Formalização",E1790="Concluído"),IF(COUNTIFS($B$2:$B$5001,B1790,$E$2:$E$5001,"Em ajustes",$A$2:$A$5001,"&lt;"&amp;I1790)&gt;0,1,0),0))</f>
        <v/>
      </c>
      <c r="L1790" s="16" t="str">
        <f aca="false">IF(B1790="","",IF(A1790=_xlfn.MAXIFS($A$2:$A$5001,$B$2:$B$5001,B1790,$I$2:$I$5001,I1790),1,0))</f>
        <v/>
      </c>
    </row>
    <row r="1791" customFormat="false" ht="15" hidden="false" customHeight="false" outlineLevel="0" collapsed="false">
      <c r="I1791" s="15" t="str">
        <f aca="false">IF(A1791="","",INT(A1791))</f>
        <v/>
      </c>
      <c r="J1791" s="16" t="str">
        <f aca="false">IF(B1791="","",IF(A1791=_xlfn.MINIFS($A$2:$A$5001,$B$2:$B$5001,B1791),1,0))</f>
        <v/>
      </c>
      <c r="K1791" s="16" t="str">
        <f aca="false">IF(B1791="","",IF(AND(D1791="Formalização",E1791="Concluído"),IF(COUNTIFS($B$2:$B$5001,B1791,$E$2:$E$5001,"Em ajustes",$A$2:$A$5001,"&lt;"&amp;I1791)&gt;0,1,0),0))</f>
        <v/>
      </c>
      <c r="L1791" s="16" t="str">
        <f aca="false">IF(B1791="","",IF(A1791=_xlfn.MAXIFS($A$2:$A$5001,$B$2:$B$5001,B1791,$I$2:$I$5001,I1791),1,0))</f>
        <v/>
      </c>
    </row>
    <row r="1792" customFormat="false" ht="15" hidden="false" customHeight="false" outlineLevel="0" collapsed="false">
      <c r="I1792" s="15" t="str">
        <f aca="false">IF(A1792="","",INT(A1792))</f>
        <v/>
      </c>
      <c r="J1792" s="16" t="str">
        <f aca="false">IF(B1792="","",IF(A1792=_xlfn.MINIFS($A$2:$A$5001,$B$2:$B$5001,B1792),1,0))</f>
        <v/>
      </c>
      <c r="K1792" s="16" t="str">
        <f aca="false">IF(B1792="","",IF(AND(D1792="Formalização",E1792="Concluído"),IF(COUNTIFS($B$2:$B$5001,B1792,$E$2:$E$5001,"Em ajustes",$A$2:$A$5001,"&lt;"&amp;I1792)&gt;0,1,0),0))</f>
        <v/>
      </c>
      <c r="L1792" s="16" t="str">
        <f aca="false">IF(B1792="","",IF(A1792=_xlfn.MAXIFS($A$2:$A$5001,$B$2:$B$5001,B1792,$I$2:$I$5001,I1792),1,0))</f>
        <v/>
      </c>
    </row>
    <row r="1793" customFormat="false" ht="15" hidden="false" customHeight="false" outlineLevel="0" collapsed="false">
      <c r="I1793" s="15" t="str">
        <f aca="false">IF(A1793="","",INT(A1793))</f>
        <v/>
      </c>
      <c r="J1793" s="16" t="str">
        <f aca="false">IF(B1793="","",IF(A1793=_xlfn.MINIFS($A$2:$A$5001,$B$2:$B$5001,B1793),1,0))</f>
        <v/>
      </c>
      <c r="K1793" s="16" t="str">
        <f aca="false">IF(B1793="","",IF(AND(D1793="Formalização",E1793="Concluído"),IF(COUNTIFS($B$2:$B$5001,B1793,$E$2:$E$5001,"Em ajustes",$A$2:$A$5001,"&lt;"&amp;I1793)&gt;0,1,0),0))</f>
        <v/>
      </c>
      <c r="L1793" s="16" t="str">
        <f aca="false">IF(B1793="","",IF(A1793=_xlfn.MAXIFS($A$2:$A$5001,$B$2:$B$5001,B1793,$I$2:$I$5001,I1793),1,0))</f>
        <v/>
      </c>
    </row>
    <row r="1794" customFormat="false" ht="15" hidden="false" customHeight="false" outlineLevel="0" collapsed="false">
      <c r="I1794" s="15" t="str">
        <f aca="false">IF(A1794="","",INT(A1794))</f>
        <v/>
      </c>
      <c r="J1794" s="16" t="str">
        <f aca="false">IF(B1794="","",IF(A1794=_xlfn.MINIFS($A$2:$A$5001,$B$2:$B$5001,B1794),1,0))</f>
        <v/>
      </c>
      <c r="K1794" s="16" t="str">
        <f aca="false">IF(B1794="","",IF(AND(D1794="Formalização",E1794="Concluído"),IF(COUNTIFS($B$2:$B$5001,B1794,$E$2:$E$5001,"Em ajustes",$A$2:$A$5001,"&lt;"&amp;I1794)&gt;0,1,0),0))</f>
        <v/>
      </c>
      <c r="L1794" s="16" t="str">
        <f aca="false">IF(B1794="","",IF(A1794=_xlfn.MAXIFS($A$2:$A$5001,$B$2:$B$5001,B1794,$I$2:$I$5001,I1794),1,0))</f>
        <v/>
      </c>
    </row>
    <row r="1795" customFormat="false" ht="15" hidden="false" customHeight="false" outlineLevel="0" collapsed="false">
      <c r="I1795" s="15" t="str">
        <f aca="false">IF(A1795="","",INT(A1795))</f>
        <v/>
      </c>
      <c r="J1795" s="16" t="str">
        <f aca="false">IF(B1795="","",IF(A1795=_xlfn.MINIFS($A$2:$A$5001,$B$2:$B$5001,B1795),1,0))</f>
        <v/>
      </c>
      <c r="K1795" s="16" t="str">
        <f aca="false">IF(B1795="","",IF(AND(D1795="Formalização",E1795="Concluído"),IF(COUNTIFS($B$2:$B$5001,B1795,$E$2:$E$5001,"Em ajustes",$A$2:$A$5001,"&lt;"&amp;I1795)&gt;0,1,0),0))</f>
        <v/>
      </c>
      <c r="L1795" s="16" t="str">
        <f aca="false">IF(B1795="","",IF(A1795=_xlfn.MAXIFS($A$2:$A$5001,$B$2:$B$5001,B1795,$I$2:$I$5001,I1795),1,0))</f>
        <v/>
      </c>
    </row>
    <row r="1796" customFormat="false" ht="15" hidden="false" customHeight="false" outlineLevel="0" collapsed="false">
      <c r="I1796" s="15" t="str">
        <f aca="false">IF(A1796="","",INT(A1796))</f>
        <v/>
      </c>
      <c r="J1796" s="16" t="str">
        <f aca="false">IF(B1796="","",IF(A1796=_xlfn.MINIFS($A$2:$A$5001,$B$2:$B$5001,B1796),1,0))</f>
        <v/>
      </c>
      <c r="K1796" s="16" t="str">
        <f aca="false">IF(B1796="","",IF(AND(D1796="Formalização",E1796="Concluído"),IF(COUNTIFS($B$2:$B$5001,B1796,$E$2:$E$5001,"Em ajustes",$A$2:$A$5001,"&lt;"&amp;I1796)&gt;0,1,0),0))</f>
        <v/>
      </c>
      <c r="L1796" s="16" t="str">
        <f aca="false">IF(B1796="","",IF(A1796=_xlfn.MAXIFS($A$2:$A$5001,$B$2:$B$5001,B1796,$I$2:$I$5001,I1796),1,0))</f>
        <v/>
      </c>
    </row>
    <row r="1797" customFormat="false" ht="15" hidden="false" customHeight="false" outlineLevel="0" collapsed="false">
      <c r="I1797" s="15" t="str">
        <f aca="false">IF(A1797="","",INT(A1797))</f>
        <v/>
      </c>
      <c r="J1797" s="16" t="str">
        <f aca="false">IF(B1797="","",IF(A1797=_xlfn.MINIFS($A$2:$A$5001,$B$2:$B$5001,B1797),1,0))</f>
        <v/>
      </c>
      <c r="K1797" s="16" t="str">
        <f aca="false">IF(B1797="","",IF(AND(D1797="Formalização",E1797="Concluído"),IF(COUNTIFS($B$2:$B$5001,B1797,$E$2:$E$5001,"Em ajustes",$A$2:$A$5001,"&lt;"&amp;I1797)&gt;0,1,0),0))</f>
        <v/>
      </c>
      <c r="L1797" s="16" t="str">
        <f aca="false">IF(B1797="","",IF(A1797=_xlfn.MAXIFS($A$2:$A$5001,$B$2:$B$5001,B1797,$I$2:$I$5001,I1797),1,0))</f>
        <v/>
      </c>
    </row>
    <row r="1798" customFormat="false" ht="15" hidden="false" customHeight="false" outlineLevel="0" collapsed="false">
      <c r="I1798" s="15" t="str">
        <f aca="false">IF(A1798="","",INT(A1798))</f>
        <v/>
      </c>
      <c r="J1798" s="16" t="str">
        <f aca="false">IF(B1798="","",IF(A1798=_xlfn.MINIFS($A$2:$A$5001,$B$2:$B$5001,B1798),1,0))</f>
        <v/>
      </c>
      <c r="K1798" s="16" t="str">
        <f aca="false">IF(B1798="","",IF(AND(D1798="Formalização",E1798="Concluído"),IF(COUNTIFS($B$2:$B$5001,B1798,$E$2:$E$5001,"Em ajustes",$A$2:$A$5001,"&lt;"&amp;I1798)&gt;0,1,0),0))</f>
        <v/>
      </c>
      <c r="L1798" s="16" t="str">
        <f aca="false">IF(B1798="","",IF(A1798=_xlfn.MAXIFS($A$2:$A$5001,$B$2:$B$5001,B1798,$I$2:$I$5001,I1798),1,0))</f>
        <v/>
      </c>
    </row>
    <row r="1799" customFormat="false" ht="15" hidden="false" customHeight="false" outlineLevel="0" collapsed="false">
      <c r="I1799" s="15" t="str">
        <f aca="false">IF(A1799="","",INT(A1799))</f>
        <v/>
      </c>
      <c r="J1799" s="16" t="str">
        <f aca="false">IF(B1799="","",IF(A1799=_xlfn.MINIFS($A$2:$A$5001,$B$2:$B$5001,B1799),1,0))</f>
        <v/>
      </c>
      <c r="K1799" s="16" t="str">
        <f aca="false">IF(B1799="","",IF(AND(D1799="Formalização",E1799="Concluído"),IF(COUNTIFS($B$2:$B$5001,B1799,$E$2:$E$5001,"Em ajustes",$A$2:$A$5001,"&lt;"&amp;I1799)&gt;0,1,0),0))</f>
        <v/>
      </c>
      <c r="L1799" s="16" t="str">
        <f aca="false">IF(B1799="","",IF(A1799=_xlfn.MAXIFS($A$2:$A$5001,$B$2:$B$5001,B1799,$I$2:$I$5001,I1799),1,0))</f>
        <v/>
      </c>
    </row>
    <row r="1800" customFormat="false" ht="15" hidden="false" customHeight="false" outlineLevel="0" collapsed="false">
      <c r="I1800" s="15" t="str">
        <f aca="false">IF(A1800="","",INT(A1800))</f>
        <v/>
      </c>
      <c r="J1800" s="16" t="str">
        <f aca="false">IF(B1800="","",IF(A1800=_xlfn.MINIFS($A$2:$A$5001,$B$2:$B$5001,B1800),1,0))</f>
        <v/>
      </c>
      <c r="K1800" s="16" t="str">
        <f aca="false">IF(B1800="","",IF(AND(D1800="Formalização",E1800="Concluído"),IF(COUNTIFS($B$2:$B$5001,B1800,$E$2:$E$5001,"Em ajustes",$A$2:$A$5001,"&lt;"&amp;I1800)&gt;0,1,0),0))</f>
        <v/>
      </c>
      <c r="L1800" s="16" t="str">
        <f aca="false">IF(B1800="","",IF(A1800=_xlfn.MAXIFS($A$2:$A$5001,$B$2:$B$5001,B1800,$I$2:$I$5001,I1800),1,0))</f>
        <v/>
      </c>
    </row>
    <row r="1801" customFormat="false" ht="15" hidden="false" customHeight="false" outlineLevel="0" collapsed="false">
      <c r="I1801" s="15" t="str">
        <f aca="false">IF(A1801="","",INT(A1801))</f>
        <v/>
      </c>
      <c r="J1801" s="16" t="str">
        <f aca="false">IF(B1801="","",IF(A1801=_xlfn.MINIFS($A$2:$A$5001,$B$2:$B$5001,B1801),1,0))</f>
        <v/>
      </c>
      <c r="K1801" s="16" t="str">
        <f aca="false">IF(B1801="","",IF(AND(D1801="Formalização",E1801="Concluído"),IF(COUNTIFS($B$2:$B$5001,B1801,$E$2:$E$5001,"Em ajustes",$A$2:$A$5001,"&lt;"&amp;I1801)&gt;0,1,0),0))</f>
        <v/>
      </c>
      <c r="L1801" s="16" t="str">
        <f aca="false">IF(B1801="","",IF(A1801=_xlfn.MAXIFS($A$2:$A$5001,$B$2:$B$5001,B1801,$I$2:$I$5001,I1801),1,0))</f>
        <v/>
      </c>
    </row>
    <row r="1802" customFormat="false" ht="15" hidden="false" customHeight="false" outlineLevel="0" collapsed="false">
      <c r="I1802" s="15" t="str">
        <f aca="false">IF(A1802="","",INT(A1802))</f>
        <v/>
      </c>
      <c r="J1802" s="16" t="str">
        <f aca="false">IF(B1802="","",IF(A1802=_xlfn.MINIFS($A$2:$A$5001,$B$2:$B$5001,B1802),1,0))</f>
        <v/>
      </c>
      <c r="K1802" s="16" t="str">
        <f aca="false">IF(B1802="","",IF(AND(D1802="Formalização",E1802="Concluído"),IF(COUNTIFS($B$2:$B$5001,B1802,$E$2:$E$5001,"Em ajustes",$A$2:$A$5001,"&lt;"&amp;I1802)&gt;0,1,0),0))</f>
        <v/>
      </c>
      <c r="L1802" s="16" t="str">
        <f aca="false">IF(B1802="","",IF(A1802=_xlfn.MAXIFS($A$2:$A$5001,$B$2:$B$5001,B1802,$I$2:$I$5001,I1802),1,0))</f>
        <v/>
      </c>
    </row>
    <row r="1803" customFormat="false" ht="15" hidden="false" customHeight="false" outlineLevel="0" collapsed="false">
      <c r="I1803" s="15" t="str">
        <f aca="false">IF(A1803="","",INT(A1803))</f>
        <v/>
      </c>
      <c r="J1803" s="16" t="str">
        <f aca="false">IF(B1803="","",IF(A1803=_xlfn.MINIFS($A$2:$A$5001,$B$2:$B$5001,B1803),1,0))</f>
        <v/>
      </c>
      <c r="K1803" s="16" t="str">
        <f aca="false">IF(B1803="","",IF(AND(D1803="Formalização",E1803="Concluído"),IF(COUNTIFS($B$2:$B$5001,B1803,$E$2:$E$5001,"Em ajustes",$A$2:$A$5001,"&lt;"&amp;I1803)&gt;0,1,0),0))</f>
        <v/>
      </c>
      <c r="L1803" s="16" t="str">
        <f aca="false">IF(B1803="","",IF(A1803=_xlfn.MAXIFS($A$2:$A$5001,$B$2:$B$5001,B1803,$I$2:$I$5001,I1803),1,0))</f>
        <v/>
      </c>
    </row>
    <row r="1804" customFormat="false" ht="15" hidden="false" customHeight="false" outlineLevel="0" collapsed="false">
      <c r="I1804" s="15" t="str">
        <f aca="false">IF(A1804="","",INT(A1804))</f>
        <v/>
      </c>
      <c r="J1804" s="16" t="str">
        <f aca="false">IF(B1804="","",IF(A1804=_xlfn.MINIFS($A$2:$A$5001,$B$2:$B$5001,B1804),1,0))</f>
        <v/>
      </c>
      <c r="K1804" s="16" t="str">
        <f aca="false">IF(B1804="","",IF(AND(D1804="Formalização",E1804="Concluído"),IF(COUNTIFS($B$2:$B$5001,B1804,$E$2:$E$5001,"Em ajustes",$A$2:$A$5001,"&lt;"&amp;I1804)&gt;0,1,0),0))</f>
        <v/>
      </c>
      <c r="L1804" s="16" t="str">
        <f aca="false">IF(B1804="","",IF(A1804=_xlfn.MAXIFS($A$2:$A$5001,$B$2:$B$5001,B1804,$I$2:$I$5001,I1804),1,0))</f>
        <v/>
      </c>
    </row>
    <row r="1805" customFormat="false" ht="15" hidden="false" customHeight="false" outlineLevel="0" collapsed="false">
      <c r="I1805" s="15" t="str">
        <f aca="false">IF(A1805="","",INT(A1805))</f>
        <v/>
      </c>
      <c r="J1805" s="16" t="str">
        <f aca="false">IF(B1805="","",IF(A1805=_xlfn.MINIFS($A$2:$A$5001,$B$2:$B$5001,B1805),1,0))</f>
        <v/>
      </c>
      <c r="K1805" s="16" t="str">
        <f aca="false">IF(B1805="","",IF(AND(D1805="Formalização",E1805="Concluído"),IF(COUNTIFS($B$2:$B$5001,B1805,$E$2:$E$5001,"Em ajustes",$A$2:$A$5001,"&lt;"&amp;I1805)&gt;0,1,0),0))</f>
        <v/>
      </c>
      <c r="L1805" s="16" t="str">
        <f aca="false">IF(B1805="","",IF(A1805=_xlfn.MAXIFS($A$2:$A$5001,$B$2:$B$5001,B1805,$I$2:$I$5001,I1805),1,0))</f>
        <v/>
      </c>
    </row>
    <row r="1806" customFormat="false" ht="15" hidden="false" customHeight="false" outlineLevel="0" collapsed="false">
      <c r="I1806" s="15" t="str">
        <f aca="false">IF(A1806="","",INT(A1806))</f>
        <v/>
      </c>
      <c r="J1806" s="16" t="str">
        <f aca="false">IF(B1806="","",IF(A1806=_xlfn.MINIFS($A$2:$A$5001,$B$2:$B$5001,B1806),1,0))</f>
        <v/>
      </c>
      <c r="K1806" s="16" t="str">
        <f aca="false">IF(B1806="","",IF(AND(D1806="Formalização",E1806="Concluído"),IF(COUNTIFS($B$2:$B$5001,B1806,$E$2:$E$5001,"Em ajustes",$A$2:$A$5001,"&lt;"&amp;I1806)&gt;0,1,0),0))</f>
        <v/>
      </c>
      <c r="L1806" s="16" t="str">
        <f aca="false">IF(B1806="","",IF(A1806=_xlfn.MAXIFS($A$2:$A$5001,$B$2:$B$5001,B1806,$I$2:$I$5001,I1806),1,0))</f>
        <v/>
      </c>
    </row>
    <row r="1807" customFormat="false" ht="15" hidden="false" customHeight="false" outlineLevel="0" collapsed="false">
      <c r="I1807" s="15" t="str">
        <f aca="false">IF(A1807="","",INT(A1807))</f>
        <v/>
      </c>
      <c r="J1807" s="16" t="str">
        <f aca="false">IF(B1807="","",IF(A1807=_xlfn.MINIFS($A$2:$A$5001,$B$2:$B$5001,B1807),1,0))</f>
        <v/>
      </c>
      <c r="K1807" s="16" t="str">
        <f aca="false">IF(B1807="","",IF(AND(D1807="Formalização",E1807="Concluído"),IF(COUNTIFS($B$2:$B$5001,B1807,$E$2:$E$5001,"Em ajustes",$A$2:$A$5001,"&lt;"&amp;I1807)&gt;0,1,0),0))</f>
        <v/>
      </c>
      <c r="L1807" s="16" t="str">
        <f aca="false">IF(B1807="","",IF(A1807=_xlfn.MAXIFS($A$2:$A$5001,$B$2:$B$5001,B1807,$I$2:$I$5001,I1807),1,0))</f>
        <v/>
      </c>
    </row>
    <row r="1808" customFormat="false" ht="15" hidden="false" customHeight="false" outlineLevel="0" collapsed="false">
      <c r="I1808" s="15" t="str">
        <f aca="false">IF(A1808="","",INT(A1808))</f>
        <v/>
      </c>
      <c r="J1808" s="16" t="str">
        <f aca="false">IF(B1808="","",IF(A1808=_xlfn.MINIFS($A$2:$A$5001,$B$2:$B$5001,B1808),1,0))</f>
        <v/>
      </c>
      <c r="K1808" s="16" t="str">
        <f aca="false">IF(B1808="","",IF(AND(D1808="Formalização",E1808="Concluído"),IF(COUNTIFS($B$2:$B$5001,B1808,$E$2:$E$5001,"Em ajustes",$A$2:$A$5001,"&lt;"&amp;I1808)&gt;0,1,0),0))</f>
        <v/>
      </c>
      <c r="L1808" s="16" t="str">
        <f aca="false">IF(B1808="","",IF(A1808=_xlfn.MAXIFS($A$2:$A$5001,$B$2:$B$5001,B1808,$I$2:$I$5001,I1808),1,0))</f>
        <v/>
      </c>
    </row>
    <row r="1809" customFormat="false" ht="15" hidden="false" customHeight="false" outlineLevel="0" collapsed="false">
      <c r="I1809" s="15" t="str">
        <f aca="false">IF(A1809="","",INT(A1809))</f>
        <v/>
      </c>
      <c r="J1809" s="16" t="str">
        <f aca="false">IF(B1809="","",IF(A1809=_xlfn.MINIFS($A$2:$A$5001,$B$2:$B$5001,B1809),1,0))</f>
        <v/>
      </c>
      <c r="K1809" s="16" t="str">
        <f aca="false">IF(B1809="","",IF(AND(D1809="Formalização",E1809="Concluído"),IF(COUNTIFS($B$2:$B$5001,B1809,$E$2:$E$5001,"Em ajustes",$A$2:$A$5001,"&lt;"&amp;I1809)&gt;0,1,0),0))</f>
        <v/>
      </c>
      <c r="L1809" s="16" t="str">
        <f aca="false">IF(B1809="","",IF(A1809=_xlfn.MAXIFS($A$2:$A$5001,$B$2:$B$5001,B1809,$I$2:$I$5001,I1809),1,0))</f>
        <v/>
      </c>
    </row>
    <row r="1810" customFormat="false" ht="15" hidden="false" customHeight="false" outlineLevel="0" collapsed="false">
      <c r="I1810" s="15" t="str">
        <f aca="false">IF(A1810="","",INT(A1810))</f>
        <v/>
      </c>
      <c r="J1810" s="16" t="str">
        <f aca="false">IF(B1810="","",IF(A1810=_xlfn.MINIFS($A$2:$A$5001,$B$2:$B$5001,B1810),1,0))</f>
        <v/>
      </c>
      <c r="K1810" s="16" t="str">
        <f aca="false">IF(B1810="","",IF(AND(D1810="Formalização",E1810="Concluído"),IF(COUNTIFS($B$2:$B$5001,B1810,$E$2:$E$5001,"Em ajustes",$A$2:$A$5001,"&lt;"&amp;I1810)&gt;0,1,0),0))</f>
        <v/>
      </c>
      <c r="L1810" s="16" t="str">
        <f aca="false">IF(B1810="","",IF(A1810=_xlfn.MAXIFS($A$2:$A$5001,$B$2:$B$5001,B1810,$I$2:$I$5001,I1810),1,0))</f>
        <v/>
      </c>
    </row>
    <row r="1811" customFormat="false" ht="15" hidden="false" customHeight="false" outlineLevel="0" collapsed="false">
      <c r="I1811" s="15" t="str">
        <f aca="false">IF(A1811="","",INT(A1811))</f>
        <v/>
      </c>
      <c r="J1811" s="16" t="str">
        <f aca="false">IF(B1811="","",IF(A1811=_xlfn.MINIFS($A$2:$A$5001,$B$2:$B$5001,B1811),1,0))</f>
        <v/>
      </c>
      <c r="K1811" s="16" t="str">
        <f aca="false">IF(B1811="","",IF(AND(D1811="Formalização",E1811="Concluído"),IF(COUNTIFS($B$2:$B$5001,B1811,$E$2:$E$5001,"Em ajustes",$A$2:$A$5001,"&lt;"&amp;I1811)&gt;0,1,0),0))</f>
        <v/>
      </c>
      <c r="L1811" s="16" t="str">
        <f aca="false">IF(B1811="","",IF(A1811=_xlfn.MAXIFS($A$2:$A$5001,$B$2:$B$5001,B1811,$I$2:$I$5001,I1811),1,0))</f>
        <v/>
      </c>
    </row>
    <row r="1812" customFormat="false" ht="15" hidden="false" customHeight="false" outlineLevel="0" collapsed="false">
      <c r="I1812" s="15" t="str">
        <f aca="false">IF(A1812="","",INT(A1812))</f>
        <v/>
      </c>
      <c r="J1812" s="16" t="str">
        <f aca="false">IF(B1812="","",IF(A1812=_xlfn.MINIFS($A$2:$A$5001,$B$2:$B$5001,B1812),1,0))</f>
        <v/>
      </c>
      <c r="K1812" s="16" t="str">
        <f aca="false">IF(B1812="","",IF(AND(D1812="Formalização",E1812="Concluído"),IF(COUNTIFS($B$2:$B$5001,B1812,$E$2:$E$5001,"Em ajustes",$A$2:$A$5001,"&lt;"&amp;I1812)&gt;0,1,0),0))</f>
        <v/>
      </c>
      <c r="L1812" s="16" t="str">
        <f aca="false">IF(B1812="","",IF(A1812=_xlfn.MAXIFS($A$2:$A$5001,$B$2:$B$5001,B1812,$I$2:$I$5001,I1812),1,0))</f>
        <v/>
      </c>
    </row>
    <row r="1813" customFormat="false" ht="15" hidden="false" customHeight="false" outlineLevel="0" collapsed="false">
      <c r="I1813" s="15" t="str">
        <f aca="false">IF(A1813="","",INT(A1813))</f>
        <v/>
      </c>
      <c r="J1813" s="16" t="str">
        <f aca="false">IF(B1813="","",IF(A1813=_xlfn.MINIFS($A$2:$A$5001,$B$2:$B$5001,B1813),1,0))</f>
        <v/>
      </c>
      <c r="K1813" s="16" t="str">
        <f aca="false">IF(B1813="","",IF(AND(D1813="Formalização",E1813="Concluído"),IF(COUNTIFS($B$2:$B$5001,B1813,$E$2:$E$5001,"Em ajustes",$A$2:$A$5001,"&lt;"&amp;I1813)&gt;0,1,0),0))</f>
        <v/>
      </c>
      <c r="L1813" s="16" t="str">
        <f aca="false">IF(B1813="","",IF(A1813=_xlfn.MAXIFS($A$2:$A$5001,$B$2:$B$5001,B1813,$I$2:$I$5001,I1813),1,0))</f>
        <v/>
      </c>
    </row>
    <row r="1814" customFormat="false" ht="15" hidden="false" customHeight="false" outlineLevel="0" collapsed="false">
      <c r="I1814" s="15" t="str">
        <f aca="false">IF(A1814="","",INT(A1814))</f>
        <v/>
      </c>
      <c r="J1814" s="16" t="str">
        <f aca="false">IF(B1814="","",IF(A1814=_xlfn.MINIFS($A$2:$A$5001,$B$2:$B$5001,B1814),1,0))</f>
        <v/>
      </c>
      <c r="K1814" s="16" t="str">
        <f aca="false">IF(B1814="","",IF(AND(D1814="Formalização",E1814="Concluído"),IF(COUNTIFS($B$2:$B$5001,B1814,$E$2:$E$5001,"Em ajustes",$A$2:$A$5001,"&lt;"&amp;I1814)&gt;0,1,0),0))</f>
        <v/>
      </c>
      <c r="L1814" s="16" t="str">
        <f aca="false">IF(B1814="","",IF(A1814=_xlfn.MAXIFS($A$2:$A$5001,$B$2:$B$5001,B1814,$I$2:$I$5001,I1814),1,0))</f>
        <v/>
      </c>
    </row>
    <row r="1815" customFormat="false" ht="15" hidden="false" customHeight="false" outlineLevel="0" collapsed="false">
      <c r="I1815" s="15" t="str">
        <f aca="false">IF(A1815="","",INT(A1815))</f>
        <v/>
      </c>
      <c r="J1815" s="16" t="str">
        <f aca="false">IF(B1815="","",IF(A1815=_xlfn.MINIFS($A$2:$A$5001,$B$2:$B$5001,B1815),1,0))</f>
        <v/>
      </c>
      <c r="K1815" s="16" t="str">
        <f aca="false">IF(B1815="","",IF(AND(D1815="Formalização",E1815="Concluído"),IF(COUNTIFS($B$2:$B$5001,B1815,$E$2:$E$5001,"Em ajustes",$A$2:$A$5001,"&lt;"&amp;I1815)&gt;0,1,0),0))</f>
        <v/>
      </c>
      <c r="L1815" s="16" t="str">
        <f aca="false">IF(B1815="","",IF(A1815=_xlfn.MAXIFS($A$2:$A$5001,$B$2:$B$5001,B1815,$I$2:$I$5001,I1815),1,0))</f>
        <v/>
      </c>
    </row>
    <row r="1816" customFormat="false" ht="15" hidden="false" customHeight="false" outlineLevel="0" collapsed="false">
      <c r="I1816" s="15" t="str">
        <f aca="false">IF(A1816="","",INT(A1816))</f>
        <v/>
      </c>
      <c r="J1816" s="16" t="str">
        <f aca="false">IF(B1816="","",IF(A1816=_xlfn.MINIFS($A$2:$A$5001,$B$2:$B$5001,B1816),1,0))</f>
        <v/>
      </c>
      <c r="K1816" s="16" t="str">
        <f aca="false">IF(B1816="","",IF(AND(D1816="Formalização",E1816="Concluído"),IF(COUNTIFS($B$2:$B$5001,B1816,$E$2:$E$5001,"Em ajustes",$A$2:$A$5001,"&lt;"&amp;I1816)&gt;0,1,0),0))</f>
        <v/>
      </c>
      <c r="L1816" s="16" t="str">
        <f aca="false">IF(B1816="","",IF(A1816=_xlfn.MAXIFS($A$2:$A$5001,$B$2:$B$5001,B1816,$I$2:$I$5001,I1816),1,0))</f>
        <v/>
      </c>
    </row>
    <row r="1817" customFormat="false" ht="15" hidden="false" customHeight="false" outlineLevel="0" collapsed="false">
      <c r="I1817" s="15" t="str">
        <f aca="false">IF(A1817="","",INT(A1817))</f>
        <v/>
      </c>
      <c r="J1817" s="16" t="str">
        <f aca="false">IF(B1817="","",IF(A1817=_xlfn.MINIFS($A$2:$A$5001,$B$2:$B$5001,B1817),1,0))</f>
        <v/>
      </c>
      <c r="K1817" s="16" t="str">
        <f aca="false">IF(B1817="","",IF(AND(D1817="Formalização",E1817="Concluído"),IF(COUNTIFS($B$2:$B$5001,B1817,$E$2:$E$5001,"Em ajustes",$A$2:$A$5001,"&lt;"&amp;I1817)&gt;0,1,0),0))</f>
        <v/>
      </c>
      <c r="L1817" s="16" t="str">
        <f aca="false">IF(B1817="","",IF(A1817=_xlfn.MAXIFS($A$2:$A$5001,$B$2:$B$5001,B1817,$I$2:$I$5001,I1817),1,0))</f>
        <v/>
      </c>
    </row>
    <row r="1818" customFormat="false" ht="15" hidden="false" customHeight="false" outlineLevel="0" collapsed="false">
      <c r="I1818" s="15" t="str">
        <f aca="false">IF(A1818="","",INT(A1818))</f>
        <v/>
      </c>
      <c r="J1818" s="16" t="str">
        <f aca="false">IF(B1818="","",IF(A1818=_xlfn.MINIFS($A$2:$A$5001,$B$2:$B$5001,B1818),1,0))</f>
        <v/>
      </c>
      <c r="K1818" s="16" t="str">
        <f aca="false">IF(B1818="","",IF(AND(D1818="Formalização",E1818="Concluído"),IF(COUNTIFS($B$2:$B$5001,B1818,$E$2:$E$5001,"Em ajustes",$A$2:$A$5001,"&lt;"&amp;I1818)&gt;0,1,0),0))</f>
        <v/>
      </c>
      <c r="L1818" s="16" t="str">
        <f aca="false">IF(B1818="","",IF(A1818=_xlfn.MAXIFS($A$2:$A$5001,$B$2:$B$5001,B1818,$I$2:$I$5001,I1818),1,0))</f>
        <v/>
      </c>
    </row>
    <row r="1819" customFormat="false" ht="15" hidden="false" customHeight="false" outlineLevel="0" collapsed="false">
      <c r="I1819" s="15" t="str">
        <f aca="false">IF(A1819="","",INT(A1819))</f>
        <v/>
      </c>
      <c r="J1819" s="16" t="str">
        <f aca="false">IF(B1819="","",IF(A1819=_xlfn.MINIFS($A$2:$A$5001,$B$2:$B$5001,B1819),1,0))</f>
        <v/>
      </c>
      <c r="K1819" s="16" t="str">
        <f aca="false">IF(B1819="","",IF(AND(D1819="Formalização",E1819="Concluído"),IF(COUNTIFS($B$2:$B$5001,B1819,$E$2:$E$5001,"Em ajustes",$A$2:$A$5001,"&lt;"&amp;I1819)&gt;0,1,0),0))</f>
        <v/>
      </c>
      <c r="L1819" s="16" t="str">
        <f aca="false">IF(B1819="","",IF(A1819=_xlfn.MAXIFS($A$2:$A$5001,$B$2:$B$5001,B1819,$I$2:$I$5001,I1819),1,0))</f>
        <v/>
      </c>
    </row>
    <row r="1820" customFormat="false" ht="15" hidden="false" customHeight="false" outlineLevel="0" collapsed="false">
      <c r="I1820" s="15" t="str">
        <f aca="false">IF(A1820="","",INT(A1820))</f>
        <v/>
      </c>
      <c r="J1820" s="16" t="str">
        <f aca="false">IF(B1820="","",IF(A1820=_xlfn.MINIFS($A$2:$A$5001,$B$2:$B$5001,B1820),1,0))</f>
        <v/>
      </c>
      <c r="K1820" s="16" t="str">
        <f aca="false">IF(B1820="","",IF(AND(D1820="Formalização",E1820="Concluído"),IF(COUNTIFS($B$2:$B$5001,B1820,$E$2:$E$5001,"Em ajustes",$A$2:$A$5001,"&lt;"&amp;I1820)&gt;0,1,0),0))</f>
        <v/>
      </c>
      <c r="L1820" s="16" t="str">
        <f aca="false">IF(B1820="","",IF(A1820=_xlfn.MAXIFS($A$2:$A$5001,$B$2:$B$5001,B1820,$I$2:$I$5001,I1820),1,0))</f>
        <v/>
      </c>
    </row>
    <row r="1821" customFormat="false" ht="15" hidden="false" customHeight="false" outlineLevel="0" collapsed="false">
      <c r="I1821" s="15" t="str">
        <f aca="false">IF(A1821="","",INT(A1821))</f>
        <v/>
      </c>
      <c r="J1821" s="16" t="str">
        <f aca="false">IF(B1821="","",IF(A1821=_xlfn.MINIFS($A$2:$A$5001,$B$2:$B$5001,B1821),1,0))</f>
        <v/>
      </c>
      <c r="K1821" s="16" t="str">
        <f aca="false">IF(B1821="","",IF(AND(D1821="Formalização",E1821="Concluído"),IF(COUNTIFS($B$2:$B$5001,B1821,$E$2:$E$5001,"Em ajustes",$A$2:$A$5001,"&lt;"&amp;I1821)&gt;0,1,0),0))</f>
        <v/>
      </c>
      <c r="L1821" s="16" t="str">
        <f aca="false">IF(B1821="","",IF(A1821=_xlfn.MAXIFS($A$2:$A$5001,$B$2:$B$5001,B1821,$I$2:$I$5001,I1821),1,0))</f>
        <v/>
      </c>
    </row>
    <row r="1822" customFormat="false" ht="15" hidden="false" customHeight="false" outlineLevel="0" collapsed="false">
      <c r="I1822" s="15" t="str">
        <f aca="false">IF(A1822="","",INT(A1822))</f>
        <v/>
      </c>
      <c r="J1822" s="16" t="str">
        <f aca="false">IF(B1822="","",IF(A1822=_xlfn.MINIFS($A$2:$A$5001,$B$2:$B$5001,B1822),1,0))</f>
        <v/>
      </c>
      <c r="K1822" s="16" t="str">
        <f aca="false">IF(B1822="","",IF(AND(D1822="Formalização",E1822="Concluído"),IF(COUNTIFS($B$2:$B$5001,B1822,$E$2:$E$5001,"Em ajustes",$A$2:$A$5001,"&lt;"&amp;I1822)&gt;0,1,0),0))</f>
        <v/>
      </c>
      <c r="L1822" s="16" t="str">
        <f aca="false">IF(B1822="","",IF(A1822=_xlfn.MAXIFS($A$2:$A$5001,$B$2:$B$5001,B1822,$I$2:$I$5001,I1822),1,0))</f>
        <v/>
      </c>
    </row>
    <row r="1823" customFormat="false" ht="15" hidden="false" customHeight="false" outlineLevel="0" collapsed="false">
      <c r="I1823" s="15" t="str">
        <f aca="false">IF(A1823="","",INT(A1823))</f>
        <v/>
      </c>
      <c r="J1823" s="16" t="str">
        <f aca="false">IF(B1823="","",IF(A1823=_xlfn.MINIFS($A$2:$A$5001,$B$2:$B$5001,B1823),1,0))</f>
        <v/>
      </c>
      <c r="K1823" s="16" t="str">
        <f aca="false">IF(B1823="","",IF(AND(D1823="Formalização",E1823="Concluído"),IF(COUNTIFS($B$2:$B$5001,B1823,$E$2:$E$5001,"Em ajustes",$A$2:$A$5001,"&lt;"&amp;I1823)&gt;0,1,0),0))</f>
        <v/>
      </c>
      <c r="L1823" s="16" t="str">
        <f aca="false">IF(B1823="","",IF(A1823=_xlfn.MAXIFS($A$2:$A$5001,$B$2:$B$5001,B1823,$I$2:$I$5001,I1823),1,0))</f>
        <v/>
      </c>
    </row>
    <row r="1824" customFormat="false" ht="15" hidden="false" customHeight="false" outlineLevel="0" collapsed="false">
      <c r="I1824" s="15" t="str">
        <f aca="false">IF(A1824="","",INT(A1824))</f>
        <v/>
      </c>
      <c r="J1824" s="16" t="str">
        <f aca="false">IF(B1824="","",IF(A1824=_xlfn.MINIFS($A$2:$A$5001,$B$2:$B$5001,B1824),1,0))</f>
        <v/>
      </c>
      <c r="K1824" s="16" t="str">
        <f aca="false">IF(B1824="","",IF(AND(D1824="Formalização",E1824="Concluído"),IF(COUNTIFS($B$2:$B$5001,B1824,$E$2:$E$5001,"Em ajustes",$A$2:$A$5001,"&lt;"&amp;I1824)&gt;0,1,0),0))</f>
        <v/>
      </c>
      <c r="L1824" s="16" t="str">
        <f aca="false">IF(B1824="","",IF(A1824=_xlfn.MAXIFS($A$2:$A$5001,$B$2:$B$5001,B1824,$I$2:$I$5001,I1824),1,0))</f>
        <v/>
      </c>
    </row>
    <row r="1825" customFormat="false" ht="15" hidden="false" customHeight="false" outlineLevel="0" collapsed="false">
      <c r="I1825" s="15" t="str">
        <f aca="false">IF(A1825="","",INT(A1825))</f>
        <v/>
      </c>
      <c r="J1825" s="16" t="str">
        <f aca="false">IF(B1825="","",IF(A1825=_xlfn.MINIFS($A$2:$A$5001,$B$2:$B$5001,B1825),1,0))</f>
        <v/>
      </c>
      <c r="K1825" s="16" t="str">
        <f aca="false">IF(B1825="","",IF(AND(D1825="Formalização",E1825="Concluído"),IF(COUNTIFS($B$2:$B$5001,B1825,$E$2:$E$5001,"Em ajustes",$A$2:$A$5001,"&lt;"&amp;I1825)&gt;0,1,0),0))</f>
        <v/>
      </c>
      <c r="L1825" s="16" t="str">
        <f aca="false">IF(B1825="","",IF(A1825=_xlfn.MAXIFS($A$2:$A$5001,$B$2:$B$5001,B1825,$I$2:$I$5001,I1825),1,0))</f>
        <v/>
      </c>
    </row>
    <row r="1826" customFormat="false" ht="15" hidden="false" customHeight="false" outlineLevel="0" collapsed="false">
      <c r="I1826" s="15" t="str">
        <f aca="false">IF(A1826="","",INT(A1826))</f>
        <v/>
      </c>
      <c r="J1826" s="16" t="str">
        <f aca="false">IF(B1826="","",IF(A1826=_xlfn.MINIFS($A$2:$A$5001,$B$2:$B$5001,B1826),1,0))</f>
        <v/>
      </c>
      <c r="K1826" s="16" t="str">
        <f aca="false">IF(B1826="","",IF(AND(D1826="Formalização",E1826="Concluído"),IF(COUNTIFS($B$2:$B$5001,B1826,$E$2:$E$5001,"Em ajustes",$A$2:$A$5001,"&lt;"&amp;I1826)&gt;0,1,0),0))</f>
        <v/>
      </c>
      <c r="L1826" s="16" t="str">
        <f aca="false">IF(B1826="","",IF(A1826=_xlfn.MAXIFS($A$2:$A$5001,$B$2:$B$5001,B1826,$I$2:$I$5001,I1826),1,0))</f>
        <v/>
      </c>
    </row>
    <row r="1827" customFormat="false" ht="15" hidden="false" customHeight="false" outlineLevel="0" collapsed="false">
      <c r="I1827" s="15" t="str">
        <f aca="false">IF(A1827="","",INT(A1827))</f>
        <v/>
      </c>
      <c r="J1827" s="16" t="str">
        <f aca="false">IF(B1827="","",IF(A1827=_xlfn.MINIFS($A$2:$A$5001,$B$2:$B$5001,B1827),1,0))</f>
        <v/>
      </c>
      <c r="K1827" s="16" t="str">
        <f aca="false">IF(B1827="","",IF(AND(D1827="Formalização",E1827="Concluído"),IF(COUNTIFS($B$2:$B$5001,B1827,$E$2:$E$5001,"Em ajustes",$A$2:$A$5001,"&lt;"&amp;I1827)&gt;0,1,0),0))</f>
        <v/>
      </c>
      <c r="L1827" s="16" t="str">
        <f aca="false">IF(B1827="","",IF(A1827=_xlfn.MAXIFS($A$2:$A$5001,$B$2:$B$5001,B1827,$I$2:$I$5001,I1827),1,0))</f>
        <v/>
      </c>
    </row>
    <row r="1828" customFormat="false" ht="15" hidden="false" customHeight="false" outlineLevel="0" collapsed="false">
      <c r="I1828" s="15" t="str">
        <f aca="false">IF(A1828="","",INT(A1828))</f>
        <v/>
      </c>
      <c r="J1828" s="16" t="str">
        <f aca="false">IF(B1828="","",IF(A1828=_xlfn.MINIFS($A$2:$A$5001,$B$2:$B$5001,B1828),1,0))</f>
        <v/>
      </c>
      <c r="K1828" s="16" t="str">
        <f aca="false">IF(B1828="","",IF(AND(D1828="Formalização",E1828="Concluído"),IF(COUNTIFS($B$2:$B$5001,B1828,$E$2:$E$5001,"Em ajustes",$A$2:$A$5001,"&lt;"&amp;I1828)&gt;0,1,0),0))</f>
        <v/>
      </c>
      <c r="L1828" s="16" t="str">
        <f aca="false">IF(B1828="","",IF(A1828=_xlfn.MAXIFS($A$2:$A$5001,$B$2:$B$5001,B1828,$I$2:$I$5001,I1828),1,0))</f>
        <v/>
      </c>
    </row>
    <row r="1829" customFormat="false" ht="15" hidden="false" customHeight="false" outlineLevel="0" collapsed="false">
      <c r="I1829" s="15" t="str">
        <f aca="false">IF(A1829="","",INT(A1829))</f>
        <v/>
      </c>
      <c r="J1829" s="16" t="str">
        <f aca="false">IF(B1829="","",IF(A1829=_xlfn.MINIFS($A$2:$A$5001,$B$2:$B$5001,B1829),1,0))</f>
        <v/>
      </c>
      <c r="K1829" s="16" t="str">
        <f aca="false">IF(B1829="","",IF(AND(D1829="Formalização",E1829="Concluído"),IF(COUNTIFS($B$2:$B$5001,B1829,$E$2:$E$5001,"Em ajustes",$A$2:$A$5001,"&lt;"&amp;I1829)&gt;0,1,0),0))</f>
        <v/>
      </c>
      <c r="L1829" s="16" t="str">
        <f aca="false">IF(B1829="","",IF(A1829=_xlfn.MAXIFS($A$2:$A$5001,$B$2:$B$5001,B1829,$I$2:$I$5001,I1829),1,0))</f>
        <v/>
      </c>
    </row>
    <row r="1830" customFormat="false" ht="15" hidden="false" customHeight="false" outlineLevel="0" collapsed="false">
      <c r="I1830" s="15" t="str">
        <f aca="false">IF(A1830="","",INT(A1830))</f>
        <v/>
      </c>
      <c r="J1830" s="16" t="str">
        <f aca="false">IF(B1830="","",IF(A1830=_xlfn.MINIFS($A$2:$A$5001,$B$2:$B$5001,B1830),1,0))</f>
        <v/>
      </c>
      <c r="K1830" s="16" t="str">
        <f aca="false">IF(B1830="","",IF(AND(D1830="Formalização",E1830="Concluído"),IF(COUNTIFS($B$2:$B$5001,B1830,$E$2:$E$5001,"Em ajustes",$A$2:$A$5001,"&lt;"&amp;I1830)&gt;0,1,0),0))</f>
        <v/>
      </c>
      <c r="L1830" s="16" t="str">
        <f aca="false">IF(B1830="","",IF(A1830=_xlfn.MAXIFS($A$2:$A$5001,$B$2:$B$5001,B1830,$I$2:$I$5001,I1830),1,0))</f>
        <v/>
      </c>
    </row>
    <row r="1831" customFormat="false" ht="15" hidden="false" customHeight="false" outlineLevel="0" collapsed="false">
      <c r="I1831" s="15" t="str">
        <f aca="false">IF(A1831="","",INT(A1831))</f>
        <v/>
      </c>
      <c r="J1831" s="16" t="str">
        <f aca="false">IF(B1831="","",IF(A1831=_xlfn.MINIFS($A$2:$A$5001,$B$2:$B$5001,B1831),1,0))</f>
        <v/>
      </c>
      <c r="K1831" s="16" t="str">
        <f aca="false">IF(B1831="","",IF(AND(D1831="Formalização",E1831="Concluído"),IF(COUNTIFS($B$2:$B$5001,B1831,$E$2:$E$5001,"Em ajustes",$A$2:$A$5001,"&lt;"&amp;I1831)&gt;0,1,0),0))</f>
        <v/>
      </c>
      <c r="L1831" s="16" t="str">
        <f aca="false">IF(B1831="","",IF(A1831=_xlfn.MAXIFS($A$2:$A$5001,$B$2:$B$5001,B1831,$I$2:$I$5001,I1831),1,0))</f>
        <v/>
      </c>
    </row>
    <row r="1832" customFormat="false" ht="15" hidden="false" customHeight="false" outlineLevel="0" collapsed="false">
      <c r="I1832" s="15" t="str">
        <f aca="false">IF(A1832="","",INT(A1832))</f>
        <v/>
      </c>
      <c r="J1832" s="16" t="str">
        <f aca="false">IF(B1832="","",IF(A1832=_xlfn.MINIFS($A$2:$A$5001,$B$2:$B$5001,B1832),1,0))</f>
        <v/>
      </c>
      <c r="K1832" s="16" t="str">
        <f aca="false">IF(B1832="","",IF(AND(D1832="Formalização",E1832="Concluído"),IF(COUNTIFS($B$2:$B$5001,B1832,$E$2:$E$5001,"Em ajustes",$A$2:$A$5001,"&lt;"&amp;I1832)&gt;0,1,0),0))</f>
        <v/>
      </c>
      <c r="L1832" s="16" t="str">
        <f aca="false">IF(B1832="","",IF(A1832=_xlfn.MAXIFS($A$2:$A$5001,$B$2:$B$5001,B1832,$I$2:$I$5001,I1832),1,0))</f>
        <v/>
      </c>
    </row>
    <row r="1833" customFormat="false" ht="15" hidden="false" customHeight="false" outlineLevel="0" collapsed="false">
      <c r="I1833" s="15" t="str">
        <f aca="false">IF(A1833="","",INT(A1833))</f>
        <v/>
      </c>
      <c r="J1833" s="16" t="str">
        <f aca="false">IF(B1833="","",IF(A1833=_xlfn.MINIFS($A$2:$A$5001,$B$2:$B$5001,B1833),1,0))</f>
        <v/>
      </c>
      <c r="K1833" s="16" t="str">
        <f aca="false">IF(B1833="","",IF(AND(D1833="Formalização",E1833="Concluído"),IF(COUNTIFS($B$2:$B$5001,B1833,$E$2:$E$5001,"Em ajustes",$A$2:$A$5001,"&lt;"&amp;I1833)&gt;0,1,0),0))</f>
        <v/>
      </c>
      <c r="L1833" s="16" t="str">
        <f aca="false">IF(B1833="","",IF(A1833=_xlfn.MAXIFS($A$2:$A$5001,$B$2:$B$5001,B1833,$I$2:$I$5001,I1833),1,0))</f>
        <v/>
      </c>
    </row>
    <row r="1834" customFormat="false" ht="15" hidden="false" customHeight="false" outlineLevel="0" collapsed="false">
      <c r="I1834" s="15" t="str">
        <f aca="false">IF(A1834="","",INT(A1834))</f>
        <v/>
      </c>
      <c r="J1834" s="16" t="str">
        <f aca="false">IF(B1834="","",IF(A1834=_xlfn.MINIFS($A$2:$A$5001,$B$2:$B$5001,B1834),1,0))</f>
        <v/>
      </c>
      <c r="K1834" s="16" t="str">
        <f aca="false">IF(B1834="","",IF(AND(D1834="Formalização",E1834="Concluído"),IF(COUNTIFS($B$2:$B$5001,B1834,$E$2:$E$5001,"Em ajustes",$A$2:$A$5001,"&lt;"&amp;I1834)&gt;0,1,0),0))</f>
        <v/>
      </c>
      <c r="L1834" s="16" t="str">
        <f aca="false">IF(B1834="","",IF(A1834=_xlfn.MAXIFS($A$2:$A$5001,$B$2:$B$5001,B1834,$I$2:$I$5001,I1834),1,0))</f>
        <v/>
      </c>
    </row>
    <row r="1835" customFormat="false" ht="15" hidden="false" customHeight="false" outlineLevel="0" collapsed="false">
      <c r="I1835" s="15" t="str">
        <f aca="false">IF(A1835="","",INT(A1835))</f>
        <v/>
      </c>
      <c r="J1835" s="16" t="str">
        <f aca="false">IF(B1835="","",IF(A1835=_xlfn.MINIFS($A$2:$A$5001,$B$2:$B$5001,B1835),1,0))</f>
        <v/>
      </c>
      <c r="K1835" s="16" t="str">
        <f aca="false">IF(B1835="","",IF(AND(D1835="Formalização",E1835="Concluído"),IF(COUNTIFS($B$2:$B$5001,B1835,$E$2:$E$5001,"Em ajustes",$A$2:$A$5001,"&lt;"&amp;I1835)&gt;0,1,0),0))</f>
        <v/>
      </c>
      <c r="L1835" s="16" t="str">
        <f aca="false">IF(B1835="","",IF(A1835=_xlfn.MAXIFS($A$2:$A$5001,$B$2:$B$5001,B1835,$I$2:$I$5001,I1835),1,0))</f>
        <v/>
      </c>
    </row>
    <row r="1836" customFormat="false" ht="15" hidden="false" customHeight="false" outlineLevel="0" collapsed="false">
      <c r="I1836" s="15" t="str">
        <f aca="false">IF(A1836="","",INT(A1836))</f>
        <v/>
      </c>
      <c r="J1836" s="16" t="str">
        <f aca="false">IF(B1836="","",IF(A1836=_xlfn.MINIFS($A$2:$A$5001,$B$2:$B$5001,B1836),1,0))</f>
        <v/>
      </c>
      <c r="K1836" s="16" t="str">
        <f aca="false">IF(B1836="","",IF(AND(D1836="Formalização",E1836="Concluído"),IF(COUNTIFS($B$2:$B$5001,B1836,$E$2:$E$5001,"Em ajustes",$A$2:$A$5001,"&lt;"&amp;I1836)&gt;0,1,0),0))</f>
        <v/>
      </c>
      <c r="L1836" s="16" t="str">
        <f aca="false">IF(B1836="","",IF(A1836=_xlfn.MAXIFS($A$2:$A$5001,$B$2:$B$5001,B1836,$I$2:$I$5001,I1836),1,0))</f>
        <v/>
      </c>
    </row>
    <row r="1837" customFormat="false" ht="15" hidden="false" customHeight="false" outlineLevel="0" collapsed="false">
      <c r="I1837" s="15" t="str">
        <f aca="false">IF(A1837="","",INT(A1837))</f>
        <v/>
      </c>
      <c r="J1837" s="16" t="str">
        <f aca="false">IF(B1837="","",IF(A1837=_xlfn.MINIFS($A$2:$A$5001,$B$2:$B$5001,B1837),1,0))</f>
        <v/>
      </c>
      <c r="K1837" s="16" t="str">
        <f aca="false">IF(B1837="","",IF(AND(D1837="Formalização",E1837="Concluído"),IF(COUNTIFS($B$2:$B$5001,B1837,$E$2:$E$5001,"Em ajustes",$A$2:$A$5001,"&lt;"&amp;I1837)&gt;0,1,0),0))</f>
        <v/>
      </c>
      <c r="L1837" s="16" t="str">
        <f aca="false">IF(B1837="","",IF(A1837=_xlfn.MAXIFS($A$2:$A$5001,$B$2:$B$5001,B1837,$I$2:$I$5001,I1837),1,0))</f>
        <v/>
      </c>
    </row>
    <row r="1838" customFormat="false" ht="15" hidden="false" customHeight="false" outlineLevel="0" collapsed="false">
      <c r="I1838" s="15" t="str">
        <f aca="false">IF(A1838="","",INT(A1838))</f>
        <v/>
      </c>
      <c r="J1838" s="16" t="str">
        <f aca="false">IF(B1838="","",IF(A1838=_xlfn.MINIFS($A$2:$A$5001,$B$2:$B$5001,B1838),1,0))</f>
        <v/>
      </c>
      <c r="K1838" s="16" t="str">
        <f aca="false">IF(B1838="","",IF(AND(D1838="Formalização",E1838="Concluído"),IF(COUNTIFS($B$2:$B$5001,B1838,$E$2:$E$5001,"Em ajustes",$A$2:$A$5001,"&lt;"&amp;I1838)&gt;0,1,0),0))</f>
        <v/>
      </c>
      <c r="L1838" s="16" t="str">
        <f aca="false">IF(B1838="","",IF(A1838=_xlfn.MAXIFS($A$2:$A$5001,$B$2:$B$5001,B1838,$I$2:$I$5001,I1838),1,0))</f>
        <v/>
      </c>
    </row>
    <row r="1839" customFormat="false" ht="15" hidden="false" customHeight="false" outlineLevel="0" collapsed="false">
      <c r="I1839" s="15" t="str">
        <f aca="false">IF(A1839="","",INT(A1839))</f>
        <v/>
      </c>
      <c r="J1839" s="16" t="str">
        <f aca="false">IF(B1839="","",IF(A1839=_xlfn.MINIFS($A$2:$A$5001,$B$2:$B$5001,B1839),1,0))</f>
        <v/>
      </c>
      <c r="K1839" s="16" t="str">
        <f aca="false">IF(B1839="","",IF(AND(D1839="Formalização",E1839="Concluído"),IF(COUNTIFS($B$2:$B$5001,B1839,$E$2:$E$5001,"Em ajustes",$A$2:$A$5001,"&lt;"&amp;I1839)&gt;0,1,0),0))</f>
        <v/>
      </c>
      <c r="L1839" s="16" t="str">
        <f aca="false">IF(B1839="","",IF(A1839=_xlfn.MAXIFS($A$2:$A$5001,$B$2:$B$5001,B1839,$I$2:$I$5001,I1839),1,0))</f>
        <v/>
      </c>
    </row>
    <row r="1840" customFormat="false" ht="15" hidden="false" customHeight="false" outlineLevel="0" collapsed="false">
      <c r="I1840" s="15" t="str">
        <f aca="false">IF(A1840="","",INT(A1840))</f>
        <v/>
      </c>
      <c r="J1840" s="16" t="str">
        <f aca="false">IF(B1840="","",IF(A1840=_xlfn.MINIFS($A$2:$A$5001,$B$2:$B$5001,B1840),1,0))</f>
        <v/>
      </c>
      <c r="K1840" s="16" t="str">
        <f aca="false">IF(B1840="","",IF(AND(D1840="Formalização",E1840="Concluído"),IF(COUNTIFS($B$2:$B$5001,B1840,$E$2:$E$5001,"Em ajustes",$A$2:$A$5001,"&lt;"&amp;I1840)&gt;0,1,0),0))</f>
        <v/>
      </c>
      <c r="L1840" s="16" t="str">
        <f aca="false">IF(B1840="","",IF(A1840=_xlfn.MAXIFS($A$2:$A$5001,$B$2:$B$5001,B1840,$I$2:$I$5001,I1840),1,0))</f>
        <v/>
      </c>
    </row>
    <row r="1841" customFormat="false" ht="15" hidden="false" customHeight="false" outlineLevel="0" collapsed="false">
      <c r="I1841" s="15" t="str">
        <f aca="false">IF(A1841="","",INT(A1841))</f>
        <v/>
      </c>
      <c r="J1841" s="16" t="str">
        <f aca="false">IF(B1841="","",IF(A1841=_xlfn.MINIFS($A$2:$A$5001,$B$2:$B$5001,B1841),1,0))</f>
        <v/>
      </c>
      <c r="K1841" s="16" t="str">
        <f aca="false">IF(B1841="","",IF(AND(D1841="Formalização",E1841="Concluído"),IF(COUNTIFS($B$2:$B$5001,B1841,$E$2:$E$5001,"Em ajustes",$A$2:$A$5001,"&lt;"&amp;I1841)&gt;0,1,0),0))</f>
        <v/>
      </c>
      <c r="L1841" s="16" t="str">
        <f aca="false">IF(B1841="","",IF(A1841=_xlfn.MAXIFS($A$2:$A$5001,$B$2:$B$5001,B1841,$I$2:$I$5001,I1841),1,0))</f>
        <v/>
      </c>
    </row>
    <row r="1842" customFormat="false" ht="15" hidden="false" customHeight="false" outlineLevel="0" collapsed="false">
      <c r="I1842" s="15" t="str">
        <f aca="false">IF(A1842="","",INT(A1842))</f>
        <v/>
      </c>
      <c r="J1842" s="16" t="str">
        <f aca="false">IF(B1842="","",IF(A1842=_xlfn.MINIFS($A$2:$A$5001,$B$2:$B$5001,B1842),1,0))</f>
        <v/>
      </c>
      <c r="K1842" s="16" t="str">
        <f aca="false">IF(B1842="","",IF(AND(D1842="Formalização",E1842="Concluído"),IF(COUNTIFS($B$2:$B$5001,B1842,$E$2:$E$5001,"Em ajustes",$A$2:$A$5001,"&lt;"&amp;I1842)&gt;0,1,0),0))</f>
        <v/>
      </c>
      <c r="L1842" s="16" t="str">
        <f aca="false">IF(B1842="","",IF(A1842=_xlfn.MAXIFS($A$2:$A$5001,$B$2:$B$5001,B1842,$I$2:$I$5001,I1842),1,0))</f>
        <v/>
      </c>
    </row>
    <row r="1843" customFormat="false" ht="15" hidden="false" customHeight="false" outlineLevel="0" collapsed="false">
      <c r="I1843" s="15" t="str">
        <f aca="false">IF(A1843="","",INT(A1843))</f>
        <v/>
      </c>
      <c r="J1843" s="16" t="str">
        <f aca="false">IF(B1843="","",IF(A1843=_xlfn.MINIFS($A$2:$A$5001,$B$2:$B$5001,B1843),1,0))</f>
        <v/>
      </c>
      <c r="K1843" s="16" t="str">
        <f aca="false">IF(B1843="","",IF(AND(D1843="Formalização",E1843="Concluído"),IF(COUNTIFS($B$2:$B$5001,B1843,$E$2:$E$5001,"Em ajustes",$A$2:$A$5001,"&lt;"&amp;I1843)&gt;0,1,0),0))</f>
        <v/>
      </c>
      <c r="L1843" s="16" t="str">
        <f aca="false">IF(B1843="","",IF(A1843=_xlfn.MAXIFS($A$2:$A$5001,$B$2:$B$5001,B1843,$I$2:$I$5001,I1843),1,0))</f>
        <v/>
      </c>
    </row>
    <row r="1844" customFormat="false" ht="15" hidden="false" customHeight="false" outlineLevel="0" collapsed="false">
      <c r="I1844" s="15" t="str">
        <f aca="false">IF(A1844="","",INT(A1844))</f>
        <v/>
      </c>
      <c r="J1844" s="16" t="str">
        <f aca="false">IF(B1844="","",IF(A1844=_xlfn.MINIFS($A$2:$A$5001,$B$2:$B$5001,B1844),1,0))</f>
        <v/>
      </c>
      <c r="K1844" s="16" t="str">
        <f aca="false">IF(B1844="","",IF(AND(D1844="Formalização",E1844="Concluído"),IF(COUNTIFS($B$2:$B$5001,B1844,$E$2:$E$5001,"Em ajustes",$A$2:$A$5001,"&lt;"&amp;I1844)&gt;0,1,0),0))</f>
        <v/>
      </c>
      <c r="L1844" s="16" t="str">
        <f aca="false">IF(B1844="","",IF(A1844=_xlfn.MAXIFS($A$2:$A$5001,$B$2:$B$5001,B1844,$I$2:$I$5001,I1844),1,0))</f>
        <v/>
      </c>
    </row>
    <row r="1845" customFormat="false" ht="15" hidden="false" customHeight="false" outlineLevel="0" collapsed="false">
      <c r="I1845" s="15" t="str">
        <f aca="false">IF(A1845="","",INT(A1845))</f>
        <v/>
      </c>
      <c r="J1845" s="16" t="str">
        <f aca="false">IF(B1845="","",IF(A1845=_xlfn.MINIFS($A$2:$A$5001,$B$2:$B$5001,B1845),1,0))</f>
        <v/>
      </c>
      <c r="K1845" s="16" t="str">
        <f aca="false">IF(B1845="","",IF(AND(D1845="Formalização",E1845="Concluído"),IF(COUNTIFS($B$2:$B$5001,B1845,$E$2:$E$5001,"Em ajustes",$A$2:$A$5001,"&lt;"&amp;I1845)&gt;0,1,0),0))</f>
        <v/>
      </c>
      <c r="L1845" s="16" t="str">
        <f aca="false">IF(B1845="","",IF(A1845=_xlfn.MAXIFS($A$2:$A$5001,$B$2:$B$5001,B1845,$I$2:$I$5001,I1845),1,0))</f>
        <v/>
      </c>
    </row>
    <row r="1846" customFormat="false" ht="15" hidden="false" customHeight="false" outlineLevel="0" collapsed="false">
      <c r="I1846" s="15" t="str">
        <f aca="false">IF(A1846="","",INT(A1846))</f>
        <v/>
      </c>
      <c r="J1846" s="16" t="str">
        <f aca="false">IF(B1846="","",IF(A1846=_xlfn.MINIFS($A$2:$A$5001,$B$2:$B$5001,B1846),1,0))</f>
        <v/>
      </c>
      <c r="K1846" s="16" t="str">
        <f aca="false">IF(B1846="","",IF(AND(D1846="Formalização",E1846="Concluído"),IF(COUNTIFS($B$2:$B$5001,B1846,$E$2:$E$5001,"Em ajustes",$A$2:$A$5001,"&lt;"&amp;I1846)&gt;0,1,0),0))</f>
        <v/>
      </c>
      <c r="L1846" s="16" t="str">
        <f aca="false">IF(B1846="","",IF(A1846=_xlfn.MAXIFS($A$2:$A$5001,$B$2:$B$5001,B1846,$I$2:$I$5001,I1846),1,0))</f>
        <v/>
      </c>
    </row>
    <row r="1847" customFormat="false" ht="15" hidden="false" customHeight="false" outlineLevel="0" collapsed="false">
      <c r="I1847" s="15" t="str">
        <f aca="false">IF(A1847="","",INT(A1847))</f>
        <v/>
      </c>
      <c r="J1847" s="16" t="str">
        <f aca="false">IF(B1847="","",IF(A1847=_xlfn.MINIFS($A$2:$A$5001,$B$2:$B$5001,B1847),1,0))</f>
        <v/>
      </c>
      <c r="K1847" s="16" t="str">
        <f aca="false">IF(B1847="","",IF(AND(D1847="Formalização",E1847="Concluído"),IF(COUNTIFS($B$2:$B$5001,B1847,$E$2:$E$5001,"Em ajustes",$A$2:$A$5001,"&lt;"&amp;I1847)&gt;0,1,0),0))</f>
        <v/>
      </c>
      <c r="L1847" s="16" t="str">
        <f aca="false">IF(B1847="","",IF(A1847=_xlfn.MAXIFS($A$2:$A$5001,$B$2:$B$5001,B1847,$I$2:$I$5001,I1847),1,0))</f>
        <v/>
      </c>
    </row>
    <row r="1848" customFormat="false" ht="15" hidden="false" customHeight="false" outlineLevel="0" collapsed="false">
      <c r="I1848" s="15" t="str">
        <f aca="false">IF(A1848="","",INT(A1848))</f>
        <v/>
      </c>
      <c r="J1848" s="16" t="str">
        <f aca="false">IF(B1848="","",IF(A1848=_xlfn.MINIFS($A$2:$A$5001,$B$2:$B$5001,B1848),1,0))</f>
        <v/>
      </c>
      <c r="K1848" s="16" t="str">
        <f aca="false">IF(B1848="","",IF(AND(D1848="Formalização",E1848="Concluído"),IF(COUNTIFS($B$2:$B$5001,B1848,$E$2:$E$5001,"Em ajustes",$A$2:$A$5001,"&lt;"&amp;I1848)&gt;0,1,0),0))</f>
        <v/>
      </c>
      <c r="L1848" s="16" t="str">
        <f aca="false">IF(B1848="","",IF(A1848=_xlfn.MAXIFS($A$2:$A$5001,$B$2:$B$5001,B1848,$I$2:$I$5001,I1848),1,0))</f>
        <v/>
      </c>
    </row>
    <row r="1849" customFormat="false" ht="15" hidden="false" customHeight="false" outlineLevel="0" collapsed="false">
      <c r="I1849" s="15" t="str">
        <f aca="false">IF(A1849="","",INT(A1849))</f>
        <v/>
      </c>
      <c r="J1849" s="16" t="str">
        <f aca="false">IF(B1849="","",IF(A1849=_xlfn.MINIFS($A$2:$A$5001,$B$2:$B$5001,B1849),1,0))</f>
        <v/>
      </c>
      <c r="K1849" s="16" t="str">
        <f aca="false">IF(B1849="","",IF(AND(D1849="Formalização",E1849="Concluído"),IF(COUNTIFS($B$2:$B$5001,B1849,$E$2:$E$5001,"Em ajustes",$A$2:$A$5001,"&lt;"&amp;I1849)&gt;0,1,0),0))</f>
        <v/>
      </c>
      <c r="L1849" s="16" t="str">
        <f aca="false">IF(B1849="","",IF(A1849=_xlfn.MAXIFS($A$2:$A$5001,$B$2:$B$5001,B1849,$I$2:$I$5001,I1849),1,0))</f>
        <v/>
      </c>
    </row>
    <row r="1850" customFormat="false" ht="15" hidden="false" customHeight="false" outlineLevel="0" collapsed="false">
      <c r="I1850" s="15" t="str">
        <f aca="false">IF(A1850="","",INT(A1850))</f>
        <v/>
      </c>
      <c r="J1850" s="16" t="str">
        <f aca="false">IF(B1850="","",IF(A1850=_xlfn.MINIFS($A$2:$A$5001,$B$2:$B$5001,B1850),1,0))</f>
        <v/>
      </c>
      <c r="K1850" s="16" t="str">
        <f aca="false">IF(B1850="","",IF(AND(D1850="Formalização",E1850="Concluído"),IF(COUNTIFS($B$2:$B$5001,B1850,$E$2:$E$5001,"Em ajustes",$A$2:$A$5001,"&lt;"&amp;I1850)&gt;0,1,0),0))</f>
        <v/>
      </c>
      <c r="L1850" s="16" t="str">
        <f aca="false">IF(B1850="","",IF(A1850=_xlfn.MAXIFS($A$2:$A$5001,$B$2:$B$5001,B1850,$I$2:$I$5001,I1850),1,0))</f>
        <v/>
      </c>
    </row>
    <row r="1851" customFormat="false" ht="15" hidden="false" customHeight="false" outlineLevel="0" collapsed="false">
      <c r="I1851" s="15" t="str">
        <f aca="false">IF(A1851="","",INT(A1851))</f>
        <v/>
      </c>
      <c r="J1851" s="16" t="str">
        <f aca="false">IF(B1851="","",IF(A1851=_xlfn.MINIFS($A$2:$A$5001,$B$2:$B$5001,B1851),1,0))</f>
        <v/>
      </c>
      <c r="K1851" s="16" t="str">
        <f aca="false">IF(B1851="","",IF(AND(D1851="Formalização",E1851="Concluído"),IF(COUNTIFS($B$2:$B$5001,B1851,$E$2:$E$5001,"Em ajustes",$A$2:$A$5001,"&lt;"&amp;I1851)&gt;0,1,0),0))</f>
        <v/>
      </c>
      <c r="L1851" s="16" t="str">
        <f aca="false">IF(B1851="","",IF(A1851=_xlfn.MAXIFS($A$2:$A$5001,$B$2:$B$5001,B1851,$I$2:$I$5001,I1851),1,0))</f>
        <v/>
      </c>
    </row>
    <row r="1852" customFormat="false" ht="15" hidden="false" customHeight="false" outlineLevel="0" collapsed="false">
      <c r="I1852" s="15" t="str">
        <f aca="false">IF(A1852="","",INT(A1852))</f>
        <v/>
      </c>
      <c r="J1852" s="16" t="str">
        <f aca="false">IF(B1852="","",IF(A1852=_xlfn.MINIFS($A$2:$A$5001,$B$2:$B$5001,B1852),1,0))</f>
        <v/>
      </c>
      <c r="K1852" s="16" t="str">
        <f aca="false">IF(B1852="","",IF(AND(D1852="Formalização",E1852="Concluído"),IF(COUNTIFS($B$2:$B$5001,B1852,$E$2:$E$5001,"Em ajustes",$A$2:$A$5001,"&lt;"&amp;I1852)&gt;0,1,0),0))</f>
        <v/>
      </c>
      <c r="L1852" s="16" t="str">
        <f aca="false">IF(B1852="","",IF(A1852=_xlfn.MAXIFS($A$2:$A$5001,$B$2:$B$5001,B1852,$I$2:$I$5001,I1852),1,0))</f>
        <v/>
      </c>
    </row>
    <row r="1853" customFormat="false" ht="15" hidden="false" customHeight="false" outlineLevel="0" collapsed="false">
      <c r="I1853" s="15" t="str">
        <f aca="false">IF(A1853="","",INT(A1853))</f>
        <v/>
      </c>
      <c r="J1853" s="16" t="str">
        <f aca="false">IF(B1853="","",IF(A1853=_xlfn.MINIFS($A$2:$A$5001,$B$2:$B$5001,B1853),1,0))</f>
        <v/>
      </c>
      <c r="K1853" s="16" t="str">
        <f aca="false">IF(B1853="","",IF(AND(D1853="Formalização",E1853="Concluído"),IF(COUNTIFS($B$2:$B$5001,B1853,$E$2:$E$5001,"Em ajustes",$A$2:$A$5001,"&lt;"&amp;I1853)&gt;0,1,0),0))</f>
        <v/>
      </c>
      <c r="L1853" s="16" t="str">
        <f aca="false">IF(B1853="","",IF(A1853=_xlfn.MAXIFS($A$2:$A$5001,$B$2:$B$5001,B1853,$I$2:$I$5001,I1853),1,0))</f>
        <v/>
      </c>
    </row>
    <row r="1854" customFormat="false" ht="15" hidden="false" customHeight="false" outlineLevel="0" collapsed="false">
      <c r="I1854" s="15" t="str">
        <f aca="false">IF(A1854="","",INT(A1854))</f>
        <v/>
      </c>
      <c r="J1854" s="16" t="str">
        <f aca="false">IF(B1854="","",IF(A1854=_xlfn.MINIFS($A$2:$A$5001,$B$2:$B$5001,B1854),1,0))</f>
        <v/>
      </c>
      <c r="K1854" s="16" t="str">
        <f aca="false">IF(B1854="","",IF(AND(D1854="Formalização",E1854="Concluído"),IF(COUNTIFS($B$2:$B$5001,B1854,$E$2:$E$5001,"Em ajustes",$A$2:$A$5001,"&lt;"&amp;I1854)&gt;0,1,0),0))</f>
        <v/>
      </c>
      <c r="L1854" s="16" t="str">
        <f aca="false">IF(B1854="","",IF(A1854=_xlfn.MAXIFS($A$2:$A$5001,$B$2:$B$5001,B1854,$I$2:$I$5001,I1854),1,0))</f>
        <v/>
      </c>
    </row>
    <row r="1855" customFormat="false" ht="15" hidden="false" customHeight="false" outlineLevel="0" collapsed="false">
      <c r="I1855" s="15" t="str">
        <f aca="false">IF(A1855="","",INT(A1855))</f>
        <v/>
      </c>
      <c r="J1855" s="16" t="str">
        <f aca="false">IF(B1855="","",IF(A1855=_xlfn.MINIFS($A$2:$A$5001,$B$2:$B$5001,B1855),1,0))</f>
        <v/>
      </c>
      <c r="K1855" s="16" t="str">
        <f aca="false">IF(B1855="","",IF(AND(D1855="Formalização",E1855="Concluído"),IF(COUNTIFS($B$2:$B$5001,B1855,$E$2:$E$5001,"Em ajustes",$A$2:$A$5001,"&lt;"&amp;I1855)&gt;0,1,0),0))</f>
        <v/>
      </c>
      <c r="L1855" s="16" t="str">
        <f aca="false">IF(B1855="","",IF(A1855=_xlfn.MAXIFS($A$2:$A$5001,$B$2:$B$5001,B1855,$I$2:$I$5001,I1855),1,0))</f>
        <v/>
      </c>
    </row>
    <row r="1856" customFormat="false" ht="15" hidden="false" customHeight="false" outlineLevel="0" collapsed="false">
      <c r="I1856" s="15" t="str">
        <f aca="false">IF(A1856="","",INT(A1856))</f>
        <v/>
      </c>
      <c r="J1856" s="16" t="str">
        <f aca="false">IF(B1856="","",IF(A1856=_xlfn.MINIFS($A$2:$A$5001,$B$2:$B$5001,B1856),1,0))</f>
        <v/>
      </c>
      <c r="K1856" s="16" t="str">
        <f aca="false">IF(B1856="","",IF(AND(D1856="Formalização",E1856="Concluído"),IF(COUNTIFS($B$2:$B$5001,B1856,$E$2:$E$5001,"Em ajustes",$A$2:$A$5001,"&lt;"&amp;I1856)&gt;0,1,0),0))</f>
        <v/>
      </c>
      <c r="L1856" s="16" t="str">
        <f aca="false">IF(B1856="","",IF(A1856=_xlfn.MAXIFS($A$2:$A$5001,$B$2:$B$5001,B1856,$I$2:$I$5001,I1856),1,0))</f>
        <v/>
      </c>
    </row>
    <row r="1857" customFormat="false" ht="15" hidden="false" customHeight="false" outlineLevel="0" collapsed="false">
      <c r="I1857" s="15" t="str">
        <f aca="false">IF(A1857="","",INT(A1857))</f>
        <v/>
      </c>
      <c r="J1857" s="16" t="str">
        <f aca="false">IF(B1857="","",IF(A1857=_xlfn.MINIFS($A$2:$A$5001,$B$2:$B$5001,B1857),1,0))</f>
        <v/>
      </c>
      <c r="K1857" s="16" t="str">
        <f aca="false">IF(B1857="","",IF(AND(D1857="Formalização",E1857="Concluído"),IF(COUNTIFS($B$2:$B$5001,B1857,$E$2:$E$5001,"Em ajustes",$A$2:$A$5001,"&lt;"&amp;I1857)&gt;0,1,0),0))</f>
        <v/>
      </c>
      <c r="L1857" s="16" t="str">
        <f aca="false">IF(B1857="","",IF(A1857=_xlfn.MAXIFS($A$2:$A$5001,$B$2:$B$5001,B1857,$I$2:$I$5001,I1857),1,0))</f>
        <v/>
      </c>
    </row>
    <row r="1858" customFormat="false" ht="15" hidden="false" customHeight="false" outlineLevel="0" collapsed="false">
      <c r="I1858" s="15" t="str">
        <f aca="false">IF(A1858="","",INT(A1858))</f>
        <v/>
      </c>
      <c r="J1858" s="16" t="str">
        <f aca="false">IF(B1858="","",IF(A1858=_xlfn.MINIFS($A$2:$A$5001,$B$2:$B$5001,B1858),1,0))</f>
        <v/>
      </c>
      <c r="K1858" s="16" t="str">
        <f aca="false">IF(B1858="","",IF(AND(D1858="Formalização",E1858="Concluído"),IF(COUNTIFS($B$2:$B$5001,B1858,$E$2:$E$5001,"Em ajustes",$A$2:$A$5001,"&lt;"&amp;I1858)&gt;0,1,0),0))</f>
        <v/>
      </c>
      <c r="L1858" s="16" t="str">
        <f aca="false">IF(B1858="","",IF(A1858=_xlfn.MAXIFS($A$2:$A$5001,$B$2:$B$5001,B1858,$I$2:$I$5001,I1858),1,0))</f>
        <v/>
      </c>
    </row>
    <row r="1859" customFormat="false" ht="15" hidden="false" customHeight="false" outlineLevel="0" collapsed="false">
      <c r="I1859" s="15" t="str">
        <f aca="false">IF(A1859="","",INT(A1859))</f>
        <v/>
      </c>
      <c r="J1859" s="16" t="str">
        <f aca="false">IF(B1859="","",IF(A1859=_xlfn.MINIFS($A$2:$A$5001,$B$2:$B$5001,B1859),1,0))</f>
        <v/>
      </c>
      <c r="K1859" s="16" t="str">
        <f aca="false">IF(B1859="","",IF(AND(D1859="Formalização",E1859="Concluído"),IF(COUNTIFS($B$2:$B$5001,B1859,$E$2:$E$5001,"Em ajustes",$A$2:$A$5001,"&lt;"&amp;I1859)&gt;0,1,0),0))</f>
        <v/>
      </c>
      <c r="L1859" s="16" t="str">
        <f aca="false">IF(B1859="","",IF(A1859=_xlfn.MAXIFS($A$2:$A$5001,$B$2:$B$5001,B1859,$I$2:$I$5001,I1859),1,0))</f>
        <v/>
      </c>
    </row>
    <row r="1860" customFormat="false" ht="15" hidden="false" customHeight="false" outlineLevel="0" collapsed="false">
      <c r="I1860" s="15" t="str">
        <f aca="false">IF(A1860="","",INT(A1860))</f>
        <v/>
      </c>
      <c r="J1860" s="16" t="str">
        <f aca="false">IF(B1860="","",IF(A1860=_xlfn.MINIFS($A$2:$A$5001,$B$2:$B$5001,B1860),1,0))</f>
        <v/>
      </c>
      <c r="K1860" s="16" t="str">
        <f aca="false">IF(B1860="","",IF(AND(D1860="Formalização",E1860="Concluído"),IF(COUNTIFS($B$2:$B$5001,B1860,$E$2:$E$5001,"Em ajustes",$A$2:$A$5001,"&lt;"&amp;I1860)&gt;0,1,0),0))</f>
        <v/>
      </c>
      <c r="L1860" s="16" t="str">
        <f aca="false">IF(B1860="","",IF(A1860=_xlfn.MAXIFS($A$2:$A$5001,$B$2:$B$5001,B1860,$I$2:$I$5001,I1860),1,0))</f>
        <v/>
      </c>
    </row>
    <row r="1861" customFormat="false" ht="15" hidden="false" customHeight="false" outlineLevel="0" collapsed="false">
      <c r="I1861" s="15" t="str">
        <f aca="false">IF(A1861="","",INT(A1861))</f>
        <v/>
      </c>
      <c r="J1861" s="16" t="str">
        <f aca="false">IF(B1861="","",IF(A1861=_xlfn.MINIFS($A$2:$A$5001,$B$2:$B$5001,B1861),1,0))</f>
        <v/>
      </c>
      <c r="K1861" s="16" t="str">
        <f aca="false">IF(B1861="","",IF(AND(D1861="Formalização",E1861="Concluído"),IF(COUNTIFS($B$2:$B$5001,B1861,$E$2:$E$5001,"Em ajustes",$A$2:$A$5001,"&lt;"&amp;I1861)&gt;0,1,0),0))</f>
        <v/>
      </c>
      <c r="L1861" s="16" t="str">
        <f aca="false">IF(B1861="","",IF(A1861=_xlfn.MAXIFS($A$2:$A$5001,$B$2:$B$5001,B1861,$I$2:$I$5001,I1861),1,0))</f>
        <v/>
      </c>
    </row>
    <row r="1862" customFormat="false" ht="15" hidden="false" customHeight="false" outlineLevel="0" collapsed="false">
      <c r="I1862" s="15" t="str">
        <f aca="false">IF(A1862="","",INT(A1862))</f>
        <v/>
      </c>
      <c r="J1862" s="16" t="str">
        <f aca="false">IF(B1862="","",IF(A1862=_xlfn.MINIFS($A$2:$A$5001,$B$2:$B$5001,B1862),1,0))</f>
        <v/>
      </c>
      <c r="K1862" s="16" t="str">
        <f aca="false">IF(B1862="","",IF(AND(D1862="Formalização",E1862="Concluído"),IF(COUNTIFS($B$2:$B$5001,B1862,$E$2:$E$5001,"Em ajustes",$A$2:$A$5001,"&lt;"&amp;I1862)&gt;0,1,0),0))</f>
        <v/>
      </c>
      <c r="L1862" s="16" t="str">
        <f aca="false">IF(B1862="","",IF(A1862=_xlfn.MAXIFS($A$2:$A$5001,$B$2:$B$5001,B1862,$I$2:$I$5001,I1862),1,0))</f>
        <v/>
      </c>
    </row>
    <row r="1863" customFormat="false" ht="15" hidden="false" customHeight="false" outlineLevel="0" collapsed="false">
      <c r="I1863" s="15" t="str">
        <f aca="false">IF(A1863="","",INT(A1863))</f>
        <v/>
      </c>
      <c r="J1863" s="16" t="str">
        <f aca="false">IF(B1863="","",IF(A1863=_xlfn.MINIFS($A$2:$A$5001,$B$2:$B$5001,B1863),1,0))</f>
        <v/>
      </c>
      <c r="K1863" s="16" t="str">
        <f aca="false">IF(B1863="","",IF(AND(D1863="Formalização",E1863="Concluído"),IF(COUNTIFS($B$2:$B$5001,B1863,$E$2:$E$5001,"Em ajustes",$A$2:$A$5001,"&lt;"&amp;I1863)&gt;0,1,0),0))</f>
        <v/>
      </c>
      <c r="L1863" s="16" t="str">
        <f aca="false">IF(B1863="","",IF(A1863=_xlfn.MAXIFS($A$2:$A$5001,$B$2:$B$5001,B1863,$I$2:$I$5001,I1863),1,0))</f>
        <v/>
      </c>
    </row>
    <row r="1864" customFormat="false" ht="15" hidden="false" customHeight="false" outlineLevel="0" collapsed="false">
      <c r="I1864" s="15" t="str">
        <f aca="false">IF(A1864="","",INT(A1864))</f>
        <v/>
      </c>
      <c r="J1864" s="16" t="str">
        <f aca="false">IF(B1864="","",IF(A1864=_xlfn.MINIFS($A$2:$A$5001,$B$2:$B$5001,B1864),1,0))</f>
        <v/>
      </c>
      <c r="K1864" s="16" t="str">
        <f aca="false">IF(B1864="","",IF(AND(D1864="Formalização",E1864="Concluído"),IF(COUNTIFS($B$2:$B$5001,B1864,$E$2:$E$5001,"Em ajustes",$A$2:$A$5001,"&lt;"&amp;I1864)&gt;0,1,0),0))</f>
        <v/>
      </c>
      <c r="L1864" s="16" t="str">
        <f aca="false">IF(B1864="","",IF(A1864=_xlfn.MAXIFS($A$2:$A$5001,$B$2:$B$5001,B1864,$I$2:$I$5001,I1864),1,0))</f>
        <v/>
      </c>
    </row>
    <row r="1865" customFormat="false" ht="15" hidden="false" customHeight="false" outlineLevel="0" collapsed="false">
      <c r="I1865" s="15" t="str">
        <f aca="false">IF(A1865="","",INT(A1865))</f>
        <v/>
      </c>
      <c r="J1865" s="16" t="str">
        <f aca="false">IF(B1865="","",IF(A1865=_xlfn.MINIFS($A$2:$A$5001,$B$2:$B$5001,B1865),1,0))</f>
        <v/>
      </c>
      <c r="K1865" s="16" t="str">
        <f aca="false">IF(B1865="","",IF(AND(D1865="Formalização",E1865="Concluído"),IF(COUNTIFS($B$2:$B$5001,B1865,$E$2:$E$5001,"Em ajustes",$A$2:$A$5001,"&lt;"&amp;I1865)&gt;0,1,0),0))</f>
        <v/>
      </c>
      <c r="L1865" s="16" t="str">
        <f aca="false">IF(B1865="","",IF(A1865=_xlfn.MAXIFS($A$2:$A$5001,$B$2:$B$5001,B1865,$I$2:$I$5001,I1865),1,0))</f>
        <v/>
      </c>
    </row>
    <row r="1866" customFormat="false" ht="15" hidden="false" customHeight="false" outlineLevel="0" collapsed="false">
      <c r="I1866" s="15" t="str">
        <f aca="false">IF(A1866="","",INT(A1866))</f>
        <v/>
      </c>
      <c r="J1866" s="16" t="str">
        <f aca="false">IF(B1866="","",IF(A1866=_xlfn.MINIFS($A$2:$A$5001,$B$2:$B$5001,B1866),1,0))</f>
        <v/>
      </c>
      <c r="K1866" s="16" t="str">
        <f aca="false">IF(B1866="","",IF(AND(D1866="Formalização",E1866="Concluído"),IF(COUNTIFS($B$2:$B$5001,B1866,$E$2:$E$5001,"Em ajustes",$A$2:$A$5001,"&lt;"&amp;I1866)&gt;0,1,0),0))</f>
        <v/>
      </c>
      <c r="L1866" s="16" t="str">
        <f aca="false">IF(B1866="","",IF(A1866=_xlfn.MAXIFS($A$2:$A$5001,$B$2:$B$5001,B1866,$I$2:$I$5001,I1866),1,0))</f>
        <v/>
      </c>
    </row>
    <row r="1867" customFormat="false" ht="15" hidden="false" customHeight="false" outlineLevel="0" collapsed="false">
      <c r="I1867" s="15" t="str">
        <f aca="false">IF(A1867="","",INT(A1867))</f>
        <v/>
      </c>
      <c r="J1867" s="16" t="str">
        <f aca="false">IF(B1867="","",IF(A1867=_xlfn.MINIFS($A$2:$A$5001,$B$2:$B$5001,B1867),1,0))</f>
        <v/>
      </c>
      <c r="K1867" s="16" t="str">
        <f aca="false">IF(B1867="","",IF(AND(D1867="Formalização",E1867="Concluído"),IF(COUNTIFS($B$2:$B$5001,B1867,$E$2:$E$5001,"Em ajustes",$A$2:$A$5001,"&lt;"&amp;I1867)&gt;0,1,0),0))</f>
        <v/>
      </c>
      <c r="L1867" s="16" t="str">
        <f aca="false">IF(B1867="","",IF(A1867=_xlfn.MAXIFS($A$2:$A$5001,$B$2:$B$5001,B1867,$I$2:$I$5001,I1867),1,0))</f>
        <v/>
      </c>
    </row>
    <row r="1868" customFormat="false" ht="15" hidden="false" customHeight="false" outlineLevel="0" collapsed="false">
      <c r="I1868" s="15" t="str">
        <f aca="false">IF(A1868="","",INT(A1868))</f>
        <v/>
      </c>
      <c r="J1868" s="16" t="str">
        <f aca="false">IF(B1868="","",IF(A1868=_xlfn.MINIFS($A$2:$A$5001,$B$2:$B$5001,B1868),1,0))</f>
        <v/>
      </c>
      <c r="K1868" s="16" t="str">
        <f aca="false">IF(B1868="","",IF(AND(D1868="Formalização",E1868="Concluído"),IF(COUNTIFS($B$2:$B$5001,B1868,$E$2:$E$5001,"Em ajustes",$A$2:$A$5001,"&lt;"&amp;I1868)&gt;0,1,0),0))</f>
        <v/>
      </c>
      <c r="L1868" s="16" t="str">
        <f aca="false">IF(B1868="","",IF(A1868=_xlfn.MAXIFS($A$2:$A$5001,$B$2:$B$5001,B1868,$I$2:$I$5001,I1868),1,0))</f>
        <v/>
      </c>
    </row>
    <row r="1869" customFormat="false" ht="15" hidden="false" customHeight="false" outlineLevel="0" collapsed="false">
      <c r="I1869" s="15" t="str">
        <f aca="false">IF(A1869="","",INT(A1869))</f>
        <v/>
      </c>
      <c r="J1869" s="16" t="str">
        <f aca="false">IF(B1869="","",IF(A1869=_xlfn.MINIFS($A$2:$A$5001,$B$2:$B$5001,B1869),1,0))</f>
        <v/>
      </c>
      <c r="K1869" s="16" t="str">
        <f aca="false">IF(B1869="","",IF(AND(D1869="Formalização",E1869="Concluído"),IF(COUNTIFS($B$2:$B$5001,B1869,$E$2:$E$5001,"Em ajustes",$A$2:$A$5001,"&lt;"&amp;I1869)&gt;0,1,0),0))</f>
        <v/>
      </c>
      <c r="L1869" s="16" t="str">
        <f aca="false">IF(B1869="","",IF(A1869=_xlfn.MAXIFS($A$2:$A$5001,$B$2:$B$5001,B1869,$I$2:$I$5001,I1869),1,0))</f>
        <v/>
      </c>
    </row>
    <row r="1870" customFormat="false" ht="15" hidden="false" customHeight="false" outlineLevel="0" collapsed="false">
      <c r="I1870" s="15" t="str">
        <f aca="false">IF(A1870="","",INT(A1870))</f>
        <v/>
      </c>
      <c r="J1870" s="16" t="str">
        <f aca="false">IF(B1870="","",IF(A1870=_xlfn.MINIFS($A$2:$A$5001,$B$2:$B$5001,B1870),1,0))</f>
        <v/>
      </c>
      <c r="K1870" s="16" t="str">
        <f aca="false">IF(B1870="","",IF(AND(D1870="Formalização",E1870="Concluído"),IF(COUNTIFS($B$2:$B$5001,B1870,$E$2:$E$5001,"Em ajustes",$A$2:$A$5001,"&lt;"&amp;I1870)&gt;0,1,0),0))</f>
        <v/>
      </c>
      <c r="L1870" s="16" t="str">
        <f aca="false">IF(B1870="","",IF(A1870=_xlfn.MAXIFS($A$2:$A$5001,$B$2:$B$5001,B1870,$I$2:$I$5001,I1870),1,0))</f>
        <v/>
      </c>
    </row>
    <row r="1871" customFormat="false" ht="15" hidden="false" customHeight="false" outlineLevel="0" collapsed="false">
      <c r="I1871" s="15" t="str">
        <f aca="false">IF(A1871="","",INT(A1871))</f>
        <v/>
      </c>
      <c r="J1871" s="16" t="str">
        <f aca="false">IF(B1871="","",IF(A1871=_xlfn.MINIFS($A$2:$A$5001,$B$2:$B$5001,B1871),1,0))</f>
        <v/>
      </c>
      <c r="K1871" s="16" t="str">
        <f aca="false">IF(B1871="","",IF(AND(D1871="Formalização",E1871="Concluído"),IF(COUNTIFS($B$2:$B$5001,B1871,$E$2:$E$5001,"Em ajustes",$A$2:$A$5001,"&lt;"&amp;I1871)&gt;0,1,0),0))</f>
        <v/>
      </c>
      <c r="L1871" s="16" t="str">
        <f aca="false">IF(B1871="","",IF(A1871=_xlfn.MAXIFS($A$2:$A$5001,$B$2:$B$5001,B1871,$I$2:$I$5001,I1871),1,0))</f>
        <v/>
      </c>
    </row>
    <row r="1872" customFormat="false" ht="15" hidden="false" customHeight="false" outlineLevel="0" collapsed="false">
      <c r="I1872" s="15" t="str">
        <f aca="false">IF(A1872="","",INT(A1872))</f>
        <v/>
      </c>
      <c r="J1872" s="16" t="str">
        <f aca="false">IF(B1872="","",IF(A1872=_xlfn.MINIFS($A$2:$A$5001,$B$2:$B$5001,B1872),1,0))</f>
        <v/>
      </c>
      <c r="K1872" s="16" t="str">
        <f aca="false">IF(B1872="","",IF(AND(D1872="Formalização",E1872="Concluído"),IF(COUNTIFS($B$2:$B$5001,B1872,$E$2:$E$5001,"Em ajustes",$A$2:$A$5001,"&lt;"&amp;I1872)&gt;0,1,0),0))</f>
        <v/>
      </c>
      <c r="L1872" s="16" t="str">
        <f aca="false">IF(B1872="","",IF(A1872=_xlfn.MAXIFS($A$2:$A$5001,$B$2:$B$5001,B1872,$I$2:$I$5001,I1872),1,0))</f>
        <v/>
      </c>
    </row>
    <row r="1873" customFormat="false" ht="15" hidden="false" customHeight="false" outlineLevel="0" collapsed="false">
      <c r="I1873" s="15" t="str">
        <f aca="false">IF(A1873="","",INT(A1873))</f>
        <v/>
      </c>
      <c r="J1873" s="16" t="str">
        <f aca="false">IF(B1873="","",IF(A1873=_xlfn.MINIFS($A$2:$A$5001,$B$2:$B$5001,B1873),1,0))</f>
        <v/>
      </c>
      <c r="K1873" s="16" t="str">
        <f aca="false">IF(B1873="","",IF(AND(D1873="Formalização",E1873="Concluído"),IF(COUNTIFS($B$2:$B$5001,B1873,$E$2:$E$5001,"Em ajustes",$A$2:$A$5001,"&lt;"&amp;I1873)&gt;0,1,0),0))</f>
        <v/>
      </c>
      <c r="L1873" s="16" t="str">
        <f aca="false">IF(B1873="","",IF(A1873=_xlfn.MAXIFS($A$2:$A$5001,$B$2:$B$5001,B1873,$I$2:$I$5001,I1873),1,0))</f>
        <v/>
      </c>
    </row>
    <row r="1874" customFormat="false" ht="15" hidden="false" customHeight="false" outlineLevel="0" collapsed="false">
      <c r="I1874" s="15" t="str">
        <f aca="false">IF(A1874="","",INT(A1874))</f>
        <v/>
      </c>
      <c r="J1874" s="16" t="str">
        <f aca="false">IF(B1874="","",IF(A1874=_xlfn.MINIFS($A$2:$A$5001,$B$2:$B$5001,B1874),1,0))</f>
        <v/>
      </c>
      <c r="K1874" s="16" t="str">
        <f aca="false">IF(B1874="","",IF(AND(D1874="Formalização",E1874="Concluído"),IF(COUNTIFS($B$2:$B$5001,B1874,$E$2:$E$5001,"Em ajustes",$A$2:$A$5001,"&lt;"&amp;I1874)&gt;0,1,0),0))</f>
        <v/>
      </c>
      <c r="L1874" s="16" t="str">
        <f aca="false">IF(B1874="","",IF(A1874=_xlfn.MAXIFS($A$2:$A$5001,$B$2:$B$5001,B1874,$I$2:$I$5001,I1874),1,0))</f>
        <v/>
      </c>
    </row>
    <row r="1875" customFormat="false" ht="15" hidden="false" customHeight="false" outlineLevel="0" collapsed="false">
      <c r="I1875" s="15" t="str">
        <f aca="false">IF(A1875="","",INT(A1875))</f>
        <v/>
      </c>
      <c r="J1875" s="16" t="str">
        <f aca="false">IF(B1875="","",IF(A1875=_xlfn.MINIFS($A$2:$A$5001,$B$2:$B$5001,B1875),1,0))</f>
        <v/>
      </c>
      <c r="K1875" s="16" t="str">
        <f aca="false">IF(B1875="","",IF(AND(D1875="Formalização",E1875="Concluído"),IF(COUNTIFS($B$2:$B$5001,B1875,$E$2:$E$5001,"Em ajustes",$A$2:$A$5001,"&lt;"&amp;I1875)&gt;0,1,0),0))</f>
        <v/>
      </c>
      <c r="L1875" s="16" t="str">
        <f aca="false">IF(B1875="","",IF(A1875=_xlfn.MAXIFS($A$2:$A$5001,$B$2:$B$5001,B1875,$I$2:$I$5001,I1875),1,0))</f>
        <v/>
      </c>
    </row>
    <row r="1876" customFormat="false" ht="15" hidden="false" customHeight="false" outlineLevel="0" collapsed="false">
      <c r="I1876" s="15" t="str">
        <f aca="false">IF(A1876="","",INT(A1876))</f>
        <v/>
      </c>
      <c r="J1876" s="16" t="str">
        <f aca="false">IF(B1876="","",IF(A1876=_xlfn.MINIFS($A$2:$A$5001,$B$2:$B$5001,B1876),1,0))</f>
        <v/>
      </c>
      <c r="K1876" s="16" t="str">
        <f aca="false">IF(B1876="","",IF(AND(D1876="Formalização",E1876="Concluído"),IF(COUNTIFS($B$2:$B$5001,B1876,$E$2:$E$5001,"Em ajustes",$A$2:$A$5001,"&lt;"&amp;I1876)&gt;0,1,0),0))</f>
        <v/>
      </c>
      <c r="L1876" s="16" t="str">
        <f aca="false">IF(B1876="","",IF(A1876=_xlfn.MAXIFS($A$2:$A$5001,$B$2:$B$5001,B1876,$I$2:$I$5001,I1876),1,0))</f>
        <v/>
      </c>
    </row>
    <row r="1877" customFormat="false" ht="15" hidden="false" customHeight="false" outlineLevel="0" collapsed="false">
      <c r="I1877" s="15" t="str">
        <f aca="false">IF(A1877="","",INT(A1877))</f>
        <v/>
      </c>
      <c r="J1877" s="16" t="str">
        <f aca="false">IF(B1877="","",IF(A1877=_xlfn.MINIFS($A$2:$A$5001,$B$2:$B$5001,B1877),1,0))</f>
        <v/>
      </c>
      <c r="K1877" s="16" t="str">
        <f aca="false">IF(B1877="","",IF(AND(D1877="Formalização",E1877="Concluído"),IF(COUNTIFS($B$2:$B$5001,B1877,$E$2:$E$5001,"Em ajustes",$A$2:$A$5001,"&lt;"&amp;I1877)&gt;0,1,0),0))</f>
        <v/>
      </c>
      <c r="L1877" s="16" t="str">
        <f aca="false">IF(B1877="","",IF(A1877=_xlfn.MAXIFS($A$2:$A$5001,$B$2:$B$5001,B1877,$I$2:$I$5001,I1877),1,0))</f>
        <v/>
      </c>
    </row>
    <row r="1878" customFormat="false" ht="15" hidden="false" customHeight="false" outlineLevel="0" collapsed="false">
      <c r="I1878" s="15" t="str">
        <f aca="false">IF(A1878="","",INT(A1878))</f>
        <v/>
      </c>
      <c r="J1878" s="16" t="str">
        <f aca="false">IF(B1878="","",IF(A1878=_xlfn.MINIFS($A$2:$A$5001,$B$2:$B$5001,B1878),1,0))</f>
        <v/>
      </c>
      <c r="K1878" s="16" t="str">
        <f aca="false">IF(B1878="","",IF(AND(D1878="Formalização",E1878="Concluído"),IF(COUNTIFS($B$2:$B$5001,B1878,$E$2:$E$5001,"Em ajustes",$A$2:$A$5001,"&lt;"&amp;I1878)&gt;0,1,0),0))</f>
        <v/>
      </c>
      <c r="L1878" s="16" t="str">
        <f aca="false">IF(B1878="","",IF(A1878=_xlfn.MAXIFS($A$2:$A$5001,$B$2:$B$5001,B1878,$I$2:$I$5001,I1878),1,0))</f>
        <v/>
      </c>
    </row>
    <row r="1879" customFormat="false" ht="15" hidden="false" customHeight="false" outlineLevel="0" collapsed="false">
      <c r="I1879" s="15" t="str">
        <f aca="false">IF(A1879="","",INT(A1879))</f>
        <v/>
      </c>
      <c r="J1879" s="16" t="str">
        <f aca="false">IF(B1879="","",IF(A1879=_xlfn.MINIFS($A$2:$A$5001,$B$2:$B$5001,B1879),1,0))</f>
        <v/>
      </c>
      <c r="K1879" s="16" t="str">
        <f aca="false">IF(B1879="","",IF(AND(D1879="Formalização",E1879="Concluído"),IF(COUNTIFS($B$2:$B$5001,B1879,$E$2:$E$5001,"Em ajustes",$A$2:$A$5001,"&lt;"&amp;I1879)&gt;0,1,0),0))</f>
        <v/>
      </c>
      <c r="L1879" s="16" t="str">
        <f aca="false">IF(B1879="","",IF(A1879=_xlfn.MAXIFS($A$2:$A$5001,$B$2:$B$5001,B1879,$I$2:$I$5001,I1879),1,0))</f>
        <v/>
      </c>
    </row>
    <row r="1880" customFormat="false" ht="15" hidden="false" customHeight="false" outlineLevel="0" collapsed="false">
      <c r="I1880" s="15" t="str">
        <f aca="false">IF(A1880="","",INT(A1880))</f>
        <v/>
      </c>
      <c r="J1880" s="16" t="str">
        <f aca="false">IF(B1880="","",IF(A1880=_xlfn.MINIFS($A$2:$A$5001,$B$2:$B$5001,B1880),1,0))</f>
        <v/>
      </c>
      <c r="K1880" s="16" t="str">
        <f aca="false">IF(B1880="","",IF(AND(D1880="Formalização",E1880="Concluído"),IF(COUNTIFS($B$2:$B$5001,B1880,$E$2:$E$5001,"Em ajustes",$A$2:$A$5001,"&lt;"&amp;I1880)&gt;0,1,0),0))</f>
        <v/>
      </c>
      <c r="L1880" s="16" t="str">
        <f aca="false">IF(B1880="","",IF(A1880=_xlfn.MAXIFS($A$2:$A$5001,$B$2:$B$5001,B1880,$I$2:$I$5001,I1880),1,0))</f>
        <v/>
      </c>
    </row>
    <row r="1881" customFormat="false" ht="15" hidden="false" customHeight="false" outlineLevel="0" collapsed="false">
      <c r="I1881" s="15" t="str">
        <f aca="false">IF(A1881="","",INT(A1881))</f>
        <v/>
      </c>
      <c r="J1881" s="16" t="str">
        <f aca="false">IF(B1881="","",IF(A1881=_xlfn.MINIFS($A$2:$A$5001,$B$2:$B$5001,B1881),1,0))</f>
        <v/>
      </c>
      <c r="K1881" s="16" t="str">
        <f aca="false">IF(B1881="","",IF(AND(D1881="Formalização",E1881="Concluído"),IF(COUNTIFS($B$2:$B$5001,B1881,$E$2:$E$5001,"Em ajustes",$A$2:$A$5001,"&lt;"&amp;I1881)&gt;0,1,0),0))</f>
        <v/>
      </c>
      <c r="L1881" s="16" t="str">
        <f aca="false">IF(B1881="","",IF(A1881=_xlfn.MAXIFS($A$2:$A$5001,$B$2:$B$5001,B1881,$I$2:$I$5001,I1881),1,0))</f>
        <v/>
      </c>
    </row>
    <row r="1882" customFormat="false" ht="15" hidden="false" customHeight="false" outlineLevel="0" collapsed="false">
      <c r="I1882" s="15" t="str">
        <f aca="false">IF(A1882="","",INT(A1882))</f>
        <v/>
      </c>
      <c r="J1882" s="16" t="str">
        <f aca="false">IF(B1882="","",IF(A1882=_xlfn.MINIFS($A$2:$A$5001,$B$2:$B$5001,B1882),1,0))</f>
        <v/>
      </c>
      <c r="K1882" s="16" t="str">
        <f aca="false">IF(B1882="","",IF(AND(D1882="Formalização",E1882="Concluído"),IF(COUNTIFS($B$2:$B$5001,B1882,$E$2:$E$5001,"Em ajustes",$A$2:$A$5001,"&lt;"&amp;I1882)&gt;0,1,0),0))</f>
        <v/>
      </c>
      <c r="L1882" s="16" t="str">
        <f aca="false">IF(B1882="","",IF(A1882=_xlfn.MAXIFS($A$2:$A$5001,$B$2:$B$5001,B1882,$I$2:$I$5001,I1882),1,0))</f>
        <v/>
      </c>
    </row>
    <row r="1883" customFormat="false" ht="15" hidden="false" customHeight="false" outlineLevel="0" collapsed="false">
      <c r="I1883" s="15" t="str">
        <f aca="false">IF(A1883="","",INT(A1883))</f>
        <v/>
      </c>
      <c r="J1883" s="16" t="str">
        <f aca="false">IF(B1883="","",IF(A1883=_xlfn.MINIFS($A$2:$A$5001,$B$2:$B$5001,B1883),1,0))</f>
        <v/>
      </c>
      <c r="K1883" s="16" t="str">
        <f aca="false">IF(B1883="","",IF(AND(D1883="Formalização",E1883="Concluído"),IF(COUNTIFS($B$2:$B$5001,B1883,$E$2:$E$5001,"Em ajustes",$A$2:$A$5001,"&lt;"&amp;I1883)&gt;0,1,0),0))</f>
        <v/>
      </c>
      <c r="L1883" s="16" t="str">
        <f aca="false">IF(B1883="","",IF(A1883=_xlfn.MAXIFS($A$2:$A$5001,$B$2:$B$5001,B1883,$I$2:$I$5001,I1883),1,0))</f>
        <v/>
      </c>
    </row>
    <row r="1884" customFormat="false" ht="15" hidden="false" customHeight="false" outlineLevel="0" collapsed="false">
      <c r="I1884" s="15" t="str">
        <f aca="false">IF(A1884="","",INT(A1884))</f>
        <v/>
      </c>
      <c r="J1884" s="16" t="str">
        <f aca="false">IF(B1884="","",IF(A1884=_xlfn.MINIFS($A$2:$A$5001,$B$2:$B$5001,B1884),1,0))</f>
        <v/>
      </c>
      <c r="K1884" s="16" t="str">
        <f aca="false">IF(B1884="","",IF(AND(D1884="Formalização",E1884="Concluído"),IF(COUNTIFS($B$2:$B$5001,B1884,$E$2:$E$5001,"Em ajustes",$A$2:$A$5001,"&lt;"&amp;I1884)&gt;0,1,0),0))</f>
        <v/>
      </c>
      <c r="L1884" s="16" t="str">
        <f aca="false">IF(B1884="","",IF(A1884=_xlfn.MAXIFS($A$2:$A$5001,$B$2:$B$5001,B1884,$I$2:$I$5001,I1884),1,0))</f>
        <v/>
      </c>
    </row>
    <row r="1885" customFormat="false" ht="15" hidden="false" customHeight="false" outlineLevel="0" collapsed="false">
      <c r="I1885" s="15" t="str">
        <f aca="false">IF(A1885="","",INT(A1885))</f>
        <v/>
      </c>
      <c r="J1885" s="16" t="str">
        <f aca="false">IF(B1885="","",IF(A1885=_xlfn.MINIFS($A$2:$A$5001,$B$2:$B$5001,B1885),1,0))</f>
        <v/>
      </c>
      <c r="K1885" s="16" t="str">
        <f aca="false">IF(B1885="","",IF(AND(D1885="Formalização",E1885="Concluído"),IF(COUNTIFS($B$2:$B$5001,B1885,$E$2:$E$5001,"Em ajustes",$A$2:$A$5001,"&lt;"&amp;I1885)&gt;0,1,0),0))</f>
        <v/>
      </c>
      <c r="L1885" s="16" t="str">
        <f aca="false">IF(B1885="","",IF(A1885=_xlfn.MAXIFS($A$2:$A$5001,$B$2:$B$5001,B1885,$I$2:$I$5001,I1885),1,0))</f>
        <v/>
      </c>
    </row>
    <row r="1886" customFormat="false" ht="15" hidden="false" customHeight="false" outlineLevel="0" collapsed="false">
      <c r="I1886" s="15" t="str">
        <f aca="false">IF(A1886="","",INT(A1886))</f>
        <v/>
      </c>
      <c r="J1886" s="16" t="str">
        <f aca="false">IF(B1886="","",IF(A1886=_xlfn.MINIFS($A$2:$A$5001,$B$2:$B$5001,B1886),1,0))</f>
        <v/>
      </c>
      <c r="K1886" s="16" t="str">
        <f aca="false">IF(B1886="","",IF(AND(D1886="Formalização",E1886="Concluído"),IF(COUNTIFS($B$2:$B$5001,B1886,$E$2:$E$5001,"Em ajustes",$A$2:$A$5001,"&lt;"&amp;I1886)&gt;0,1,0),0))</f>
        <v/>
      </c>
      <c r="L1886" s="16" t="str">
        <f aca="false">IF(B1886="","",IF(A1886=_xlfn.MAXIFS($A$2:$A$5001,$B$2:$B$5001,B1886,$I$2:$I$5001,I1886),1,0))</f>
        <v/>
      </c>
    </row>
    <row r="1887" customFormat="false" ht="15" hidden="false" customHeight="false" outlineLevel="0" collapsed="false">
      <c r="I1887" s="15" t="str">
        <f aca="false">IF(A1887="","",INT(A1887))</f>
        <v/>
      </c>
      <c r="J1887" s="16" t="str">
        <f aca="false">IF(B1887="","",IF(A1887=_xlfn.MINIFS($A$2:$A$5001,$B$2:$B$5001,B1887),1,0))</f>
        <v/>
      </c>
      <c r="K1887" s="16" t="str">
        <f aca="false">IF(B1887="","",IF(AND(D1887="Formalização",E1887="Concluído"),IF(COUNTIFS($B$2:$B$5001,B1887,$E$2:$E$5001,"Em ajustes",$A$2:$A$5001,"&lt;"&amp;I1887)&gt;0,1,0),0))</f>
        <v/>
      </c>
      <c r="L1887" s="16" t="str">
        <f aca="false">IF(B1887="","",IF(A1887=_xlfn.MAXIFS($A$2:$A$5001,$B$2:$B$5001,B1887,$I$2:$I$5001,I1887),1,0))</f>
        <v/>
      </c>
    </row>
    <row r="1888" customFormat="false" ht="15" hidden="false" customHeight="false" outlineLevel="0" collapsed="false">
      <c r="I1888" s="15" t="str">
        <f aca="false">IF(A1888="","",INT(A1888))</f>
        <v/>
      </c>
      <c r="J1888" s="16" t="str">
        <f aca="false">IF(B1888="","",IF(A1888=_xlfn.MINIFS($A$2:$A$5001,$B$2:$B$5001,B1888),1,0))</f>
        <v/>
      </c>
      <c r="K1888" s="16" t="str">
        <f aca="false">IF(B1888="","",IF(AND(D1888="Formalização",E1888="Concluído"),IF(COUNTIFS($B$2:$B$5001,B1888,$E$2:$E$5001,"Em ajustes",$A$2:$A$5001,"&lt;"&amp;I1888)&gt;0,1,0),0))</f>
        <v/>
      </c>
      <c r="L1888" s="16" t="str">
        <f aca="false">IF(B1888="","",IF(A1888=_xlfn.MAXIFS($A$2:$A$5001,$B$2:$B$5001,B1888,$I$2:$I$5001,I1888),1,0))</f>
        <v/>
      </c>
    </row>
    <row r="1889" customFormat="false" ht="15" hidden="false" customHeight="false" outlineLevel="0" collapsed="false">
      <c r="I1889" s="15" t="str">
        <f aca="false">IF(A1889="","",INT(A1889))</f>
        <v/>
      </c>
      <c r="J1889" s="16" t="str">
        <f aca="false">IF(B1889="","",IF(A1889=_xlfn.MINIFS($A$2:$A$5001,$B$2:$B$5001,B1889),1,0))</f>
        <v/>
      </c>
      <c r="K1889" s="16" t="str">
        <f aca="false">IF(B1889="","",IF(AND(D1889="Formalização",E1889="Concluído"),IF(COUNTIFS($B$2:$B$5001,B1889,$E$2:$E$5001,"Em ajustes",$A$2:$A$5001,"&lt;"&amp;I1889)&gt;0,1,0),0))</f>
        <v/>
      </c>
      <c r="L1889" s="16" t="str">
        <f aca="false">IF(B1889="","",IF(A1889=_xlfn.MAXIFS($A$2:$A$5001,$B$2:$B$5001,B1889,$I$2:$I$5001,I1889),1,0))</f>
        <v/>
      </c>
    </row>
    <row r="1890" customFormat="false" ht="15" hidden="false" customHeight="false" outlineLevel="0" collapsed="false">
      <c r="I1890" s="15" t="str">
        <f aca="false">IF(A1890="","",INT(A1890))</f>
        <v/>
      </c>
      <c r="J1890" s="16" t="str">
        <f aca="false">IF(B1890="","",IF(A1890=_xlfn.MINIFS($A$2:$A$5001,$B$2:$B$5001,B1890),1,0))</f>
        <v/>
      </c>
      <c r="K1890" s="16" t="str">
        <f aca="false">IF(B1890="","",IF(AND(D1890="Formalização",E1890="Concluído"),IF(COUNTIFS($B$2:$B$5001,B1890,$E$2:$E$5001,"Em ajustes",$A$2:$A$5001,"&lt;"&amp;I1890)&gt;0,1,0),0))</f>
        <v/>
      </c>
      <c r="L1890" s="16" t="str">
        <f aca="false">IF(B1890="","",IF(A1890=_xlfn.MAXIFS($A$2:$A$5001,$B$2:$B$5001,B1890,$I$2:$I$5001,I1890),1,0))</f>
        <v/>
      </c>
    </row>
    <row r="1891" customFormat="false" ht="15" hidden="false" customHeight="false" outlineLevel="0" collapsed="false">
      <c r="I1891" s="15" t="str">
        <f aca="false">IF(A1891="","",INT(A1891))</f>
        <v/>
      </c>
      <c r="J1891" s="16" t="str">
        <f aca="false">IF(B1891="","",IF(A1891=_xlfn.MINIFS($A$2:$A$5001,$B$2:$B$5001,B1891),1,0))</f>
        <v/>
      </c>
      <c r="K1891" s="16" t="str">
        <f aca="false">IF(B1891="","",IF(AND(D1891="Formalização",E1891="Concluído"),IF(COUNTIFS($B$2:$B$5001,B1891,$E$2:$E$5001,"Em ajustes",$A$2:$A$5001,"&lt;"&amp;I1891)&gt;0,1,0),0))</f>
        <v/>
      </c>
      <c r="L1891" s="16" t="str">
        <f aca="false">IF(B1891="","",IF(A1891=_xlfn.MAXIFS($A$2:$A$5001,$B$2:$B$5001,B1891,$I$2:$I$5001,I1891),1,0))</f>
        <v/>
      </c>
    </row>
    <row r="1892" customFormat="false" ht="15" hidden="false" customHeight="false" outlineLevel="0" collapsed="false">
      <c r="I1892" s="15" t="str">
        <f aca="false">IF(A1892="","",INT(A1892))</f>
        <v/>
      </c>
      <c r="J1892" s="16" t="str">
        <f aca="false">IF(B1892="","",IF(A1892=_xlfn.MINIFS($A$2:$A$5001,$B$2:$B$5001,B1892),1,0))</f>
        <v/>
      </c>
      <c r="K1892" s="16" t="str">
        <f aca="false">IF(B1892="","",IF(AND(D1892="Formalização",E1892="Concluído"),IF(COUNTIFS($B$2:$B$5001,B1892,$E$2:$E$5001,"Em ajustes",$A$2:$A$5001,"&lt;"&amp;I1892)&gt;0,1,0),0))</f>
        <v/>
      </c>
      <c r="L1892" s="16" t="str">
        <f aca="false">IF(B1892="","",IF(A1892=_xlfn.MAXIFS($A$2:$A$5001,$B$2:$B$5001,B1892,$I$2:$I$5001,I1892),1,0))</f>
        <v/>
      </c>
    </row>
    <row r="1893" customFormat="false" ht="15" hidden="false" customHeight="false" outlineLevel="0" collapsed="false">
      <c r="I1893" s="15" t="str">
        <f aca="false">IF(A1893="","",INT(A1893))</f>
        <v/>
      </c>
      <c r="J1893" s="16" t="str">
        <f aca="false">IF(B1893="","",IF(A1893=_xlfn.MINIFS($A$2:$A$5001,$B$2:$B$5001,B1893),1,0))</f>
        <v/>
      </c>
      <c r="K1893" s="16" t="str">
        <f aca="false">IF(B1893="","",IF(AND(D1893="Formalização",E1893="Concluído"),IF(COUNTIFS($B$2:$B$5001,B1893,$E$2:$E$5001,"Em ajustes",$A$2:$A$5001,"&lt;"&amp;I1893)&gt;0,1,0),0))</f>
        <v/>
      </c>
      <c r="L1893" s="16" t="str">
        <f aca="false">IF(B1893="","",IF(A1893=_xlfn.MAXIFS($A$2:$A$5001,$B$2:$B$5001,B1893,$I$2:$I$5001,I1893),1,0))</f>
        <v/>
      </c>
    </row>
    <row r="1894" customFormat="false" ht="15" hidden="false" customHeight="false" outlineLevel="0" collapsed="false">
      <c r="I1894" s="15" t="str">
        <f aca="false">IF(A1894="","",INT(A1894))</f>
        <v/>
      </c>
      <c r="J1894" s="16" t="str">
        <f aca="false">IF(B1894="","",IF(A1894=_xlfn.MINIFS($A$2:$A$5001,$B$2:$B$5001,B1894),1,0))</f>
        <v/>
      </c>
      <c r="K1894" s="16" t="str">
        <f aca="false">IF(B1894="","",IF(AND(D1894="Formalização",E1894="Concluído"),IF(COUNTIFS($B$2:$B$5001,B1894,$E$2:$E$5001,"Em ajustes",$A$2:$A$5001,"&lt;"&amp;I1894)&gt;0,1,0),0))</f>
        <v/>
      </c>
      <c r="L1894" s="16" t="str">
        <f aca="false">IF(B1894="","",IF(A1894=_xlfn.MAXIFS($A$2:$A$5001,$B$2:$B$5001,B1894,$I$2:$I$5001,I1894),1,0))</f>
        <v/>
      </c>
    </row>
    <row r="1895" customFormat="false" ht="15" hidden="false" customHeight="false" outlineLevel="0" collapsed="false">
      <c r="I1895" s="15" t="str">
        <f aca="false">IF(A1895="","",INT(A1895))</f>
        <v/>
      </c>
      <c r="J1895" s="16" t="str">
        <f aca="false">IF(B1895="","",IF(A1895=_xlfn.MINIFS($A$2:$A$5001,$B$2:$B$5001,B1895),1,0))</f>
        <v/>
      </c>
      <c r="K1895" s="16" t="str">
        <f aca="false">IF(B1895="","",IF(AND(D1895="Formalização",E1895="Concluído"),IF(COUNTIFS($B$2:$B$5001,B1895,$E$2:$E$5001,"Em ajustes",$A$2:$A$5001,"&lt;"&amp;I1895)&gt;0,1,0),0))</f>
        <v/>
      </c>
      <c r="L1895" s="16" t="str">
        <f aca="false">IF(B1895="","",IF(A1895=_xlfn.MAXIFS($A$2:$A$5001,$B$2:$B$5001,B1895,$I$2:$I$5001,I1895),1,0))</f>
        <v/>
      </c>
    </row>
    <row r="1896" customFormat="false" ht="15" hidden="false" customHeight="false" outlineLevel="0" collapsed="false">
      <c r="I1896" s="15" t="str">
        <f aca="false">IF(A1896="","",INT(A1896))</f>
        <v/>
      </c>
      <c r="J1896" s="16" t="str">
        <f aca="false">IF(B1896="","",IF(A1896=_xlfn.MINIFS($A$2:$A$5001,$B$2:$B$5001,B1896),1,0))</f>
        <v/>
      </c>
      <c r="K1896" s="16" t="str">
        <f aca="false">IF(B1896="","",IF(AND(D1896="Formalização",E1896="Concluído"),IF(COUNTIFS($B$2:$B$5001,B1896,$E$2:$E$5001,"Em ajustes",$A$2:$A$5001,"&lt;"&amp;I1896)&gt;0,1,0),0))</f>
        <v/>
      </c>
      <c r="L1896" s="16" t="str">
        <f aca="false">IF(B1896="","",IF(A1896=_xlfn.MAXIFS($A$2:$A$5001,$B$2:$B$5001,B1896,$I$2:$I$5001,I1896),1,0))</f>
        <v/>
      </c>
    </row>
    <row r="1897" customFormat="false" ht="15" hidden="false" customHeight="false" outlineLevel="0" collapsed="false">
      <c r="I1897" s="15" t="str">
        <f aca="false">IF(A1897="","",INT(A1897))</f>
        <v/>
      </c>
      <c r="J1897" s="16" t="str">
        <f aca="false">IF(B1897="","",IF(A1897=_xlfn.MINIFS($A$2:$A$5001,$B$2:$B$5001,B1897),1,0))</f>
        <v/>
      </c>
      <c r="K1897" s="16" t="str">
        <f aca="false">IF(B1897="","",IF(AND(D1897="Formalização",E1897="Concluído"),IF(COUNTIFS($B$2:$B$5001,B1897,$E$2:$E$5001,"Em ajustes",$A$2:$A$5001,"&lt;"&amp;I1897)&gt;0,1,0),0))</f>
        <v/>
      </c>
      <c r="L1897" s="16" t="str">
        <f aca="false">IF(B1897="","",IF(A1897=_xlfn.MAXIFS($A$2:$A$5001,$B$2:$B$5001,B1897,$I$2:$I$5001,I1897),1,0))</f>
        <v/>
      </c>
    </row>
    <row r="1898" customFormat="false" ht="15" hidden="false" customHeight="false" outlineLevel="0" collapsed="false">
      <c r="I1898" s="15" t="str">
        <f aca="false">IF(A1898="","",INT(A1898))</f>
        <v/>
      </c>
      <c r="J1898" s="16" t="str">
        <f aca="false">IF(B1898="","",IF(A1898=_xlfn.MINIFS($A$2:$A$5001,$B$2:$B$5001,B1898),1,0))</f>
        <v/>
      </c>
      <c r="K1898" s="16" t="str">
        <f aca="false">IF(B1898="","",IF(AND(D1898="Formalização",E1898="Concluído"),IF(COUNTIFS($B$2:$B$5001,B1898,$E$2:$E$5001,"Em ajustes",$A$2:$A$5001,"&lt;"&amp;I1898)&gt;0,1,0),0))</f>
        <v/>
      </c>
      <c r="L1898" s="16" t="str">
        <f aca="false">IF(B1898="","",IF(A1898=_xlfn.MAXIFS($A$2:$A$5001,$B$2:$B$5001,B1898,$I$2:$I$5001,I1898),1,0))</f>
        <v/>
      </c>
    </row>
    <row r="1899" customFormat="false" ht="15" hidden="false" customHeight="false" outlineLevel="0" collapsed="false">
      <c r="I1899" s="15" t="str">
        <f aca="false">IF(A1899="","",INT(A1899))</f>
        <v/>
      </c>
      <c r="J1899" s="16" t="str">
        <f aca="false">IF(B1899="","",IF(A1899=_xlfn.MINIFS($A$2:$A$5001,$B$2:$B$5001,B1899),1,0))</f>
        <v/>
      </c>
      <c r="K1899" s="16" t="str">
        <f aca="false">IF(B1899="","",IF(AND(D1899="Formalização",E1899="Concluído"),IF(COUNTIFS($B$2:$B$5001,B1899,$E$2:$E$5001,"Em ajustes",$A$2:$A$5001,"&lt;"&amp;I1899)&gt;0,1,0),0))</f>
        <v/>
      </c>
      <c r="L1899" s="16" t="str">
        <f aca="false">IF(B1899="","",IF(A1899=_xlfn.MAXIFS($A$2:$A$5001,$B$2:$B$5001,B1899,$I$2:$I$5001,I1899),1,0))</f>
        <v/>
      </c>
    </row>
    <row r="1900" customFormat="false" ht="15" hidden="false" customHeight="false" outlineLevel="0" collapsed="false">
      <c r="I1900" s="15" t="str">
        <f aca="false">IF(A1900="","",INT(A1900))</f>
        <v/>
      </c>
      <c r="J1900" s="16" t="str">
        <f aca="false">IF(B1900="","",IF(A1900=_xlfn.MINIFS($A$2:$A$5001,$B$2:$B$5001,B1900),1,0))</f>
        <v/>
      </c>
      <c r="K1900" s="16" t="str">
        <f aca="false">IF(B1900="","",IF(AND(D1900="Formalização",E1900="Concluído"),IF(COUNTIFS($B$2:$B$5001,B1900,$E$2:$E$5001,"Em ajustes",$A$2:$A$5001,"&lt;"&amp;I1900)&gt;0,1,0),0))</f>
        <v/>
      </c>
      <c r="L1900" s="16" t="str">
        <f aca="false">IF(B1900="","",IF(A1900=_xlfn.MAXIFS($A$2:$A$5001,$B$2:$B$5001,B1900,$I$2:$I$5001,I1900),1,0))</f>
        <v/>
      </c>
    </row>
    <row r="1901" customFormat="false" ht="15" hidden="false" customHeight="false" outlineLevel="0" collapsed="false">
      <c r="I1901" s="15" t="str">
        <f aca="false">IF(A1901="","",INT(A1901))</f>
        <v/>
      </c>
      <c r="J1901" s="16" t="str">
        <f aca="false">IF(B1901="","",IF(A1901=_xlfn.MINIFS($A$2:$A$5001,$B$2:$B$5001,B1901),1,0))</f>
        <v/>
      </c>
      <c r="K1901" s="16" t="str">
        <f aca="false">IF(B1901="","",IF(AND(D1901="Formalização",E1901="Concluído"),IF(COUNTIFS($B$2:$B$5001,B1901,$E$2:$E$5001,"Em ajustes",$A$2:$A$5001,"&lt;"&amp;I1901)&gt;0,1,0),0))</f>
        <v/>
      </c>
      <c r="L1901" s="16" t="str">
        <f aca="false">IF(B1901="","",IF(A1901=_xlfn.MAXIFS($A$2:$A$5001,$B$2:$B$5001,B1901,$I$2:$I$5001,I1901),1,0))</f>
        <v/>
      </c>
    </row>
    <row r="1902" customFormat="false" ht="15" hidden="false" customHeight="false" outlineLevel="0" collapsed="false">
      <c r="I1902" s="15" t="str">
        <f aca="false">IF(A1902="","",INT(A1902))</f>
        <v/>
      </c>
      <c r="J1902" s="16" t="str">
        <f aca="false">IF(B1902="","",IF(A1902=_xlfn.MINIFS($A$2:$A$5001,$B$2:$B$5001,B1902),1,0))</f>
        <v/>
      </c>
      <c r="K1902" s="16" t="str">
        <f aca="false">IF(B1902="","",IF(AND(D1902="Formalização",E1902="Concluído"),IF(COUNTIFS($B$2:$B$5001,B1902,$E$2:$E$5001,"Em ajustes",$A$2:$A$5001,"&lt;"&amp;I1902)&gt;0,1,0),0))</f>
        <v/>
      </c>
      <c r="L1902" s="16" t="str">
        <f aca="false">IF(B1902="","",IF(A1902=_xlfn.MAXIFS($A$2:$A$5001,$B$2:$B$5001,B1902,$I$2:$I$5001,I1902),1,0))</f>
        <v/>
      </c>
    </row>
    <row r="1903" customFormat="false" ht="15" hidden="false" customHeight="false" outlineLevel="0" collapsed="false">
      <c r="I1903" s="15" t="str">
        <f aca="false">IF(A1903="","",INT(A1903))</f>
        <v/>
      </c>
      <c r="J1903" s="16" t="str">
        <f aca="false">IF(B1903="","",IF(A1903=_xlfn.MINIFS($A$2:$A$5001,$B$2:$B$5001,B1903),1,0))</f>
        <v/>
      </c>
      <c r="K1903" s="16" t="str">
        <f aca="false">IF(B1903="","",IF(AND(D1903="Formalização",E1903="Concluído"),IF(COUNTIFS($B$2:$B$5001,B1903,$E$2:$E$5001,"Em ajustes",$A$2:$A$5001,"&lt;"&amp;I1903)&gt;0,1,0),0))</f>
        <v/>
      </c>
      <c r="L1903" s="16" t="str">
        <f aca="false">IF(B1903="","",IF(A1903=_xlfn.MAXIFS($A$2:$A$5001,$B$2:$B$5001,B1903,$I$2:$I$5001,I1903),1,0))</f>
        <v/>
      </c>
    </row>
    <row r="1904" customFormat="false" ht="15" hidden="false" customHeight="false" outlineLevel="0" collapsed="false">
      <c r="I1904" s="15" t="str">
        <f aca="false">IF(A1904="","",INT(A1904))</f>
        <v/>
      </c>
      <c r="J1904" s="16" t="str">
        <f aca="false">IF(B1904="","",IF(A1904=_xlfn.MINIFS($A$2:$A$5001,$B$2:$B$5001,B1904),1,0))</f>
        <v/>
      </c>
      <c r="K1904" s="16" t="str">
        <f aca="false">IF(B1904="","",IF(AND(D1904="Formalização",E1904="Concluído"),IF(COUNTIFS($B$2:$B$5001,B1904,$E$2:$E$5001,"Em ajustes",$A$2:$A$5001,"&lt;"&amp;I1904)&gt;0,1,0),0))</f>
        <v/>
      </c>
      <c r="L1904" s="16" t="str">
        <f aca="false">IF(B1904="","",IF(A1904=_xlfn.MAXIFS($A$2:$A$5001,$B$2:$B$5001,B1904,$I$2:$I$5001,I1904),1,0))</f>
        <v/>
      </c>
    </row>
    <row r="1905" customFormat="false" ht="15" hidden="false" customHeight="false" outlineLevel="0" collapsed="false">
      <c r="I1905" s="15" t="str">
        <f aca="false">IF(A1905="","",INT(A1905))</f>
        <v/>
      </c>
      <c r="J1905" s="16" t="str">
        <f aca="false">IF(B1905="","",IF(A1905=_xlfn.MINIFS($A$2:$A$5001,$B$2:$B$5001,B1905),1,0))</f>
        <v/>
      </c>
      <c r="K1905" s="16" t="str">
        <f aca="false">IF(B1905="","",IF(AND(D1905="Formalização",E1905="Concluído"),IF(COUNTIFS($B$2:$B$5001,B1905,$E$2:$E$5001,"Em ajustes",$A$2:$A$5001,"&lt;"&amp;I1905)&gt;0,1,0),0))</f>
        <v/>
      </c>
      <c r="L1905" s="16" t="str">
        <f aca="false">IF(B1905="","",IF(A1905=_xlfn.MAXIFS($A$2:$A$5001,$B$2:$B$5001,B1905,$I$2:$I$5001,I1905),1,0))</f>
        <v/>
      </c>
    </row>
    <row r="1906" customFormat="false" ht="15" hidden="false" customHeight="false" outlineLevel="0" collapsed="false">
      <c r="I1906" s="15" t="str">
        <f aca="false">IF(A1906="","",INT(A1906))</f>
        <v/>
      </c>
      <c r="J1906" s="16" t="str">
        <f aca="false">IF(B1906="","",IF(A1906=_xlfn.MINIFS($A$2:$A$5001,$B$2:$B$5001,B1906),1,0))</f>
        <v/>
      </c>
      <c r="K1906" s="16" t="str">
        <f aca="false">IF(B1906="","",IF(AND(D1906="Formalização",E1906="Concluído"),IF(COUNTIFS($B$2:$B$5001,B1906,$E$2:$E$5001,"Em ajustes",$A$2:$A$5001,"&lt;"&amp;I1906)&gt;0,1,0),0))</f>
        <v/>
      </c>
      <c r="L1906" s="16" t="str">
        <f aca="false">IF(B1906="","",IF(A1906=_xlfn.MAXIFS($A$2:$A$5001,$B$2:$B$5001,B1906,$I$2:$I$5001,I1906),1,0))</f>
        <v/>
      </c>
    </row>
    <row r="1907" customFormat="false" ht="15" hidden="false" customHeight="false" outlineLevel="0" collapsed="false">
      <c r="I1907" s="15" t="str">
        <f aca="false">IF(A1907="","",INT(A1907))</f>
        <v/>
      </c>
      <c r="J1907" s="16" t="str">
        <f aca="false">IF(B1907="","",IF(A1907=_xlfn.MINIFS($A$2:$A$5001,$B$2:$B$5001,B1907),1,0))</f>
        <v/>
      </c>
      <c r="K1907" s="16" t="str">
        <f aca="false">IF(B1907="","",IF(AND(D1907="Formalização",E1907="Concluído"),IF(COUNTIFS($B$2:$B$5001,B1907,$E$2:$E$5001,"Em ajustes",$A$2:$A$5001,"&lt;"&amp;I1907)&gt;0,1,0),0))</f>
        <v/>
      </c>
      <c r="L1907" s="16" t="str">
        <f aca="false">IF(B1907="","",IF(A1907=_xlfn.MAXIFS($A$2:$A$5001,$B$2:$B$5001,B1907,$I$2:$I$5001,I1907),1,0))</f>
        <v/>
      </c>
    </row>
    <row r="1908" customFormat="false" ht="15" hidden="false" customHeight="false" outlineLevel="0" collapsed="false">
      <c r="I1908" s="15" t="str">
        <f aca="false">IF(A1908="","",INT(A1908))</f>
        <v/>
      </c>
      <c r="J1908" s="16" t="str">
        <f aca="false">IF(B1908="","",IF(A1908=_xlfn.MINIFS($A$2:$A$5001,$B$2:$B$5001,B1908),1,0))</f>
        <v/>
      </c>
      <c r="K1908" s="16" t="str">
        <f aca="false">IF(B1908="","",IF(AND(D1908="Formalização",E1908="Concluído"),IF(COUNTIFS($B$2:$B$5001,B1908,$E$2:$E$5001,"Em ajustes",$A$2:$A$5001,"&lt;"&amp;I1908)&gt;0,1,0),0))</f>
        <v/>
      </c>
      <c r="L1908" s="16" t="str">
        <f aca="false">IF(B1908="","",IF(A1908=_xlfn.MAXIFS($A$2:$A$5001,$B$2:$B$5001,B1908,$I$2:$I$5001,I1908),1,0))</f>
        <v/>
      </c>
    </row>
    <row r="1909" customFormat="false" ht="15" hidden="false" customHeight="false" outlineLevel="0" collapsed="false">
      <c r="I1909" s="15" t="str">
        <f aca="false">IF(A1909="","",INT(A1909))</f>
        <v/>
      </c>
      <c r="J1909" s="16" t="str">
        <f aca="false">IF(B1909="","",IF(A1909=_xlfn.MINIFS($A$2:$A$5001,$B$2:$B$5001,B1909),1,0))</f>
        <v/>
      </c>
      <c r="K1909" s="16" t="str">
        <f aca="false">IF(B1909="","",IF(AND(D1909="Formalização",E1909="Concluído"),IF(COUNTIFS($B$2:$B$5001,B1909,$E$2:$E$5001,"Em ajustes",$A$2:$A$5001,"&lt;"&amp;I1909)&gt;0,1,0),0))</f>
        <v/>
      </c>
      <c r="L1909" s="16" t="str">
        <f aca="false">IF(B1909="","",IF(A1909=_xlfn.MAXIFS($A$2:$A$5001,$B$2:$B$5001,B1909,$I$2:$I$5001,I1909),1,0))</f>
        <v/>
      </c>
    </row>
    <row r="1910" customFormat="false" ht="15" hidden="false" customHeight="false" outlineLevel="0" collapsed="false">
      <c r="I1910" s="15" t="str">
        <f aca="false">IF(A1910="","",INT(A1910))</f>
        <v/>
      </c>
      <c r="J1910" s="16" t="str">
        <f aca="false">IF(B1910="","",IF(A1910=_xlfn.MINIFS($A$2:$A$5001,$B$2:$B$5001,B1910),1,0))</f>
        <v/>
      </c>
      <c r="K1910" s="16" t="str">
        <f aca="false">IF(B1910="","",IF(AND(D1910="Formalização",E1910="Concluído"),IF(COUNTIFS($B$2:$B$5001,B1910,$E$2:$E$5001,"Em ajustes",$A$2:$A$5001,"&lt;"&amp;I1910)&gt;0,1,0),0))</f>
        <v/>
      </c>
      <c r="L1910" s="16" t="str">
        <f aca="false">IF(B1910="","",IF(A1910=_xlfn.MAXIFS($A$2:$A$5001,$B$2:$B$5001,B1910,$I$2:$I$5001,I1910),1,0))</f>
        <v/>
      </c>
    </row>
    <row r="1911" customFormat="false" ht="15" hidden="false" customHeight="false" outlineLevel="0" collapsed="false">
      <c r="I1911" s="15" t="str">
        <f aca="false">IF(A1911="","",INT(A1911))</f>
        <v/>
      </c>
      <c r="J1911" s="16" t="str">
        <f aca="false">IF(B1911="","",IF(A1911=_xlfn.MINIFS($A$2:$A$5001,$B$2:$B$5001,B1911),1,0))</f>
        <v/>
      </c>
      <c r="K1911" s="16" t="str">
        <f aca="false">IF(B1911="","",IF(AND(D1911="Formalização",E1911="Concluído"),IF(COUNTIFS($B$2:$B$5001,B1911,$E$2:$E$5001,"Em ajustes",$A$2:$A$5001,"&lt;"&amp;I1911)&gt;0,1,0),0))</f>
        <v/>
      </c>
      <c r="L1911" s="16" t="str">
        <f aca="false">IF(B1911="","",IF(A1911=_xlfn.MAXIFS($A$2:$A$5001,$B$2:$B$5001,B1911,$I$2:$I$5001,I1911),1,0))</f>
        <v/>
      </c>
    </row>
    <row r="1912" customFormat="false" ht="15" hidden="false" customHeight="false" outlineLevel="0" collapsed="false">
      <c r="I1912" s="15" t="str">
        <f aca="false">IF(A1912="","",INT(A1912))</f>
        <v/>
      </c>
      <c r="J1912" s="16" t="str">
        <f aca="false">IF(B1912="","",IF(A1912=_xlfn.MINIFS($A$2:$A$5001,$B$2:$B$5001,B1912),1,0))</f>
        <v/>
      </c>
      <c r="K1912" s="16" t="str">
        <f aca="false">IF(B1912="","",IF(AND(D1912="Formalização",E1912="Concluído"),IF(COUNTIFS($B$2:$B$5001,B1912,$E$2:$E$5001,"Em ajustes",$A$2:$A$5001,"&lt;"&amp;I1912)&gt;0,1,0),0))</f>
        <v/>
      </c>
      <c r="L1912" s="16" t="str">
        <f aca="false">IF(B1912="","",IF(A1912=_xlfn.MAXIFS($A$2:$A$5001,$B$2:$B$5001,B1912,$I$2:$I$5001,I1912),1,0))</f>
        <v/>
      </c>
    </row>
    <row r="1913" customFormat="false" ht="15" hidden="false" customHeight="false" outlineLevel="0" collapsed="false">
      <c r="I1913" s="15" t="str">
        <f aca="false">IF(A1913="","",INT(A1913))</f>
        <v/>
      </c>
      <c r="J1913" s="16" t="str">
        <f aca="false">IF(B1913="","",IF(A1913=_xlfn.MINIFS($A$2:$A$5001,$B$2:$B$5001,B1913),1,0))</f>
        <v/>
      </c>
      <c r="K1913" s="16" t="str">
        <f aca="false">IF(B1913="","",IF(AND(D1913="Formalização",E1913="Concluído"),IF(COUNTIFS($B$2:$B$5001,B1913,$E$2:$E$5001,"Em ajustes",$A$2:$A$5001,"&lt;"&amp;I1913)&gt;0,1,0),0))</f>
        <v/>
      </c>
      <c r="L1913" s="16" t="str">
        <f aca="false">IF(B1913="","",IF(A1913=_xlfn.MAXIFS($A$2:$A$5001,$B$2:$B$5001,B1913,$I$2:$I$5001,I1913),1,0))</f>
        <v/>
      </c>
    </row>
    <row r="1914" customFormat="false" ht="15" hidden="false" customHeight="false" outlineLevel="0" collapsed="false">
      <c r="I1914" s="15" t="str">
        <f aca="false">IF(A1914="","",INT(A1914))</f>
        <v/>
      </c>
      <c r="J1914" s="16" t="str">
        <f aca="false">IF(B1914="","",IF(A1914=_xlfn.MINIFS($A$2:$A$5001,$B$2:$B$5001,B1914),1,0))</f>
        <v/>
      </c>
      <c r="K1914" s="16" t="str">
        <f aca="false">IF(B1914="","",IF(AND(D1914="Formalização",E1914="Concluído"),IF(COUNTIFS($B$2:$B$5001,B1914,$E$2:$E$5001,"Em ajustes",$A$2:$A$5001,"&lt;"&amp;I1914)&gt;0,1,0),0))</f>
        <v/>
      </c>
      <c r="L1914" s="16" t="str">
        <f aca="false">IF(B1914="","",IF(A1914=_xlfn.MAXIFS($A$2:$A$5001,$B$2:$B$5001,B1914,$I$2:$I$5001,I1914),1,0))</f>
        <v/>
      </c>
    </row>
    <row r="1915" customFormat="false" ht="15" hidden="false" customHeight="false" outlineLevel="0" collapsed="false">
      <c r="I1915" s="15" t="str">
        <f aca="false">IF(A1915="","",INT(A1915))</f>
        <v/>
      </c>
      <c r="J1915" s="16" t="str">
        <f aca="false">IF(B1915="","",IF(A1915=_xlfn.MINIFS($A$2:$A$5001,$B$2:$B$5001,B1915),1,0))</f>
        <v/>
      </c>
      <c r="K1915" s="16" t="str">
        <f aca="false">IF(B1915="","",IF(AND(D1915="Formalização",E1915="Concluído"),IF(COUNTIFS($B$2:$B$5001,B1915,$E$2:$E$5001,"Em ajustes",$A$2:$A$5001,"&lt;"&amp;I1915)&gt;0,1,0),0))</f>
        <v/>
      </c>
      <c r="L1915" s="16" t="str">
        <f aca="false">IF(B1915="","",IF(A1915=_xlfn.MAXIFS($A$2:$A$5001,$B$2:$B$5001,B1915,$I$2:$I$5001,I1915),1,0))</f>
        <v/>
      </c>
    </row>
    <row r="1916" customFormat="false" ht="15" hidden="false" customHeight="false" outlineLevel="0" collapsed="false">
      <c r="I1916" s="15" t="str">
        <f aca="false">IF(A1916="","",INT(A1916))</f>
        <v/>
      </c>
      <c r="J1916" s="16" t="str">
        <f aca="false">IF(B1916="","",IF(A1916=_xlfn.MINIFS($A$2:$A$5001,$B$2:$B$5001,B1916),1,0))</f>
        <v/>
      </c>
      <c r="K1916" s="16" t="str">
        <f aca="false">IF(B1916="","",IF(AND(D1916="Formalização",E1916="Concluído"),IF(COUNTIFS($B$2:$B$5001,B1916,$E$2:$E$5001,"Em ajustes",$A$2:$A$5001,"&lt;"&amp;I1916)&gt;0,1,0),0))</f>
        <v/>
      </c>
      <c r="L1916" s="16" t="str">
        <f aca="false">IF(B1916="","",IF(A1916=_xlfn.MAXIFS($A$2:$A$5001,$B$2:$B$5001,B1916,$I$2:$I$5001,I1916),1,0))</f>
        <v/>
      </c>
    </row>
    <row r="1917" customFormat="false" ht="15" hidden="false" customHeight="false" outlineLevel="0" collapsed="false">
      <c r="I1917" s="15" t="str">
        <f aca="false">IF(A1917="","",INT(A1917))</f>
        <v/>
      </c>
      <c r="J1917" s="16" t="str">
        <f aca="false">IF(B1917="","",IF(A1917=_xlfn.MINIFS($A$2:$A$5001,$B$2:$B$5001,B1917),1,0))</f>
        <v/>
      </c>
      <c r="K1917" s="16" t="str">
        <f aca="false">IF(B1917="","",IF(AND(D1917="Formalização",E1917="Concluído"),IF(COUNTIFS($B$2:$B$5001,B1917,$E$2:$E$5001,"Em ajustes",$A$2:$A$5001,"&lt;"&amp;I1917)&gt;0,1,0),0))</f>
        <v/>
      </c>
      <c r="L1917" s="16" t="str">
        <f aca="false">IF(B1917="","",IF(A1917=_xlfn.MAXIFS($A$2:$A$5001,$B$2:$B$5001,B1917,$I$2:$I$5001,I1917),1,0))</f>
        <v/>
      </c>
    </row>
    <row r="1918" customFormat="false" ht="15" hidden="false" customHeight="false" outlineLevel="0" collapsed="false">
      <c r="I1918" s="15" t="str">
        <f aca="false">IF(A1918="","",INT(A1918))</f>
        <v/>
      </c>
      <c r="J1918" s="16" t="str">
        <f aca="false">IF(B1918="","",IF(A1918=_xlfn.MINIFS($A$2:$A$5001,$B$2:$B$5001,B1918),1,0))</f>
        <v/>
      </c>
      <c r="K1918" s="16" t="str">
        <f aca="false">IF(B1918="","",IF(AND(D1918="Formalização",E1918="Concluído"),IF(COUNTIFS($B$2:$B$5001,B1918,$E$2:$E$5001,"Em ajustes",$A$2:$A$5001,"&lt;"&amp;I1918)&gt;0,1,0),0))</f>
        <v/>
      </c>
      <c r="L1918" s="16" t="str">
        <f aca="false">IF(B1918="","",IF(A1918=_xlfn.MAXIFS($A$2:$A$5001,$B$2:$B$5001,B1918,$I$2:$I$5001,I1918),1,0))</f>
        <v/>
      </c>
    </row>
    <row r="1919" customFormat="false" ht="15" hidden="false" customHeight="false" outlineLevel="0" collapsed="false">
      <c r="I1919" s="15" t="str">
        <f aca="false">IF(A1919="","",INT(A1919))</f>
        <v/>
      </c>
      <c r="J1919" s="16" t="str">
        <f aca="false">IF(B1919="","",IF(A1919=_xlfn.MINIFS($A$2:$A$5001,$B$2:$B$5001,B1919),1,0))</f>
        <v/>
      </c>
      <c r="K1919" s="16" t="str">
        <f aca="false">IF(B1919="","",IF(AND(D1919="Formalização",E1919="Concluído"),IF(COUNTIFS($B$2:$B$5001,B1919,$E$2:$E$5001,"Em ajustes",$A$2:$A$5001,"&lt;"&amp;I1919)&gt;0,1,0),0))</f>
        <v/>
      </c>
      <c r="L1919" s="16" t="str">
        <f aca="false">IF(B1919="","",IF(A1919=_xlfn.MAXIFS($A$2:$A$5001,$B$2:$B$5001,B1919,$I$2:$I$5001,I1919),1,0))</f>
        <v/>
      </c>
    </row>
    <row r="1920" customFormat="false" ht="15" hidden="false" customHeight="false" outlineLevel="0" collapsed="false">
      <c r="I1920" s="15" t="str">
        <f aca="false">IF(A1920="","",INT(A1920))</f>
        <v/>
      </c>
      <c r="J1920" s="16" t="str">
        <f aca="false">IF(B1920="","",IF(A1920=_xlfn.MINIFS($A$2:$A$5001,$B$2:$B$5001,B1920),1,0))</f>
        <v/>
      </c>
      <c r="K1920" s="16" t="str">
        <f aca="false">IF(B1920="","",IF(AND(D1920="Formalização",E1920="Concluído"),IF(COUNTIFS($B$2:$B$5001,B1920,$E$2:$E$5001,"Em ajustes",$A$2:$A$5001,"&lt;"&amp;I1920)&gt;0,1,0),0))</f>
        <v/>
      </c>
      <c r="L1920" s="16" t="str">
        <f aca="false">IF(B1920="","",IF(A1920=_xlfn.MAXIFS($A$2:$A$5001,$B$2:$B$5001,B1920,$I$2:$I$5001,I1920),1,0))</f>
        <v/>
      </c>
    </row>
    <row r="1921" customFormat="false" ht="15" hidden="false" customHeight="false" outlineLevel="0" collapsed="false">
      <c r="I1921" s="15" t="str">
        <f aca="false">IF(A1921="","",INT(A1921))</f>
        <v/>
      </c>
      <c r="J1921" s="16" t="str">
        <f aca="false">IF(B1921="","",IF(A1921=_xlfn.MINIFS($A$2:$A$5001,$B$2:$B$5001,B1921),1,0))</f>
        <v/>
      </c>
      <c r="K1921" s="16" t="str">
        <f aca="false">IF(B1921="","",IF(AND(D1921="Formalização",E1921="Concluído"),IF(COUNTIFS($B$2:$B$5001,B1921,$E$2:$E$5001,"Em ajustes",$A$2:$A$5001,"&lt;"&amp;I1921)&gt;0,1,0),0))</f>
        <v/>
      </c>
      <c r="L1921" s="16" t="str">
        <f aca="false">IF(B1921="","",IF(A1921=_xlfn.MAXIFS($A$2:$A$5001,$B$2:$B$5001,B1921,$I$2:$I$5001,I1921),1,0))</f>
        <v/>
      </c>
    </row>
    <row r="1922" customFormat="false" ht="15" hidden="false" customHeight="false" outlineLevel="0" collapsed="false">
      <c r="I1922" s="15" t="str">
        <f aca="false">IF(A1922="","",INT(A1922))</f>
        <v/>
      </c>
      <c r="J1922" s="16" t="str">
        <f aca="false">IF(B1922="","",IF(A1922=_xlfn.MINIFS($A$2:$A$5001,$B$2:$B$5001,B1922),1,0))</f>
        <v/>
      </c>
      <c r="K1922" s="16" t="str">
        <f aca="false">IF(B1922="","",IF(AND(D1922="Formalização",E1922="Concluído"),IF(COUNTIFS($B$2:$B$5001,B1922,$E$2:$E$5001,"Em ajustes",$A$2:$A$5001,"&lt;"&amp;I1922)&gt;0,1,0),0))</f>
        <v/>
      </c>
      <c r="L1922" s="16" t="str">
        <f aca="false">IF(B1922="","",IF(A1922=_xlfn.MAXIFS($A$2:$A$5001,$B$2:$B$5001,B1922,$I$2:$I$5001,I1922),1,0))</f>
        <v/>
      </c>
    </row>
    <row r="1923" customFormat="false" ht="15" hidden="false" customHeight="false" outlineLevel="0" collapsed="false">
      <c r="I1923" s="15" t="str">
        <f aca="false">IF(A1923="","",INT(A1923))</f>
        <v/>
      </c>
      <c r="J1923" s="16" t="str">
        <f aca="false">IF(B1923="","",IF(A1923=_xlfn.MINIFS($A$2:$A$5001,$B$2:$B$5001,B1923),1,0))</f>
        <v/>
      </c>
      <c r="K1923" s="16" t="str">
        <f aca="false">IF(B1923="","",IF(AND(D1923="Formalização",E1923="Concluído"),IF(COUNTIFS($B$2:$B$5001,B1923,$E$2:$E$5001,"Em ajustes",$A$2:$A$5001,"&lt;"&amp;I1923)&gt;0,1,0),0))</f>
        <v/>
      </c>
      <c r="L1923" s="16" t="str">
        <f aca="false">IF(B1923="","",IF(A1923=_xlfn.MAXIFS($A$2:$A$5001,$B$2:$B$5001,B1923,$I$2:$I$5001,I1923),1,0))</f>
        <v/>
      </c>
    </row>
    <row r="1924" customFormat="false" ht="15" hidden="false" customHeight="false" outlineLevel="0" collapsed="false">
      <c r="I1924" s="15" t="str">
        <f aca="false">IF(A1924="","",INT(A1924))</f>
        <v/>
      </c>
      <c r="J1924" s="16" t="str">
        <f aca="false">IF(B1924="","",IF(A1924=_xlfn.MINIFS($A$2:$A$5001,$B$2:$B$5001,B1924),1,0))</f>
        <v/>
      </c>
      <c r="K1924" s="16" t="str">
        <f aca="false">IF(B1924="","",IF(AND(D1924="Formalização",E1924="Concluído"),IF(COUNTIFS($B$2:$B$5001,B1924,$E$2:$E$5001,"Em ajustes",$A$2:$A$5001,"&lt;"&amp;I1924)&gt;0,1,0),0))</f>
        <v/>
      </c>
      <c r="L1924" s="16" t="str">
        <f aca="false">IF(B1924="","",IF(A1924=_xlfn.MAXIFS($A$2:$A$5001,$B$2:$B$5001,B1924,$I$2:$I$5001,I1924),1,0))</f>
        <v/>
      </c>
    </row>
    <row r="1925" customFormat="false" ht="15" hidden="false" customHeight="false" outlineLevel="0" collapsed="false">
      <c r="I1925" s="15" t="str">
        <f aca="false">IF(A1925="","",INT(A1925))</f>
        <v/>
      </c>
      <c r="J1925" s="16" t="str">
        <f aca="false">IF(B1925="","",IF(A1925=_xlfn.MINIFS($A$2:$A$5001,$B$2:$B$5001,B1925),1,0))</f>
        <v/>
      </c>
      <c r="K1925" s="16" t="str">
        <f aca="false">IF(B1925="","",IF(AND(D1925="Formalização",E1925="Concluído"),IF(COUNTIFS($B$2:$B$5001,B1925,$E$2:$E$5001,"Em ajustes",$A$2:$A$5001,"&lt;"&amp;I1925)&gt;0,1,0),0))</f>
        <v/>
      </c>
      <c r="L1925" s="16" t="str">
        <f aca="false">IF(B1925="","",IF(A1925=_xlfn.MAXIFS($A$2:$A$5001,$B$2:$B$5001,B1925,$I$2:$I$5001,I1925),1,0))</f>
        <v/>
      </c>
    </row>
    <row r="1926" customFormat="false" ht="15" hidden="false" customHeight="false" outlineLevel="0" collapsed="false">
      <c r="I1926" s="15" t="str">
        <f aca="false">IF(A1926="","",INT(A1926))</f>
        <v/>
      </c>
      <c r="J1926" s="16" t="str">
        <f aca="false">IF(B1926="","",IF(A1926=_xlfn.MINIFS($A$2:$A$5001,$B$2:$B$5001,B1926),1,0))</f>
        <v/>
      </c>
      <c r="K1926" s="16" t="str">
        <f aca="false">IF(B1926="","",IF(AND(D1926="Formalização",E1926="Concluído"),IF(COUNTIFS($B$2:$B$5001,B1926,$E$2:$E$5001,"Em ajustes",$A$2:$A$5001,"&lt;"&amp;I1926)&gt;0,1,0),0))</f>
        <v/>
      </c>
      <c r="L1926" s="16" t="str">
        <f aca="false">IF(B1926="","",IF(A1926=_xlfn.MAXIFS($A$2:$A$5001,$B$2:$B$5001,B1926,$I$2:$I$5001,I1926),1,0))</f>
        <v/>
      </c>
    </row>
    <row r="1927" customFormat="false" ht="15" hidden="false" customHeight="false" outlineLevel="0" collapsed="false">
      <c r="I1927" s="15" t="str">
        <f aca="false">IF(A1927="","",INT(A1927))</f>
        <v/>
      </c>
      <c r="J1927" s="16" t="str">
        <f aca="false">IF(B1927="","",IF(A1927=_xlfn.MINIFS($A$2:$A$5001,$B$2:$B$5001,B1927),1,0))</f>
        <v/>
      </c>
      <c r="K1927" s="16" t="str">
        <f aca="false">IF(B1927="","",IF(AND(D1927="Formalização",E1927="Concluído"),IF(COUNTIFS($B$2:$B$5001,B1927,$E$2:$E$5001,"Em ajustes",$A$2:$A$5001,"&lt;"&amp;I1927)&gt;0,1,0),0))</f>
        <v/>
      </c>
      <c r="L1927" s="16" t="str">
        <f aca="false">IF(B1927="","",IF(A1927=_xlfn.MAXIFS($A$2:$A$5001,$B$2:$B$5001,B1927,$I$2:$I$5001,I1927),1,0))</f>
        <v/>
      </c>
    </row>
    <row r="1928" customFormat="false" ht="15" hidden="false" customHeight="false" outlineLevel="0" collapsed="false">
      <c r="I1928" s="15" t="str">
        <f aca="false">IF(A1928="","",INT(A1928))</f>
        <v/>
      </c>
      <c r="J1928" s="16" t="str">
        <f aca="false">IF(B1928="","",IF(A1928=_xlfn.MINIFS($A$2:$A$5001,$B$2:$B$5001,B1928),1,0))</f>
        <v/>
      </c>
      <c r="K1928" s="16" t="str">
        <f aca="false">IF(B1928="","",IF(AND(D1928="Formalização",E1928="Concluído"),IF(COUNTIFS($B$2:$B$5001,B1928,$E$2:$E$5001,"Em ajustes",$A$2:$A$5001,"&lt;"&amp;I1928)&gt;0,1,0),0))</f>
        <v/>
      </c>
      <c r="L1928" s="16" t="str">
        <f aca="false">IF(B1928="","",IF(A1928=_xlfn.MAXIFS($A$2:$A$5001,$B$2:$B$5001,B1928,$I$2:$I$5001,I1928),1,0))</f>
        <v/>
      </c>
    </row>
    <row r="1929" customFormat="false" ht="15" hidden="false" customHeight="false" outlineLevel="0" collapsed="false">
      <c r="I1929" s="15" t="str">
        <f aca="false">IF(A1929="","",INT(A1929))</f>
        <v/>
      </c>
      <c r="J1929" s="16" t="str">
        <f aca="false">IF(B1929="","",IF(A1929=_xlfn.MINIFS($A$2:$A$5001,$B$2:$B$5001,B1929),1,0))</f>
        <v/>
      </c>
      <c r="K1929" s="16" t="str">
        <f aca="false">IF(B1929="","",IF(AND(D1929="Formalização",E1929="Concluído"),IF(COUNTIFS($B$2:$B$5001,B1929,$E$2:$E$5001,"Em ajustes",$A$2:$A$5001,"&lt;"&amp;I1929)&gt;0,1,0),0))</f>
        <v/>
      </c>
      <c r="L1929" s="16" t="str">
        <f aca="false">IF(B1929="","",IF(A1929=_xlfn.MAXIFS($A$2:$A$5001,$B$2:$B$5001,B1929,$I$2:$I$5001,I1929),1,0))</f>
        <v/>
      </c>
    </row>
    <row r="1930" customFormat="false" ht="15" hidden="false" customHeight="false" outlineLevel="0" collapsed="false">
      <c r="I1930" s="15" t="str">
        <f aca="false">IF(A1930="","",INT(A1930))</f>
        <v/>
      </c>
      <c r="J1930" s="16" t="str">
        <f aca="false">IF(B1930="","",IF(A1930=_xlfn.MINIFS($A$2:$A$5001,$B$2:$B$5001,B1930),1,0))</f>
        <v/>
      </c>
      <c r="K1930" s="16" t="str">
        <f aca="false">IF(B1930="","",IF(AND(D1930="Formalização",E1930="Concluído"),IF(COUNTIFS($B$2:$B$5001,B1930,$E$2:$E$5001,"Em ajustes",$A$2:$A$5001,"&lt;"&amp;I1930)&gt;0,1,0),0))</f>
        <v/>
      </c>
      <c r="L1930" s="16" t="str">
        <f aca="false">IF(B1930="","",IF(A1930=_xlfn.MAXIFS($A$2:$A$5001,$B$2:$B$5001,B1930,$I$2:$I$5001,I1930),1,0))</f>
        <v/>
      </c>
    </row>
    <row r="1931" customFormat="false" ht="15" hidden="false" customHeight="false" outlineLevel="0" collapsed="false">
      <c r="I1931" s="15" t="str">
        <f aca="false">IF(A1931="","",INT(A1931))</f>
        <v/>
      </c>
      <c r="J1931" s="16" t="str">
        <f aca="false">IF(B1931="","",IF(A1931=_xlfn.MINIFS($A$2:$A$5001,$B$2:$B$5001,B1931),1,0))</f>
        <v/>
      </c>
      <c r="K1931" s="16" t="str">
        <f aca="false">IF(B1931="","",IF(AND(D1931="Formalização",E1931="Concluído"),IF(COUNTIFS($B$2:$B$5001,B1931,$E$2:$E$5001,"Em ajustes",$A$2:$A$5001,"&lt;"&amp;I1931)&gt;0,1,0),0))</f>
        <v/>
      </c>
      <c r="L1931" s="16" t="str">
        <f aca="false">IF(B1931="","",IF(A1931=_xlfn.MAXIFS($A$2:$A$5001,$B$2:$B$5001,B1931,$I$2:$I$5001,I1931),1,0))</f>
        <v/>
      </c>
    </row>
    <row r="1932" customFormat="false" ht="15" hidden="false" customHeight="false" outlineLevel="0" collapsed="false">
      <c r="I1932" s="15" t="str">
        <f aca="false">IF(A1932="","",INT(A1932))</f>
        <v/>
      </c>
      <c r="J1932" s="16" t="str">
        <f aca="false">IF(B1932="","",IF(A1932=_xlfn.MINIFS($A$2:$A$5001,$B$2:$B$5001,B1932),1,0))</f>
        <v/>
      </c>
      <c r="K1932" s="16" t="str">
        <f aca="false">IF(B1932="","",IF(AND(D1932="Formalização",E1932="Concluído"),IF(COUNTIFS($B$2:$B$5001,B1932,$E$2:$E$5001,"Em ajustes",$A$2:$A$5001,"&lt;"&amp;I1932)&gt;0,1,0),0))</f>
        <v/>
      </c>
      <c r="L1932" s="16" t="str">
        <f aca="false">IF(B1932="","",IF(A1932=_xlfn.MAXIFS($A$2:$A$5001,$B$2:$B$5001,B1932,$I$2:$I$5001,I1932),1,0))</f>
        <v/>
      </c>
    </row>
    <row r="1933" customFormat="false" ht="15" hidden="false" customHeight="false" outlineLevel="0" collapsed="false">
      <c r="I1933" s="15" t="str">
        <f aca="false">IF(A1933="","",INT(A1933))</f>
        <v/>
      </c>
      <c r="J1933" s="16" t="str">
        <f aca="false">IF(B1933="","",IF(A1933=_xlfn.MINIFS($A$2:$A$5001,$B$2:$B$5001,B1933),1,0))</f>
        <v/>
      </c>
      <c r="K1933" s="16" t="str">
        <f aca="false">IF(B1933="","",IF(AND(D1933="Formalização",E1933="Concluído"),IF(COUNTIFS($B$2:$B$5001,B1933,$E$2:$E$5001,"Em ajustes",$A$2:$A$5001,"&lt;"&amp;I1933)&gt;0,1,0),0))</f>
        <v/>
      </c>
      <c r="L1933" s="16" t="str">
        <f aca="false">IF(B1933="","",IF(A1933=_xlfn.MAXIFS($A$2:$A$5001,$B$2:$B$5001,B1933,$I$2:$I$5001,I1933),1,0))</f>
        <v/>
      </c>
    </row>
    <row r="1934" customFormat="false" ht="15" hidden="false" customHeight="false" outlineLevel="0" collapsed="false">
      <c r="I1934" s="15" t="str">
        <f aca="false">IF(A1934="","",INT(A1934))</f>
        <v/>
      </c>
      <c r="J1934" s="16" t="str">
        <f aca="false">IF(B1934="","",IF(A1934=_xlfn.MINIFS($A$2:$A$5001,$B$2:$B$5001,B1934),1,0))</f>
        <v/>
      </c>
      <c r="K1934" s="16" t="str">
        <f aca="false">IF(B1934="","",IF(AND(D1934="Formalização",E1934="Concluído"),IF(COUNTIFS($B$2:$B$5001,B1934,$E$2:$E$5001,"Em ajustes",$A$2:$A$5001,"&lt;"&amp;I1934)&gt;0,1,0),0))</f>
        <v/>
      </c>
      <c r="L1934" s="16" t="str">
        <f aca="false">IF(B1934="","",IF(A1934=_xlfn.MAXIFS($A$2:$A$5001,$B$2:$B$5001,B1934,$I$2:$I$5001,I1934),1,0))</f>
        <v/>
      </c>
    </row>
    <row r="1935" customFormat="false" ht="15" hidden="false" customHeight="false" outlineLevel="0" collapsed="false">
      <c r="I1935" s="15" t="str">
        <f aca="false">IF(A1935="","",INT(A1935))</f>
        <v/>
      </c>
      <c r="J1935" s="16" t="str">
        <f aca="false">IF(B1935="","",IF(A1935=_xlfn.MINIFS($A$2:$A$5001,$B$2:$B$5001,B1935),1,0))</f>
        <v/>
      </c>
      <c r="K1935" s="16" t="str">
        <f aca="false">IF(B1935="","",IF(AND(D1935="Formalização",E1935="Concluído"),IF(COUNTIFS($B$2:$B$5001,B1935,$E$2:$E$5001,"Em ajustes",$A$2:$A$5001,"&lt;"&amp;I1935)&gt;0,1,0),0))</f>
        <v/>
      </c>
      <c r="L1935" s="16" t="str">
        <f aca="false">IF(B1935="","",IF(A1935=_xlfn.MAXIFS($A$2:$A$5001,$B$2:$B$5001,B1935,$I$2:$I$5001,I1935),1,0))</f>
        <v/>
      </c>
    </row>
    <row r="1936" customFormat="false" ht="15" hidden="false" customHeight="false" outlineLevel="0" collapsed="false">
      <c r="I1936" s="15" t="str">
        <f aca="false">IF(A1936="","",INT(A1936))</f>
        <v/>
      </c>
      <c r="J1936" s="16" t="str">
        <f aca="false">IF(B1936="","",IF(A1936=_xlfn.MINIFS($A$2:$A$5001,$B$2:$B$5001,B1936),1,0))</f>
        <v/>
      </c>
      <c r="K1936" s="16" t="str">
        <f aca="false">IF(B1936="","",IF(AND(D1936="Formalização",E1936="Concluído"),IF(COUNTIFS($B$2:$B$5001,B1936,$E$2:$E$5001,"Em ajustes",$A$2:$A$5001,"&lt;"&amp;I1936)&gt;0,1,0),0))</f>
        <v/>
      </c>
      <c r="L1936" s="16" t="str">
        <f aca="false">IF(B1936="","",IF(A1936=_xlfn.MAXIFS($A$2:$A$5001,$B$2:$B$5001,B1936,$I$2:$I$5001,I1936),1,0))</f>
        <v/>
      </c>
    </row>
    <row r="1937" customFormat="false" ht="15" hidden="false" customHeight="false" outlineLevel="0" collapsed="false">
      <c r="I1937" s="15" t="str">
        <f aca="false">IF(A1937="","",INT(A1937))</f>
        <v/>
      </c>
      <c r="J1937" s="16" t="str">
        <f aca="false">IF(B1937="","",IF(A1937=_xlfn.MINIFS($A$2:$A$5001,$B$2:$B$5001,B1937),1,0))</f>
        <v/>
      </c>
      <c r="K1937" s="16" t="str">
        <f aca="false">IF(B1937="","",IF(AND(D1937="Formalização",E1937="Concluído"),IF(COUNTIFS($B$2:$B$5001,B1937,$E$2:$E$5001,"Em ajustes",$A$2:$A$5001,"&lt;"&amp;I1937)&gt;0,1,0),0))</f>
        <v/>
      </c>
      <c r="L1937" s="16" t="str">
        <f aca="false">IF(B1937="","",IF(A1937=_xlfn.MAXIFS($A$2:$A$5001,$B$2:$B$5001,B1937,$I$2:$I$5001,I1937),1,0))</f>
        <v/>
      </c>
    </row>
    <row r="1938" customFormat="false" ht="15" hidden="false" customHeight="false" outlineLevel="0" collapsed="false">
      <c r="I1938" s="15" t="str">
        <f aca="false">IF(A1938="","",INT(A1938))</f>
        <v/>
      </c>
      <c r="J1938" s="16" t="str">
        <f aca="false">IF(B1938="","",IF(A1938=_xlfn.MINIFS($A$2:$A$5001,$B$2:$B$5001,B1938),1,0))</f>
        <v/>
      </c>
      <c r="K1938" s="16" t="str">
        <f aca="false">IF(B1938="","",IF(AND(D1938="Formalização",E1938="Concluído"),IF(COUNTIFS($B$2:$B$5001,B1938,$E$2:$E$5001,"Em ajustes",$A$2:$A$5001,"&lt;"&amp;I1938)&gt;0,1,0),0))</f>
        <v/>
      </c>
      <c r="L1938" s="16" t="str">
        <f aca="false">IF(B1938="","",IF(A1938=_xlfn.MAXIFS($A$2:$A$5001,$B$2:$B$5001,B1938,$I$2:$I$5001,I1938),1,0))</f>
        <v/>
      </c>
    </row>
    <row r="1939" customFormat="false" ht="15" hidden="false" customHeight="false" outlineLevel="0" collapsed="false">
      <c r="I1939" s="15" t="str">
        <f aca="false">IF(A1939="","",INT(A1939))</f>
        <v/>
      </c>
      <c r="J1939" s="16" t="str">
        <f aca="false">IF(B1939="","",IF(A1939=_xlfn.MINIFS($A$2:$A$5001,$B$2:$B$5001,B1939),1,0))</f>
        <v/>
      </c>
      <c r="K1939" s="16" t="str">
        <f aca="false">IF(B1939="","",IF(AND(D1939="Formalização",E1939="Concluído"),IF(COUNTIFS($B$2:$B$5001,B1939,$E$2:$E$5001,"Em ajustes",$A$2:$A$5001,"&lt;"&amp;I1939)&gt;0,1,0),0))</f>
        <v/>
      </c>
      <c r="L1939" s="16" t="str">
        <f aca="false">IF(B1939="","",IF(A1939=_xlfn.MAXIFS($A$2:$A$5001,$B$2:$B$5001,B1939,$I$2:$I$5001,I1939),1,0))</f>
        <v/>
      </c>
    </row>
    <row r="1940" customFormat="false" ht="15" hidden="false" customHeight="false" outlineLevel="0" collapsed="false">
      <c r="I1940" s="15" t="str">
        <f aca="false">IF(A1940="","",INT(A1940))</f>
        <v/>
      </c>
      <c r="J1940" s="16" t="str">
        <f aca="false">IF(B1940="","",IF(A1940=_xlfn.MINIFS($A$2:$A$5001,$B$2:$B$5001,B1940),1,0))</f>
        <v/>
      </c>
      <c r="K1940" s="16" t="str">
        <f aca="false">IF(B1940="","",IF(AND(D1940="Formalização",E1940="Concluído"),IF(COUNTIFS($B$2:$B$5001,B1940,$E$2:$E$5001,"Em ajustes",$A$2:$A$5001,"&lt;"&amp;I1940)&gt;0,1,0),0))</f>
        <v/>
      </c>
      <c r="L1940" s="16" t="str">
        <f aca="false">IF(B1940="","",IF(A1940=_xlfn.MAXIFS($A$2:$A$5001,$B$2:$B$5001,B1940,$I$2:$I$5001,I1940),1,0))</f>
        <v/>
      </c>
    </row>
    <row r="1941" customFormat="false" ht="15" hidden="false" customHeight="false" outlineLevel="0" collapsed="false">
      <c r="I1941" s="15" t="str">
        <f aca="false">IF(A1941="","",INT(A1941))</f>
        <v/>
      </c>
      <c r="J1941" s="16" t="str">
        <f aca="false">IF(B1941="","",IF(A1941=_xlfn.MINIFS($A$2:$A$5001,$B$2:$B$5001,B1941),1,0))</f>
        <v/>
      </c>
      <c r="K1941" s="16" t="str">
        <f aca="false">IF(B1941="","",IF(AND(D1941="Formalização",E1941="Concluído"),IF(COUNTIFS($B$2:$B$5001,B1941,$E$2:$E$5001,"Em ajustes",$A$2:$A$5001,"&lt;"&amp;I1941)&gt;0,1,0),0))</f>
        <v/>
      </c>
      <c r="L1941" s="16" t="str">
        <f aca="false">IF(B1941="","",IF(A1941=_xlfn.MAXIFS($A$2:$A$5001,$B$2:$B$5001,B1941,$I$2:$I$5001,I1941),1,0))</f>
        <v/>
      </c>
    </row>
    <row r="1942" customFormat="false" ht="15" hidden="false" customHeight="false" outlineLevel="0" collapsed="false">
      <c r="I1942" s="15" t="str">
        <f aca="false">IF(A1942="","",INT(A1942))</f>
        <v/>
      </c>
      <c r="J1942" s="16" t="str">
        <f aca="false">IF(B1942="","",IF(A1942=_xlfn.MINIFS($A$2:$A$5001,$B$2:$B$5001,B1942),1,0))</f>
        <v/>
      </c>
      <c r="K1942" s="16" t="str">
        <f aca="false">IF(B1942="","",IF(AND(D1942="Formalização",E1942="Concluído"),IF(COUNTIFS($B$2:$B$5001,B1942,$E$2:$E$5001,"Em ajustes",$A$2:$A$5001,"&lt;"&amp;I1942)&gt;0,1,0),0))</f>
        <v/>
      </c>
      <c r="L1942" s="16" t="str">
        <f aca="false">IF(B1942="","",IF(A1942=_xlfn.MAXIFS($A$2:$A$5001,$B$2:$B$5001,B1942,$I$2:$I$5001,I1942),1,0))</f>
        <v/>
      </c>
    </row>
    <row r="1943" customFormat="false" ht="15" hidden="false" customHeight="false" outlineLevel="0" collapsed="false">
      <c r="I1943" s="15" t="str">
        <f aca="false">IF(A1943="","",INT(A1943))</f>
        <v/>
      </c>
      <c r="J1943" s="16" t="str">
        <f aca="false">IF(B1943="","",IF(A1943=_xlfn.MINIFS($A$2:$A$5001,$B$2:$B$5001,B1943),1,0))</f>
        <v/>
      </c>
      <c r="K1943" s="16" t="str">
        <f aca="false">IF(B1943="","",IF(AND(D1943="Formalização",E1943="Concluído"),IF(COUNTIFS($B$2:$B$5001,B1943,$E$2:$E$5001,"Em ajustes",$A$2:$A$5001,"&lt;"&amp;I1943)&gt;0,1,0),0))</f>
        <v/>
      </c>
      <c r="L1943" s="16" t="str">
        <f aca="false">IF(B1943="","",IF(A1943=_xlfn.MAXIFS($A$2:$A$5001,$B$2:$B$5001,B1943,$I$2:$I$5001,I1943),1,0))</f>
        <v/>
      </c>
    </row>
    <row r="1944" customFormat="false" ht="15" hidden="false" customHeight="false" outlineLevel="0" collapsed="false">
      <c r="I1944" s="15" t="str">
        <f aca="false">IF(A1944="","",INT(A1944))</f>
        <v/>
      </c>
      <c r="J1944" s="16" t="str">
        <f aca="false">IF(B1944="","",IF(A1944=_xlfn.MINIFS($A$2:$A$5001,$B$2:$B$5001,B1944),1,0))</f>
        <v/>
      </c>
      <c r="K1944" s="16" t="str">
        <f aca="false">IF(B1944="","",IF(AND(D1944="Formalização",E1944="Concluído"),IF(COUNTIFS($B$2:$B$5001,B1944,$E$2:$E$5001,"Em ajustes",$A$2:$A$5001,"&lt;"&amp;I1944)&gt;0,1,0),0))</f>
        <v/>
      </c>
      <c r="L1944" s="16" t="str">
        <f aca="false">IF(B1944="","",IF(A1944=_xlfn.MAXIFS($A$2:$A$5001,$B$2:$B$5001,B1944,$I$2:$I$5001,I1944),1,0))</f>
        <v/>
      </c>
    </row>
    <row r="1945" customFormat="false" ht="15" hidden="false" customHeight="false" outlineLevel="0" collapsed="false">
      <c r="I1945" s="15" t="str">
        <f aca="false">IF(A1945="","",INT(A1945))</f>
        <v/>
      </c>
      <c r="J1945" s="16" t="str">
        <f aca="false">IF(B1945="","",IF(A1945=_xlfn.MINIFS($A$2:$A$5001,$B$2:$B$5001,B1945),1,0))</f>
        <v/>
      </c>
      <c r="K1945" s="16" t="str">
        <f aca="false">IF(B1945="","",IF(AND(D1945="Formalização",E1945="Concluído"),IF(COUNTIFS($B$2:$B$5001,B1945,$E$2:$E$5001,"Em ajustes",$A$2:$A$5001,"&lt;"&amp;I1945)&gt;0,1,0),0))</f>
        <v/>
      </c>
      <c r="L1945" s="16" t="str">
        <f aca="false">IF(B1945="","",IF(A1945=_xlfn.MAXIFS($A$2:$A$5001,$B$2:$B$5001,B1945,$I$2:$I$5001,I1945),1,0))</f>
        <v/>
      </c>
    </row>
    <row r="1946" customFormat="false" ht="15" hidden="false" customHeight="false" outlineLevel="0" collapsed="false">
      <c r="I1946" s="15" t="str">
        <f aca="false">IF(A1946="","",INT(A1946))</f>
        <v/>
      </c>
      <c r="J1946" s="16" t="str">
        <f aca="false">IF(B1946="","",IF(A1946=_xlfn.MINIFS($A$2:$A$5001,$B$2:$B$5001,B1946),1,0))</f>
        <v/>
      </c>
      <c r="K1946" s="16" t="str">
        <f aca="false">IF(B1946="","",IF(AND(D1946="Formalização",E1946="Concluído"),IF(COUNTIFS($B$2:$B$5001,B1946,$E$2:$E$5001,"Em ajustes",$A$2:$A$5001,"&lt;"&amp;I1946)&gt;0,1,0),0))</f>
        <v/>
      </c>
      <c r="L1946" s="16" t="str">
        <f aca="false">IF(B1946="","",IF(A1946=_xlfn.MAXIFS($A$2:$A$5001,$B$2:$B$5001,B1946,$I$2:$I$5001,I1946),1,0))</f>
        <v/>
      </c>
    </row>
    <row r="1947" customFormat="false" ht="15" hidden="false" customHeight="false" outlineLevel="0" collapsed="false">
      <c r="I1947" s="15" t="str">
        <f aca="false">IF(A1947="","",INT(A1947))</f>
        <v/>
      </c>
      <c r="J1947" s="16" t="str">
        <f aca="false">IF(B1947="","",IF(A1947=_xlfn.MINIFS($A$2:$A$5001,$B$2:$B$5001,B1947),1,0))</f>
        <v/>
      </c>
      <c r="K1947" s="16" t="str">
        <f aca="false">IF(B1947="","",IF(AND(D1947="Formalização",E1947="Concluído"),IF(COUNTIFS($B$2:$B$5001,B1947,$E$2:$E$5001,"Em ajustes",$A$2:$A$5001,"&lt;"&amp;I1947)&gt;0,1,0),0))</f>
        <v/>
      </c>
      <c r="L1947" s="16" t="str">
        <f aca="false">IF(B1947="","",IF(A1947=_xlfn.MAXIFS($A$2:$A$5001,$B$2:$B$5001,B1947,$I$2:$I$5001,I1947),1,0))</f>
        <v/>
      </c>
    </row>
    <row r="1948" customFormat="false" ht="15" hidden="false" customHeight="false" outlineLevel="0" collapsed="false">
      <c r="I1948" s="15" t="str">
        <f aca="false">IF(A1948="","",INT(A1948))</f>
        <v/>
      </c>
      <c r="J1948" s="16" t="str">
        <f aca="false">IF(B1948="","",IF(A1948=_xlfn.MINIFS($A$2:$A$5001,$B$2:$B$5001,B1948),1,0))</f>
        <v/>
      </c>
      <c r="K1948" s="16" t="str">
        <f aca="false">IF(B1948="","",IF(AND(D1948="Formalização",E1948="Concluído"),IF(COUNTIFS($B$2:$B$5001,B1948,$E$2:$E$5001,"Em ajustes",$A$2:$A$5001,"&lt;"&amp;I1948)&gt;0,1,0),0))</f>
        <v/>
      </c>
      <c r="L1948" s="16" t="str">
        <f aca="false">IF(B1948="","",IF(A1948=_xlfn.MAXIFS($A$2:$A$5001,$B$2:$B$5001,B1948,$I$2:$I$5001,I1948),1,0))</f>
        <v/>
      </c>
    </row>
    <row r="1949" customFormat="false" ht="15" hidden="false" customHeight="false" outlineLevel="0" collapsed="false">
      <c r="I1949" s="15" t="str">
        <f aca="false">IF(A1949="","",INT(A1949))</f>
        <v/>
      </c>
      <c r="J1949" s="16" t="str">
        <f aca="false">IF(B1949="","",IF(A1949=_xlfn.MINIFS($A$2:$A$5001,$B$2:$B$5001,B1949),1,0))</f>
        <v/>
      </c>
      <c r="K1949" s="16" t="str">
        <f aca="false">IF(B1949="","",IF(AND(D1949="Formalização",E1949="Concluído"),IF(COUNTIFS($B$2:$B$5001,B1949,$E$2:$E$5001,"Em ajustes",$A$2:$A$5001,"&lt;"&amp;I1949)&gt;0,1,0),0))</f>
        <v/>
      </c>
      <c r="L1949" s="16" t="str">
        <f aca="false">IF(B1949="","",IF(A1949=_xlfn.MAXIFS($A$2:$A$5001,$B$2:$B$5001,B1949,$I$2:$I$5001,I1949),1,0))</f>
        <v/>
      </c>
    </row>
    <row r="1950" customFormat="false" ht="15" hidden="false" customHeight="false" outlineLevel="0" collapsed="false">
      <c r="I1950" s="15" t="str">
        <f aca="false">IF(A1950="","",INT(A1950))</f>
        <v/>
      </c>
      <c r="J1950" s="16" t="str">
        <f aca="false">IF(B1950="","",IF(A1950=_xlfn.MINIFS($A$2:$A$5001,$B$2:$B$5001,B1950),1,0))</f>
        <v/>
      </c>
      <c r="K1950" s="16" t="str">
        <f aca="false">IF(B1950="","",IF(AND(D1950="Formalização",E1950="Concluído"),IF(COUNTIFS($B$2:$B$5001,B1950,$E$2:$E$5001,"Em ajustes",$A$2:$A$5001,"&lt;"&amp;I1950)&gt;0,1,0),0))</f>
        <v/>
      </c>
      <c r="L1950" s="16" t="str">
        <f aca="false">IF(B1950="","",IF(A1950=_xlfn.MAXIFS($A$2:$A$5001,$B$2:$B$5001,B1950,$I$2:$I$5001,I1950),1,0))</f>
        <v/>
      </c>
    </row>
    <row r="1951" customFormat="false" ht="15" hidden="false" customHeight="false" outlineLevel="0" collapsed="false">
      <c r="I1951" s="15" t="str">
        <f aca="false">IF(A1951="","",INT(A1951))</f>
        <v/>
      </c>
      <c r="J1951" s="16" t="str">
        <f aca="false">IF(B1951="","",IF(A1951=_xlfn.MINIFS($A$2:$A$5001,$B$2:$B$5001,B1951),1,0))</f>
        <v/>
      </c>
      <c r="K1951" s="16" t="str">
        <f aca="false">IF(B1951="","",IF(AND(D1951="Formalização",E1951="Concluído"),IF(COUNTIFS($B$2:$B$5001,B1951,$E$2:$E$5001,"Em ajustes",$A$2:$A$5001,"&lt;"&amp;I1951)&gt;0,1,0),0))</f>
        <v/>
      </c>
      <c r="L1951" s="16" t="str">
        <f aca="false">IF(B1951="","",IF(A1951=_xlfn.MAXIFS($A$2:$A$5001,$B$2:$B$5001,B1951,$I$2:$I$5001,I1951),1,0))</f>
        <v/>
      </c>
    </row>
    <row r="1952" customFormat="false" ht="15" hidden="false" customHeight="false" outlineLevel="0" collapsed="false">
      <c r="I1952" s="15" t="str">
        <f aca="false">IF(A1952="","",INT(A1952))</f>
        <v/>
      </c>
      <c r="J1952" s="16" t="str">
        <f aca="false">IF(B1952="","",IF(A1952=_xlfn.MINIFS($A$2:$A$5001,$B$2:$B$5001,B1952),1,0))</f>
        <v/>
      </c>
      <c r="K1952" s="16" t="str">
        <f aca="false">IF(B1952="","",IF(AND(D1952="Formalização",E1952="Concluído"),IF(COUNTIFS($B$2:$B$5001,B1952,$E$2:$E$5001,"Em ajustes",$A$2:$A$5001,"&lt;"&amp;I1952)&gt;0,1,0),0))</f>
        <v/>
      </c>
      <c r="L1952" s="16" t="str">
        <f aca="false">IF(B1952="","",IF(A1952=_xlfn.MAXIFS($A$2:$A$5001,$B$2:$B$5001,B1952,$I$2:$I$5001,I1952),1,0))</f>
        <v/>
      </c>
    </row>
    <row r="1953" customFormat="false" ht="15" hidden="false" customHeight="false" outlineLevel="0" collapsed="false">
      <c r="I1953" s="15" t="str">
        <f aca="false">IF(A1953="","",INT(A1953))</f>
        <v/>
      </c>
      <c r="J1953" s="16" t="str">
        <f aca="false">IF(B1953="","",IF(A1953=_xlfn.MINIFS($A$2:$A$5001,$B$2:$B$5001,B1953),1,0))</f>
        <v/>
      </c>
      <c r="K1953" s="16" t="str">
        <f aca="false">IF(B1953="","",IF(AND(D1953="Formalização",E1953="Concluído"),IF(COUNTIFS($B$2:$B$5001,B1953,$E$2:$E$5001,"Em ajustes",$A$2:$A$5001,"&lt;"&amp;I1953)&gt;0,1,0),0))</f>
        <v/>
      </c>
      <c r="L1953" s="16" t="str">
        <f aca="false">IF(B1953="","",IF(A1953=_xlfn.MAXIFS($A$2:$A$5001,$B$2:$B$5001,B1953,$I$2:$I$5001,I1953),1,0))</f>
        <v/>
      </c>
    </row>
    <row r="1954" customFormat="false" ht="15" hidden="false" customHeight="false" outlineLevel="0" collapsed="false">
      <c r="I1954" s="15" t="str">
        <f aca="false">IF(A1954="","",INT(A1954))</f>
        <v/>
      </c>
      <c r="J1954" s="16" t="str">
        <f aca="false">IF(B1954="","",IF(A1954=_xlfn.MINIFS($A$2:$A$5001,$B$2:$B$5001,B1954),1,0))</f>
        <v/>
      </c>
      <c r="K1954" s="16" t="str">
        <f aca="false">IF(B1954="","",IF(AND(D1954="Formalização",E1954="Concluído"),IF(COUNTIFS($B$2:$B$5001,B1954,$E$2:$E$5001,"Em ajustes",$A$2:$A$5001,"&lt;"&amp;I1954)&gt;0,1,0),0))</f>
        <v/>
      </c>
      <c r="L1954" s="16" t="str">
        <f aca="false">IF(B1954="","",IF(A1954=_xlfn.MAXIFS($A$2:$A$5001,$B$2:$B$5001,B1954,$I$2:$I$5001,I1954),1,0))</f>
        <v/>
      </c>
    </row>
    <row r="1955" customFormat="false" ht="15" hidden="false" customHeight="false" outlineLevel="0" collapsed="false">
      <c r="I1955" s="15" t="str">
        <f aca="false">IF(A1955="","",INT(A1955))</f>
        <v/>
      </c>
      <c r="J1955" s="16" t="str">
        <f aca="false">IF(B1955="","",IF(A1955=_xlfn.MINIFS($A$2:$A$5001,$B$2:$B$5001,B1955),1,0))</f>
        <v/>
      </c>
      <c r="K1955" s="16" t="str">
        <f aca="false">IF(B1955="","",IF(AND(D1955="Formalização",E1955="Concluído"),IF(COUNTIFS($B$2:$B$5001,B1955,$E$2:$E$5001,"Em ajustes",$A$2:$A$5001,"&lt;"&amp;I1955)&gt;0,1,0),0))</f>
        <v/>
      </c>
      <c r="L1955" s="16" t="str">
        <f aca="false">IF(B1955="","",IF(A1955=_xlfn.MAXIFS($A$2:$A$5001,$B$2:$B$5001,B1955,$I$2:$I$5001,I1955),1,0))</f>
        <v/>
      </c>
    </row>
    <row r="1956" customFormat="false" ht="15" hidden="false" customHeight="false" outlineLevel="0" collapsed="false">
      <c r="I1956" s="15" t="str">
        <f aca="false">IF(A1956="","",INT(A1956))</f>
        <v/>
      </c>
      <c r="J1956" s="16" t="str">
        <f aca="false">IF(B1956="","",IF(A1956=_xlfn.MINIFS($A$2:$A$5001,$B$2:$B$5001,B1956),1,0))</f>
        <v/>
      </c>
      <c r="K1956" s="16" t="str">
        <f aca="false">IF(B1956="","",IF(AND(D1956="Formalização",E1956="Concluído"),IF(COUNTIFS($B$2:$B$5001,B1956,$E$2:$E$5001,"Em ajustes",$A$2:$A$5001,"&lt;"&amp;I1956)&gt;0,1,0),0))</f>
        <v/>
      </c>
      <c r="L1956" s="16" t="str">
        <f aca="false">IF(B1956="","",IF(A1956=_xlfn.MAXIFS($A$2:$A$5001,$B$2:$B$5001,B1956,$I$2:$I$5001,I1956),1,0))</f>
        <v/>
      </c>
    </row>
    <row r="1957" customFormat="false" ht="15" hidden="false" customHeight="false" outlineLevel="0" collapsed="false">
      <c r="I1957" s="15" t="str">
        <f aca="false">IF(A1957="","",INT(A1957))</f>
        <v/>
      </c>
      <c r="J1957" s="16" t="str">
        <f aca="false">IF(B1957="","",IF(A1957=_xlfn.MINIFS($A$2:$A$5001,$B$2:$B$5001,B1957),1,0))</f>
        <v/>
      </c>
      <c r="K1957" s="16" t="str">
        <f aca="false">IF(B1957="","",IF(AND(D1957="Formalização",E1957="Concluído"),IF(COUNTIFS($B$2:$B$5001,B1957,$E$2:$E$5001,"Em ajustes",$A$2:$A$5001,"&lt;"&amp;I1957)&gt;0,1,0),0))</f>
        <v/>
      </c>
      <c r="L1957" s="16" t="str">
        <f aca="false">IF(B1957="","",IF(A1957=_xlfn.MAXIFS($A$2:$A$5001,$B$2:$B$5001,B1957,$I$2:$I$5001,I1957),1,0))</f>
        <v/>
      </c>
    </row>
    <row r="1958" customFormat="false" ht="15" hidden="false" customHeight="false" outlineLevel="0" collapsed="false">
      <c r="I1958" s="15" t="str">
        <f aca="false">IF(A1958="","",INT(A1958))</f>
        <v/>
      </c>
      <c r="J1958" s="16" t="str">
        <f aca="false">IF(B1958="","",IF(A1958=_xlfn.MINIFS($A$2:$A$5001,$B$2:$B$5001,B1958),1,0))</f>
        <v/>
      </c>
      <c r="K1958" s="16" t="str">
        <f aca="false">IF(B1958="","",IF(AND(D1958="Formalização",E1958="Concluído"),IF(COUNTIFS($B$2:$B$5001,B1958,$E$2:$E$5001,"Em ajustes",$A$2:$A$5001,"&lt;"&amp;I1958)&gt;0,1,0),0))</f>
        <v/>
      </c>
      <c r="L1958" s="16" t="str">
        <f aca="false">IF(B1958="","",IF(A1958=_xlfn.MAXIFS($A$2:$A$5001,$B$2:$B$5001,B1958,$I$2:$I$5001,I1958),1,0))</f>
        <v/>
      </c>
    </row>
    <row r="1959" customFormat="false" ht="15" hidden="false" customHeight="false" outlineLevel="0" collapsed="false">
      <c r="I1959" s="15" t="str">
        <f aca="false">IF(A1959="","",INT(A1959))</f>
        <v/>
      </c>
      <c r="J1959" s="16" t="str">
        <f aca="false">IF(B1959="","",IF(A1959=_xlfn.MINIFS($A$2:$A$5001,$B$2:$B$5001,B1959),1,0))</f>
        <v/>
      </c>
      <c r="K1959" s="16" t="str">
        <f aca="false">IF(B1959="","",IF(AND(D1959="Formalização",E1959="Concluído"),IF(COUNTIFS($B$2:$B$5001,B1959,$E$2:$E$5001,"Em ajustes",$A$2:$A$5001,"&lt;"&amp;I1959)&gt;0,1,0),0))</f>
        <v/>
      </c>
      <c r="L1959" s="16" t="str">
        <f aca="false">IF(B1959="","",IF(A1959=_xlfn.MAXIFS($A$2:$A$5001,$B$2:$B$5001,B1959,$I$2:$I$5001,I1959),1,0))</f>
        <v/>
      </c>
    </row>
    <row r="1960" customFormat="false" ht="15" hidden="false" customHeight="false" outlineLevel="0" collapsed="false">
      <c r="I1960" s="15" t="str">
        <f aca="false">IF(A1960="","",INT(A1960))</f>
        <v/>
      </c>
      <c r="J1960" s="16" t="str">
        <f aca="false">IF(B1960="","",IF(A1960=_xlfn.MINIFS($A$2:$A$5001,$B$2:$B$5001,B1960),1,0))</f>
        <v/>
      </c>
      <c r="K1960" s="16" t="str">
        <f aca="false">IF(B1960="","",IF(AND(D1960="Formalização",E1960="Concluído"),IF(COUNTIFS($B$2:$B$5001,B1960,$E$2:$E$5001,"Em ajustes",$A$2:$A$5001,"&lt;"&amp;I1960)&gt;0,1,0),0))</f>
        <v/>
      </c>
      <c r="L1960" s="16" t="str">
        <f aca="false">IF(B1960="","",IF(A1960=_xlfn.MAXIFS($A$2:$A$5001,$B$2:$B$5001,B1960,$I$2:$I$5001,I1960),1,0))</f>
        <v/>
      </c>
    </row>
    <row r="1961" customFormat="false" ht="15" hidden="false" customHeight="false" outlineLevel="0" collapsed="false">
      <c r="I1961" s="15" t="str">
        <f aca="false">IF(A1961="","",INT(A1961))</f>
        <v/>
      </c>
      <c r="J1961" s="16" t="str">
        <f aca="false">IF(B1961="","",IF(A1961=_xlfn.MINIFS($A$2:$A$5001,$B$2:$B$5001,B1961),1,0))</f>
        <v/>
      </c>
      <c r="K1961" s="16" t="str">
        <f aca="false">IF(B1961="","",IF(AND(D1961="Formalização",E1961="Concluído"),IF(COUNTIFS($B$2:$B$5001,B1961,$E$2:$E$5001,"Em ajustes",$A$2:$A$5001,"&lt;"&amp;I1961)&gt;0,1,0),0))</f>
        <v/>
      </c>
      <c r="L1961" s="16" t="str">
        <f aca="false">IF(B1961="","",IF(A1961=_xlfn.MAXIFS($A$2:$A$5001,$B$2:$B$5001,B1961,$I$2:$I$5001,I1961),1,0))</f>
        <v/>
      </c>
    </row>
    <row r="1962" customFormat="false" ht="15" hidden="false" customHeight="false" outlineLevel="0" collapsed="false">
      <c r="I1962" s="15" t="str">
        <f aca="false">IF(A1962="","",INT(A1962))</f>
        <v/>
      </c>
      <c r="J1962" s="16" t="str">
        <f aca="false">IF(B1962="","",IF(A1962=_xlfn.MINIFS($A$2:$A$5001,$B$2:$B$5001,B1962),1,0))</f>
        <v/>
      </c>
      <c r="K1962" s="16" t="str">
        <f aca="false">IF(B1962="","",IF(AND(D1962="Formalização",E1962="Concluído"),IF(COUNTIFS($B$2:$B$5001,B1962,$E$2:$E$5001,"Em ajustes",$A$2:$A$5001,"&lt;"&amp;I1962)&gt;0,1,0),0))</f>
        <v/>
      </c>
      <c r="L1962" s="16" t="str">
        <f aca="false">IF(B1962="","",IF(A1962=_xlfn.MAXIFS($A$2:$A$5001,$B$2:$B$5001,B1962,$I$2:$I$5001,I1962),1,0))</f>
        <v/>
      </c>
    </row>
    <row r="1963" customFormat="false" ht="15" hidden="false" customHeight="false" outlineLevel="0" collapsed="false">
      <c r="I1963" s="15" t="str">
        <f aca="false">IF(A1963="","",INT(A1963))</f>
        <v/>
      </c>
      <c r="J1963" s="16" t="str">
        <f aca="false">IF(B1963="","",IF(A1963=_xlfn.MINIFS($A$2:$A$5001,$B$2:$B$5001,B1963),1,0))</f>
        <v/>
      </c>
      <c r="K1963" s="16" t="str">
        <f aca="false">IF(B1963="","",IF(AND(D1963="Formalização",E1963="Concluído"),IF(COUNTIFS($B$2:$B$5001,B1963,$E$2:$E$5001,"Em ajustes",$A$2:$A$5001,"&lt;"&amp;I1963)&gt;0,1,0),0))</f>
        <v/>
      </c>
      <c r="L1963" s="16" t="str">
        <f aca="false">IF(B1963="","",IF(A1963=_xlfn.MAXIFS($A$2:$A$5001,$B$2:$B$5001,B1963,$I$2:$I$5001,I1963),1,0))</f>
        <v/>
      </c>
    </row>
    <row r="1964" customFormat="false" ht="15" hidden="false" customHeight="false" outlineLevel="0" collapsed="false">
      <c r="I1964" s="15" t="str">
        <f aca="false">IF(A1964="","",INT(A1964))</f>
        <v/>
      </c>
      <c r="J1964" s="16" t="str">
        <f aca="false">IF(B1964="","",IF(A1964=_xlfn.MINIFS($A$2:$A$5001,$B$2:$B$5001,B1964),1,0))</f>
        <v/>
      </c>
      <c r="K1964" s="16" t="str">
        <f aca="false">IF(B1964="","",IF(AND(D1964="Formalização",E1964="Concluído"),IF(COUNTIFS($B$2:$B$5001,B1964,$E$2:$E$5001,"Em ajustes",$A$2:$A$5001,"&lt;"&amp;I1964)&gt;0,1,0),0))</f>
        <v/>
      </c>
      <c r="L1964" s="16" t="str">
        <f aca="false">IF(B1964="","",IF(A1964=_xlfn.MAXIFS($A$2:$A$5001,$B$2:$B$5001,B1964,$I$2:$I$5001,I1964),1,0))</f>
        <v/>
      </c>
    </row>
    <row r="1965" customFormat="false" ht="15" hidden="false" customHeight="false" outlineLevel="0" collapsed="false">
      <c r="I1965" s="15" t="str">
        <f aca="false">IF(A1965="","",INT(A1965))</f>
        <v/>
      </c>
      <c r="J1965" s="16" t="str">
        <f aca="false">IF(B1965="","",IF(A1965=_xlfn.MINIFS($A$2:$A$5001,$B$2:$B$5001,B1965),1,0))</f>
        <v/>
      </c>
      <c r="K1965" s="16" t="str">
        <f aca="false">IF(B1965="","",IF(AND(D1965="Formalização",E1965="Concluído"),IF(COUNTIFS($B$2:$B$5001,B1965,$E$2:$E$5001,"Em ajustes",$A$2:$A$5001,"&lt;"&amp;I1965)&gt;0,1,0),0))</f>
        <v/>
      </c>
      <c r="L1965" s="16" t="str">
        <f aca="false">IF(B1965="","",IF(A1965=_xlfn.MAXIFS($A$2:$A$5001,$B$2:$B$5001,B1965,$I$2:$I$5001,I1965),1,0))</f>
        <v/>
      </c>
    </row>
    <row r="1966" customFormat="false" ht="15" hidden="false" customHeight="false" outlineLevel="0" collapsed="false">
      <c r="I1966" s="15" t="str">
        <f aca="false">IF(A1966="","",INT(A1966))</f>
        <v/>
      </c>
      <c r="J1966" s="16" t="str">
        <f aca="false">IF(B1966="","",IF(A1966=_xlfn.MINIFS($A$2:$A$5001,$B$2:$B$5001,B1966),1,0))</f>
        <v/>
      </c>
      <c r="K1966" s="16" t="str">
        <f aca="false">IF(B1966="","",IF(AND(D1966="Formalização",E1966="Concluído"),IF(COUNTIFS($B$2:$B$5001,B1966,$E$2:$E$5001,"Em ajustes",$A$2:$A$5001,"&lt;"&amp;I1966)&gt;0,1,0),0))</f>
        <v/>
      </c>
      <c r="L1966" s="16" t="str">
        <f aca="false">IF(B1966="","",IF(A1966=_xlfn.MAXIFS($A$2:$A$5001,$B$2:$B$5001,B1966,$I$2:$I$5001,I1966),1,0))</f>
        <v/>
      </c>
    </row>
    <row r="1967" customFormat="false" ht="15" hidden="false" customHeight="false" outlineLevel="0" collapsed="false">
      <c r="I1967" s="15" t="str">
        <f aca="false">IF(A1967="","",INT(A1967))</f>
        <v/>
      </c>
      <c r="J1967" s="16" t="str">
        <f aca="false">IF(B1967="","",IF(A1967=_xlfn.MINIFS($A$2:$A$5001,$B$2:$B$5001,B1967),1,0))</f>
        <v/>
      </c>
      <c r="K1967" s="16" t="str">
        <f aca="false">IF(B1967="","",IF(AND(D1967="Formalização",E1967="Concluído"),IF(COUNTIFS($B$2:$B$5001,B1967,$E$2:$E$5001,"Em ajustes",$A$2:$A$5001,"&lt;"&amp;I1967)&gt;0,1,0),0))</f>
        <v/>
      </c>
      <c r="L1967" s="16" t="str">
        <f aca="false">IF(B1967="","",IF(A1967=_xlfn.MAXIFS($A$2:$A$5001,$B$2:$B$5001,B1967,$I$2:$I$5001,I1967),1,0))</f>
        <v/>
      </c>
    </row>
    <row r="1968" customFormat="false" ht="15" hidden="false" customHeight="false" outlineLevel="0" collapsed="false">
      <c r="I1968" s="15" t="str">
        <f aca="false">IF(A1968="","",INT(A1968))</f>
        <v/>
      </c>
      <c r="J1968" s="16" t="str">
        <f aca="false">IF(B1968="","",IF(A1968=_xlfn.MINIFS($A$2:$A$5001,$B$2:$B$5001,B1968),1,0))</f>
        <v/>
      </c>
      <c r="K1968" s="16" t="str">
        <f aca="false">IF(B1968="","",IF(AND(D1968="Formalização",E1968="Concluído"),IF(COUNTIFS($B$2:$B$5001,B1968,$E$2:$E$5001,"Em ajustes",$A$2:$A$5001,"&lt;"&amp;I1968)&gt;0,1,0),0))</f>
        <v/>
      </c>
      <c r="L1968" s="16" t="str">
        <f aca="false">IF(B1968="","",IF(A1968=_xlfn.MAXIFS($A$2:$A$5001,$B$2:$B$5001,B1968,$I$2:$I$5001,I1968),1,0))</f>
        <v/>
      </c>
    </row>
    <row r="1969" customFormat="false" ht="15" hidden="false" customHeight="false" outlineLevel="0" collapsed="false">
      <c r="I1969" s="15" t="str">
        <f aca="false">IF(A1969="","",INT(A1969))</f>
        <v/>
      </c>
      <c r="J1969" s="16" t="str">
        <f aca="false">IF(B1969="","",IF(A1969=_xlfn.MINIFS($A$2:$A$5001,$B$2:$B$5001,B1969),1,0))</f>
        <v/>
      </c>
      <c r="K1969" s="16" t="str">
        <f aca="false">IF(B1969="","",IF(AND(D1969="Formalização",E1969="Concluído"),IF(COUNTIFS($B$2:$B$5001,B1969,$E$2:$E$5001,"Em ajustes",$A$2:$A$5001,"&lt;"&amp;I1969)&gt;0,1,0),0))</f>
        <v/>
      </c>
      <c r="L1969" s="16" t="str">
        <f aca="false">IF(B1969="","",IF(A1969=_xlfn.MAXIFS($A$2:$A$5001,$B$2:$B$5001,B1969,$I$2:$I$5001,I1969),1,0))</f>
        <v/>
      </c>
    </row>
    <row r="1970" customFormat="false" ht="15" hidden="false" customHeight="false" outlineLevel="0" collapsed="false">
      <c r="I1970" s="15" t="str">
        <f aca="false">IF(A1970="","",INT(A1970))</f>
        <v/>
      </c>
      <c r="J1970" s="16" t="str">
        <f aca="false">IF(B1970="","",IF(A1970=_xlfn.MINIFS($A$2:$A$5001,$B$2:$B$5001,B1970),1,0))</f>
        <v/>
      </c>
      <c r="K1970" s="16" t="str">
        <f aca="false">IF(B1970="","",IF(AND(D1970="Formalização",E1970="Concluído"),IF(COUNTIFS($B$2:$B$5001,B1970,$E$2:$E$5001,"Em ajustes",$A$2:$A$5001,"&lt;"&amp;I1970)&gt;0,1,0),0))</f>
        <v/>
      </c>
      <c r="L1970" s="16" t="str">
        <f aca="false">IF(B1970="","",IF(A1970=_xlfn.MAXIFS($A$2:$A$5001,$B$2:$B$5001,B1970,$I$2:$I$5001,I1970),1,0))</f>
        <v/>
      </c>
    </row>
    <row r="1971" customFormat="false" ht="15" hidden="false" customHeight="false" outlineLevel="0" collapsed="false">
      <c r="I1971" s="15" t="str">
        <f aca="false">IF(A1971="","",INT(A1971))</f>
        <v/>
      </c>
      <c r="J1971" s="16" t="str">
        <f aca="false">IF(B1971="","",IF(A1971=_xlfn.MINIFS($A$2:$A$5001,$B$2:$B$5001,B1971),1,0))</f>
        <v/>
      </c>
      <c r="K1971" s="16" t="str">
        <f aca="false">IF(B1971="","",IF(AND(D1971="Formalização",E1971="Concluído"),IF(COUNTIFS($B$2:$B$5001,B1971,$E$2:$E$5001,"Em ajustes",$A$2:$A$5001,"&lt;"&amp;I1971)&gt;0,1,0),0))</f>
        <v/>
      </c>
      <c r="L1971" s="16" t="str">
        <f aca="false">IF(B1971="","",IF(A1971=_xlfn.MAXIFS($A$2:$A$5001,$B$2:$B$5001,B1971,$I$2:$I$5001,I1971),1,0))</f>
        <v/>
      </c>
    </row>
    <row r="1972" customFormat="false" ht="15" hidden="false" customHeight="false" outlineLevel="0" collapsed="false">
      <c r="I1972" s="15" t="str">
        <f aca="false">IF(A1972="","",INT(A1972))</f>
        <v/>
      </c>
      <c r="J1972" s="16" t="str">
        <f aca="false">IF(B1972="","",IF(A1972=_xlfn.MINIFS($A$2:$A$5001,$B$2:$B$5001,B1972),1,0))</f>
        <v/>
      </c>
      <c r="K1972" s="16" t="str">
        <f aca="false">IF(B1972="","",IF(AND(D1972="Formalização",E1972="Concluído"),IF(COUNTIFS($B$2:$B$5001,B1972,$E$2:$E$5001,"Em ajustes",$A$2:$A$5001,"&lt;"&amp;I1972)&gt;0,1,0),0))</f>
        <v/>
      </c>
      <c r="L1972" s="16" t="str">
        <f aca="false">IF(B1972="","",IF(A1972=_xlfn.MAXIFS($A$2:$A$5001,$B$2:$B$5001,B1972,$I$2:$I$5001,I1972),1,0))</f>
        <v/>
      </c>
    </row>
    <row r="1973" customFormat="false" ht="15" hidden="false" customHeight="false" outlineLevel="0" collapsed="false">
      <c r="I1973" s="15" t="str">
        <f aca="false">IF(A1973="","",INT(A1973))</f>
        <v/>
      </c>
      <c r="J1973" s="16" t="str">
        <f aca="false">IF(B1973="","",IF(A1973=_xlfn.MINIFS($A$2:$A$5001,$B$2:$B$5001,B1973),1,0))</f>
        <v/>
      </c>
      <c r="K1973" s="16" t="str">
        <f aca="false">IF(B1973="","",IF(AND(D1973="Formalização",E1973="Concluído"),IF(COUNTIFS($B$2:$B$5001,B1973,$E$2:$E$5001,"Em ajustes",$A$2:$A$5001,"&lt;"&amp;I1973)&gt;0,1,0),0))</f>
        <v/>
      </c>
      <c r="L1973" s="16" t="str">
        <f aca="false">IF(B1973="","",IF(A1973=_xlfn.MAXIFS($A$2:$A$5001,$B$2:$B$5001,B1973,$I$2:$I$5001,I1973),1,0))</f>
        <v/>
      </c>
    </row>
    <row r="1974" customFormat="false" ht="15" hidden="false" customHeight="false" outlineLevel="0" collapsed="false">
      <c r="I1974" s="15" t="str">
        <f aca="false">IF(A1974="","",INT(A1974))</f>
        <v/>
      </c>
      <c r="J1974" s="16" t="str">
        <f aca="false">IF(B1974="","",IF(A1974=_xlfn.MINIFS($A$2:$A$5001,$B$2:$B$5001,B1974),1,0))</f>
        <v/>
      </c>
      <c r="K1974" s="16" t="str">
        <f aca="false">IF(B1974="","",IF(AND(D1974="Formalização",E1974="Concluído"),IF(COUNTIFS($B$2:$B$5001,B1974,$E$2:$E$5001,"Em ajustes",$A$2:$A$5001,"&lt;"&amp;I1974)&gt;0,1,0),0))</f>
        <v/>
      </c>
      <c r="L1974" s="16" t="str">
        <f aca="false">IF(B1974="","",IF(A1974=_xlfn.MAXIFS($A$2:$A$5001,$B$2:$B$5001,B1974,$I$2:$I$5001,I1974),1,0))</f>
        <v/>
      </c>
    </row>
    <row r="1975" customFormat="false" ht="15" hidden="false" customHeight="false" outlineLevel="0" collapsed="false">
      <c r="I1975" s="15" t="str">
        <f aca="false">IF(A1975="","",INT(A1975))</f>
        <v/>
      </c>
      <c r="J1975" s="16" t="str">
        <f aca="false">IF(B1975="","",IF(A1975=_xlfn.MINIFS($A$2:$A$5001,$B$2:$B$5001,B1975),1,0))</f>
        <v/>
      </c>
      <c r="K1975" s="16" t="str">
        <f aca="false">IF(B1975="","",IF(AND(D1975="Formalização",E1975="Concluído"),IF(COUNTIFS($B$2:$B$5001,B1975,$E$2:$E$5001,"Em ajustes",$A$2:$A$5001,"&lt;"&amp;I1975)&gt;0,1,0),0))</f>
        <v/>
      </c>
      <c r="L1975" s="16" t="str">
        <f aca="false">IF(B1975="","",IF(A1975=_xlfn.MAXIFS($A$2:$A$5001,$B$2:$B$5001,B1975,$I$2:$I$5001,I1975),1,0))</f>
        <v/>
      </c>
    </row>
    <row r="1976" customFormat="false" ht="15" hidden="false" customHeight="false" outlineLevel="0" collapsed="false">
      <c r="I1976" s="15" t="str">
        <f aca="false">IF(A1976="","",INT(A1976))</f>
        <v/>
      </c>
      <c r="J1976" s="16" t="str">
        <f aca="false">IF(B1976="","",IF(A1976=_xlfn.MINIFS($A$2:$A$5001,$B$2:$B$5001,B1976),1,0))</f>
        <v/>
      </c>
      <c r="K1976" s="16" t="str">
        <f aca="false">IF(B1976="","",IF(AND(D1976="Formalização",E1976="Concluído"),IF(COUNTIFS($B$2:$B$5001,B1976,$E$2:$E$5001,"Em ajustes",$A$2:$A$5001,"&lt;"&amp;I1976)&gt;0,1,0),0))</f>
        <v/>
      </c>
      <c r="L1976" s="16" t="str">
        <f aca="false">IF(B1976="","",IF(A1976=_xlfn.MAXIFS($A$2:$A$5001,$B$2:$B$5001,B1976,$I$2:$I$5001,I1976),1,0))</f>
        <v/>
      </c>
    </row>
    <row r="1977" customFormat="false" ht="15" hidden="false" customHeight="false" outlineLevel="0" collapsed="false">
      <c r="I1977" s="15" t="str">
        <f aca="false">IF(A1977="","",INT(A1977))</f>
        <v/>
      </c>
      <c r="J1977" s="16" t="str">
        <f aca="false">IF(B1977="","",IF(A1977=_xlfn.MINIFS($A$2:$A$5001,$B$2:$B$5001,B1977),1,0))</f>
        <v/>
      </c>
      <c r="K1977" s="16" t="str">
        <f aca="false">IF(B1977="","",IF(AND(D1977="Formalização",E1977="Concluído"),IF(COUNTIFS($B$2:$B$5001,B1977,$E$2:$E$5001,"Em ajustes",$A$2:$A$5001,"&lt;"&amp;I1977)&gt;0,1,0),0))</f>
        <v/>
      </c>
      <c r="L1977" s="16" t="str">
        <f aca="false">IF(B1977="","",IF(A1977=_xlfn.MAXIFS($A$2:$A$5001,$B$2:$B$5001,B1977,$I$2:$I$5001,I1977),1,0))</f>
        <v/>
      </c>
    </row>
    <row r="1978" customFormat="false" ht="15" hidden="false" customHeight="false" outlineLevel="0" collapsed="false">
      <c r="I1978" s="15" t="str">
        <f aca="false">IF(A1978="","",INT(A1978))</f>
        <v/>
      </c>
      <c r="J1978" s="16" t="str">
        <f aca="false">IF(B1978="","",IF(A1978=_xlfn.MINIFS($A$2:$A$5001,$B$2:$B$5001,B1978),1,0))</f>
        <v/>
      </c>
      <c r="K1978" s="16" t="str">
        <f aca="false">IF(B1978="","",IF(AND(D1978="Formalização",E1978="Concluído"),IF(COUNTIFS($B$2:$B$5001,B1978,$E$2:$E$5001,"Em ajustes",$A$2:$A$5001,"&lt;"&amp;I1978)&gt;0,1,0),0))</f>
        <v/>
      </c>
      <c r="L1978" s="16" t="str">
        <f aca="false">IF(B1978="","",IF(A1978=_xlfn.MAXIFS($A$2:$A$5001,$B$2:$B$5001,B1978,$I$2:$I$5001,I1978),1,0))</f>
        <v/>
      </c>
    </row>
    <row r="1979" customFormat="false" ht="15" hidden="false" customHeight="false" outlineLevel="0" collapsed="false">
      <c r="I1979" s="15" t="str">
        <f aca="false">IF(A1979="","",INT(A1979))</f>
        <v/>
      </c>
      <c r="J1979" s="16" t="str">
        <f aca="false">IF(B1979="","",IF(A1979=_xlfn.MINIFS($A$2:$A$5001,$B$2:$B$5001,B1979),1,0))</f>
        <v/>
      </c>
      <c r="K1979" s="16" t="str">
        <f aca="false">IF(B1979="","",IF(AND(D1979="Formalização",E1979="Concluído"),IF(COUNTIFS($B$2:$B$5001,B1979,$E$2:$E$5001,"Em ajustes",$A$2:$A$5001,"&lt;"&amp;I1979)&gt;0,1,0),0))</f>
        <v/>
      </c>
      <c r="L1979" s="16" t="str">
        <f aca="false">IF(B1979="","",IF(A1979=_xlfn.MAXIFS($A$2:$A$5001,$B$2:$B$5001,B1979,$I$2:$I$5001,I1979),1,0))</f>
        <v/>
      </c>
    </row>
    <row r="1980" customFormat="false" ht="15" hidden="false" customHeight="false" outlineLevel="0" collapsed="false">
      <c r="I1980" s="15" t="str">
        <f aca="false">IF(A1980="","",INT(A1980))</f>
        <v/>
      </c>
      <c r="J1980" s="16" t="str">
        <f aca="false">IF(B1980="","",IF(A1980=_xlfn.MINIFS($A$2:$A$5001,$B$2:$B$5001,B1980),1,0))</f>
        <v/>
      </c>
      <c r="K1980" s="16" t="str">
        <f aca="false">IF(B1980="","",IF(AND(D1980="Formalização",E1980="Concluído"),IF(COUNTIFS($B$2:$B$5001,B1980,$E$2:$E$5001,"Em ajustes",$A$2:$A$5001,"&lt;"&amp;I1980)&gt;0,1,0),0))</f>
        <v/>
      </c>
      <c r="L1980" s="16" t="str">
        <f aca="false">IF(B1980="","",IF(A1980=_xlfn.MAXIFS($A$2:$A$5001,$B$2:$B$5001,B1980,$I$2:$I$5001,I1980),1,0))</f>
        <v/>
      </c>
    </row>
    <row r="1981" customFormat="false" ht="15" hidden="false" customHeight="false" outlineLevel="0" collapsed="false">
      <c r="I1981" s="15" t="str">
        <f aca="false">IF(A1981="","",INT(A1981))</f>
        <v/>
      </c>
      <c r="J1981" s="16" t="str">
        <f aca="false">IF(B1981="","",IF(A1981=_xlfn.MINIFS($A$2:$A$5001,$B$2:$B$5001,B1981),1,0))</f>
        <v/>
      </c>
      <c r="K1981" s="16" t="str">
        <f aca="false">IF(B1981="","",IF(AND(D1981="Formalização",E1981="Concluído"),IF(COUNTIFS($B$2:$B$5001,B1981,$E$2:$E$5001,"Em ajustes",$A$2:$A$5001,"&lt;"&amp;I1981)&gt;0,1,0),0))</f>
        <v/>
      </c>
      <c r="L1981" s="16" t="str">
        <f aca="false">IF(B1981="","",IF(A1981=_xlfn.MAXIFS($A$2:$A$5001,$B$2:$B$5001,B1981,$I$2:$I$5001,I1981),1,0))</f>
        <v/>
      </c>
    </row>
    <row r="1982" customFormat="false" ht="15" hidden="false" customHeight="false" outlineLevel="0" collapsed="false">
      <c r="I1982" s="15" t="str">
        <f aca="false">IF(A1982="","",INT(A1982))</f>
        <v/>
      </c>
      <c r="J1982" s="16" t="str">
        <f aca="false">IF(B1982="","",IF(A1982=_xlfn.MINIFS($A$2:$A$5001,$B$2:$B$5001,B1982),1,0))</f>
        <v/>
      </c>
      <c r="K1982" s="16" t="str">
        <f aca="false">IF(B1982="","",IF(AND(D1982="Formalização",E1982="Concluído"),IF(COUNTIFS($B$2:$B$5001,B1982,$E$2:$E$5001,"Em ajustes",$A$2:$A$5001,"&lt;"&amp;I1982)&gt;0,1,0),0))</f>
        <v/>
      </c>
      <c r="L1982" s="16" t="str">
        <f aca="false">IF(B1982="","",IF(A1982=_xlfn.MAXIFS($A$2:$A$5001,$B$2:$B$5001,B1982,$I$2:$I$5001,I1982),1,0))</f>
        <v/>
      </c>
    </row>
    <row r="1983" customFormat="false" ht="15" hidden="false" customHeight="false" outlineLevel="0" collapsed="false">
      <c r="I1983" s="15" t="str">
        <f aca="false">IF(A1983="","",INT(A1983))</f>
        <v/>
      </c>
      <c r="J1983" s="16" t="str">
        <f aca="false">IF(B1983="","",IF(A1983=_xlfn.MINIFS($A$2:$A$5001,$B$2:$B$5001,B1983),1,0))</f>
        <v/>
      </c>
      <c r="K1983" s="16" t="str">
        <f aca="false">IF(B1983="","",IF(AND(D1983="Formalização",E1983="Concluído"),IF(COUNTIFS($B$2:$B$5001,B1983,$E$2:$E$5001,"Em ajustes",$A$2:$A$5001,"&lt;"&amp;I1983)&gt;0,1,0),0))</f>
        <v/>
      </c>
      <c r="L1983" s="16" t="str">
        <f aca="false">IF(B1983="","",IF(A1983=_xlfn.MAXIFS($A$2:$A$5001,$B$2:$B$5001,B1983,$I$2:$I$5001,I1983),1,0))</f>
        <v/>
      </c>
    </row>
    <row r="1984" customFormat="false" ht="15" hidden="false" customHeight="false" outlineLevel="0" collapsed="false">
      <c r="I1984" s="15" t="str">
        <f aca="false">IF(A1984="","",INT(A1984))</f>
        <v/>
      </c>
      <c r="J1984" s="16" t="str">
        <f aca="false">IF(B1984="","",IF(A1984=_xlfn.MINIFS($A$2:$A$5001,$B$2:$B$5001,B1984),1,0))</f>
        <v/>
      </c>
      <c r="K1984" s="16" t="str">
        <f aca="false">IF(B1984="","",IF(AND(D1984="Formalização",E1984="Concluído"),IF(COUNTIFS($B$2:$B$5001,B1984,$E$2:$E$5001,"Em ajustes",$A$2:$A$5001,"&lt;"&amp;I1984)&gt;0,1,0),0))</f>
        <v/>
      </c>
      <c r="L1984" s="16" t="str">
        <f aca="false">IF(B1984="","",IF(A1984=_xlfn.MAXIFS($A$2:$A$5001,$B$2:$B$5001,B1984,$I$2:$I$5001,I1984),1,0))</f>
        <v/>
      </c>
    </row>
    <row r="1985" customFormat="false" ht="15" hidden="false" customHeight="false" outlineLevel="0" collapsed="false">
      <c r="I1985" s="15" t="str">
        <f aca="false">IF(A1985="","",INT(A1985))</f>
        <v/>
      </c>
      <c r="J1985" s="16" t="str">
        <f aca="false">IF(B1985="","",IF(A1985=_xlfn.MINIFS($A$2:$A$5001,$B$2:$B$5001,B1985),1,0))</f>
        <v/>
      </c>
      <c r="K1985" s="16" t="str">
        <f aca="false">IF(B1985="","",IF(AND(D1985="Formalização",E1985="Concluído"),IF(COUNTIFS($B$2:$B$5001,B1985,$E$2:$E$5001,"Em ajustes",$A$2:$A$5001,"&lt;"&amp;I1985)&gt;0,1,0),0))</f>
        <v/>
      </c>
      <c r="L1985" s="16" t="str">
        <f aca="false">IF(B1985="","",IF(A1985=_xlfn.MAXIFS($A$2:$A$5001,$B$2:$B$5001,B1985,$I$2:$I$5001,I1985),1,0))</f>
        <v/>
      </c>
    </row>
    <row r="1986" customFormat="false" ht="15" hidden="false" customHeight="false" outlineLevel="0" collapsed="false">
      <c r="I1986" s="15" t="str">
        <f aca="false">IF(A1986="","",INT(A1986))</f>
        <v/>
      </c>
      <c r="J1986" s="16" t="str">
        <f aca="false">IF(B1986="","",IF(A1986=_xlfn.MINIFS($A$2:$A$5001,$B$2:$B$5001,B1986),1,0))</f>
        <v/>
      </c>
      <c r="K1986" s="16" t="str">
        <f aca="false">IF(B1986="","",IF(AND(D1986="Formalização",E1986="Concluído"),IF(COUNTIFS($B$2:$B$5001,B1986,$E$2:$E$5001,"Em ajustes",$A$2:$A$5001,"&lt;"&amp;I1986)&gt;0,1,0),0))</f>
        <v/>
      </c>
      <c r="L1986" s="16" t="str">
        <f aca="false">IF(B1986="","",IF(A1986=_xlfn.MAXIFS($A$2:$A$5001,$B$2:$B$5001,B1986,$I$2:$I$5001,I1986),1,0))</f>
        <v/>
      </c>
    </row>
    <row r="1987" customFormat="false" ht="15" hidden="false" customHeight="false" outlineLevel="0" collapsed="false">
      <c r="I1987" s="15" t="str">
        <f aca="false">IF(A1987="","",INT(A1987))</f>
        <v/>
      </c>
      <c r="J1987" s="16" t="str">
        <f aca="false">IF(B1987="","",IF(A1987=_xlfn.MINIFS($A$2:$A$5001,$B$2:$B$5001,B1987),1,0))</f>
        <v/>
      </c>
      <c r="K1987" s="16" t="str">
        <f aca="false">IF(B1987="","",IF(AND(D1987="Formalização",E1987="Concluído"),IF(COUNTIFS($B$2:$B$5001,B1987,$E$2:$E$5001,"Em ajustes",$A$2:$A$5001,"&lt;"&amp;I1987)&gt;0,1,0),0))</f>
        <v/>
      </c>
      <c r="L1987" s="16" t="str">
        <f aca="false">IF(B1987="","",IF(A1987=_xlfn.MAXIFS($A$2:$A$5001,$B$2:$B$5001,B1987,$I$2:$I$5001,I1987),1,0))</f>
        <v/>
      </c>
    </row>
    <row r="1988" customFormat="false" ht="15" hidden="false" customHeight="false" outlineLevel="0" collapsed="false">
      <c r="I1988" s="15" t="str">
        <f aca="false">IF(A1988="","",INT(A1988))</f>
        <v/>
      </c>
      <c r="J1988" s="16" t="str">
        <f aca="false">IF(B1988="","",IF(A1988=_xlfn.MINIFS($A$2:$A$5001,$B$2:$B$5001,B1988),1,0))</f>
        <v/>
      </c>
      <c r="K1988" s="16" t="str">
        <f aca="false">IF(B1988="","",IF(AND(D1988="Formalização",E1988="Concluído"),IF(COUNTIFS($B$2:$B$5001,B1988,$E$2:$E$5001,"Em ajustes",$A$2:$A$5001,"&lt;"&amp;I1988)&gt;0,1,0),0))</f>
        <v/>
      </c>
      <c r="L1988" s="16" t="str">
        <f aca="false">IF(B1988="","",IF(A1988=_xlfn.MAXIFS($A$2:$A$5001,$B$2:$B$5001,B1988,$I$2:$I$5001,I1988),1,0))</f>
        <v/>
      </c>
    </row>
    <row r="1989" customFormat="false" ht="15" hidden="false" customHeight="false" outlineLevel="0" collapsed="false">
      <c r="I1989" s="15" t="str">
        <f aca="false">IF(A1989="","",INT(A1989))</f>
        <v/>
      </c>
      <c r="J1989" s="16" t="str">
        <f aca="false">IF(B1989="","",IF(A1989=_xlfn.MINIFS($A$2:$A$5001,$B$2:$B$5001,B1989),1,0))</f>
        <v/>
      </c>
      <c r="K1989" s="16" t="str">
        <f aca="false">IF(B1989="","",IF(AND(D1989="Formalização",E1989="Concluído"),IF(COUNTIFS($B$2:$B$5001,B1989,$E$2:$E$5001,"Em ajustes",$A$2:$A$5001,"&lt;"&amp;I1989)&gt;0,1,0),0))</f>
        <v/>
      </c>
      <c r="L1989" s="16" t="str">
        <f aca="false">IF(B1989="","",IF(A1989=_xlfn.MAXIFS($A$2:$A$5001,$B$2:$B$5001,B1989,$I$2:$I$5001,I1989),1,0))</f>
        <v/>
      </c>
    </row>
    <row r="1990" customFormat="false" ht="15" hidden="false" customHeight="false" outlineLevel="0" collapsed="false">
      <c r="I1990" s="15" t="str">
        <f aca="false">IF(A1990="","",INT(A1990))</f>
        <v/>
      </c>
      <c r="J1990" s="16" t="str">
        <f aca="false">IF(B1990="","",IF(A1990=_xlfn.MINIFS($A$2:$A$5001,$B$2:$B$5001,B1990),1,0))</f>
        <v/>
      </c>
      <c r="K1990" s="16" t="str">
        <f aca="false">IF(B1990="","",IF(AND(D1990="Formalização",E1990="Concluído"),IF(COUNTIFS($B$2:$B$5001,B1990,$E$2:$E$5001,"Em ajustes",$A$2:$A$5001,"&lt;"&amp;I1990)&gt;0,1,0),0))</f>
        <v/>
      </c>
      <c r="L1990" s="16" t="str">
        <f aca="false">IF(B1990="","",IF(A1990=_xlfn.MAXIFS($A$2:$A$5001,$B$2:$B$5001,B1990,$I$2:$I$5001,I1990),1,0))</f>
        <v/>
      </c>
    </row>
    <row r="1991" customFormat="false" ht="15" hidden="false" customHeight="false" outlineLevel="0" collapsed="false">
      <c r="I1991" s="15" t="str">
        <f aca="false">IF(A1991="","",INT(A1991))</f>
        <v/>
      </c>
      <c r="J1991" s="16" t="str">
        <f aca="false">IF(B1991="","",IF(A1991=_xlfn.MINIFS($A$2:$A$5001,$B$2:$B$5001,B1991),1,0))</f>
        <v/>
      </c>
      <c r="K1991" s="16" t="str">
        <f aca="false">IF(B1991="","",IF(AND(D1991="Formalização",E1991="Concluído"),IF(COUNTIFS($B$2:$B$5001,B1991,$E$2:$E$5001,"Em ajustes",$A$2:$A$5001,"&lt;"&amp;I1991)&gt;0,1,0),0))</f>
        <v/>
      </c>
      <c r="L1991" s="16" t="str">
        <f aca="false">IF(B1991="","",IF(A1991=_xlfn.MAXIFS($A$2:$A$5001,$B$2:$B$5001,B1991,$I$2:$I$5001,I1991),1,0))</f>
        <v/>
      </c>
    </row>
    <row r="1992" customFormat="false" ht="15" hidden="false" customHeight="false" outlineLevel="0" collapsed="false">
      <c r="I1992" s="15" t="str">
        <f aca="false">IF(A1992="","",INT(A1992))</f>
        <v/>
      </c>
      <c r="J1992" s="16" t="str">
        <f aca="false">IF(B1992="","",IF(A1992=_xlfn.MINIFS($A$2:$A$5001,$B$2:$B$5001,B1992),1,0))</f>
        <v/>
      </c>
      <c r="K1992" s="16" t="str">
        <f aca="false">IF(B1992="","",IF(AND(D1992="Formalização",E1992="Concluído"),IF(COUNTIFS($B$2:$B$5001,B1992,$E$2:$E$5001,"Em ajustes",$A$2:$A$5001,"&lt;"&amp;I1992)&gt;0,1,0),0))</f>
        <v/>
      </c>
      <c r="L1992" s="16" t="str">
        <f aca="false">IF(B1992="","",IF(A1992=_xlfn.MAXIFS($A$2:$A$5001,$B$2:$B$5001,B1992,$I$2:$I$5001,I1992),1,0))</f>
        <v/>
      </c>
    </row>
    <row r="1993" customFormat="false" ht="15" hidden="false" customHeight="false" outlineLevel="0" collapsed="false">
      <c r="I1993" s="15" t="str">
        <f aca="false">IF(A1993="","",INT(A1993))</f>
        <v/>
      </c>
      <c r="J1993" s="16" t="str">
        <f aca="false">IF(B1993="","",IF(A1993=_xlfn.MINIFS($A$2:$A$5001,$B$2:$B$5001,B1993),1,0))</f>
        <v/>
      </c>
      <c r="K1993" s="16" t="str">
        <f aca="false">IF(B1993="","",IF(AND(D1993="Formalização",E1993="Concluído"),IF(COUNTIFS($B$2:$B$5001,B1993,$E$2:$E$5001,"Em ajustes",$A$2:$A$5001,"&lt;"&amp;I1993)&gt;0,1,0),0))</f>
        <v/>
      </c>
      <c r="L1993" s="16" t="str">
        <f aca="false">IF(B1993="","",IF(A1993=_xlfn.MAXIFS($A$2:$A$5001,$B$2:$B$5001,B1993,$I$2:$I$5001,I1993),1,0))</f>
        <v/>
      </c>
    </row>
    <row r="1994" customFormat="false" ht="15" hidden="false" customHeight="false" outlineLevel="0" collapsed="false">
      <c r="I1994" s="15" t="str">
        <f aca="false">IF(A1994="","",INT(A1994))</f>
        <v/>
      </c>
      <c r="J1994" s="16" t="str">
        <f aca="false">IF(B1994="","",IF(A1994=_xlfn.MINIFS($A$2:$A$5001,$B$2:$B$5001,B1994),1,0))</f>
        <v/>
      </c>
      <c r="K1994" s="16" t="str">
        <f aca="false">IF(B1994="","",IF(AND(D1994="Formalização",E1994="Concluído"),IF(COUNTIFS($B$2:$B$5001,B1994,$E$2:$E$5001,"Em ajustes",$A$2:$A$5001,"&lt;"&amp;I1994)&gt;0,1,0),0))</f>
        <v/>
      </c>
      <c r="L1994" s="16" t="str">
        <f aca="false">IF(B1994="","",IF(A1994=_xlfn.MAXIFS($A$2:$A$5001,$B$2:$B$5001,B1994,$I$2:$I$5001,I1994),1,0))</f>
        <v/>
      </c>
    </row>
    <row r="1995" customFormat="false" ht="15" hidden="false" customHeight="false" outlineLevel="0" collapsed="false">
      <c r="I1995" s="15" t="str">
        <f aca="false">IF(A1995="","",INT(A1995))</f>
        <v/>
      </c>
      <c r="J1995" s="16" t="str">
        <f aca="false">IF(B1995="","",IF(A1995=_xlfn.MINIFS($A$2:$A$5001,$B$2:$B$5001,B1995),1,0))</f>
        <v/>
      </c>
      <c r="K1995" s="16" t="str">
        <f aca="false">IF(B1995="","",IF(AND(D1995="Formalização",E1995="Concluído"),IF(COUNTIFS($B$2:$B$5001,B1995,$E$2:$E$5001,"Em ajustes",$A$2:$A$5001,"&lt;"&amp;I1995)&gt;0,1,0),0))</f>
        <v/>
      </c>
      <c r="L1995" s="16" t="str">
        <f aca="false">IF(B1995="","",IF(A1995=_xlfn.MAXIFS($A$2:$A$5001,$B$2:$B$5001,B1995,$I$2:$I$5001,I1995),1,0))</f>
        <v/>
      </c>
    </row>
    <row r="1996" customFormat="false" ht="15" hidden="false" customHeight="false" outlineLevel="0" collapsed="false">
      <c r="I1996" s="15" t="str">
        <f aca="false">IF(A1996="","",INT(A1996))</f>
        <v/>
      </c>
      <c r="J1996" s="16" t="str">
        <f aca="false">IF(B1996="","",IF(A1996=_xlfn.MINIFS($A$2:$A$5001,$B$2:$B$5001,B1996),1,0))</f>
        <v/>
      </c>
      <c r="K1996" s="16" t="str">
        <f aca="false">IF(B1996="","",IF(AND(D1996="Formalização",E1996="Concluído"),IF(COUNTIFS($B$2:$B$5001,B1996,$E$2:$E$5001,"Em ajustes",$A$2:$A$5001,"&lt;"&amp;I1996)&gt;0,1,0),0))</f>
        <v/>
      </c>
      <c r="L1996" s="16" t="str">
        <f aca="false">IF(B1996="","",IF(A1996=_xlfn.MAXIFS($A$2:$A$5001,$B$2:$B$5001,B1996,$I$2:$I$5001,I1996),1,0))</f>
        <v/>
      </c>
    </row>
    <row r="1997" customFormat="false" ht="15" hidden="false" customHeight="false" outlineLevel="0" collapsed="false">
      <c r="I1997" s="15" t="str">
        <f aca="false">IF(A1997="","",INT(A1997))</f>
        <v/>
      </c>
      <c r="J1997" s="16" t="str">
        <f aca="false">IF(B1997="","",IF(A1997=_xlfn.MINIFS($A$2:$A$5001,$B$2:$B$5001,B1997),1,0))</f>
        <v/>
      </c>
      <c r="K1997" s="16" t="str">
        <f aca="false">IF(B1997="","",IF(AND(D1997="Formalização",E1997="Concluído"),IF(COUNTIFS($B$2:$B$5001,B1997,$E$2:$E$5001,"Em ajustes",$A$2:$A$5001,"&lt;"&amp;I1997)&gt;0,1,0),0))</f>
        <v/>
      </c>
      <c r="L1997" s="16" t="str">
        <f aca="false">IF(B1997="","",IF(A1997=_xlfn.MAXIFS($A$2:$A$5001,$B$2:$B$5001,B1997,$I$2:$I$5001,I1997),1,0))</f>
        <v/>
      </c>
    </row>
    <row r="1998" customFormat="false" ht="15" hidden="false" customHeight="false" outlineLevel="0" collapsed="false">
      <c r="I1998" s="15" t="str">
        <f aca="false">IF(A1998="","",INT(A1998))</f>
        <v/>
      </c>
      <c r="J1998" s="16" t="str">
        <f aca="false">IF(B1998="","",IF(A1998=_xlfn.MINIFS($A$2:$A$5001,$B$2:$B$5001,B1998),1,0))</f>
        <v/>
      </c>
      <c r="K1998" s="16" t="str">
        <f aca="false">IF(B1998="","",IF(AND(D1998="Formalização",E1998="Concluído"),IF(COUNTIFS($B$2:$B$5001,B1998,$E$2:$E$5001,"Em ajustes",$A$2:$A$5001,"&lt;"&amp;I1998)&gt;0,1,0),0))</f>
        <v/>
      </c>
      <c r="L1998" s="16" t="str">
        <f aca="false">IF(B1998="","",IF(A1998=_xlfn.MAXIFS($A$2:$A$5001,$B$2:$B$5001,B1998,$I$2:$I$5001,I1998),1,0))</f>
        <v/>
      </c>
    </row>
    <row r="1999" customFormat="false" ht="15" hidden="false" customHeight="false" outlineLevel="0" collapsed="false">
      <c r="I1999" s="15" t="str">
        <f aca="false">IF(A1999="","",INT(A1999))</f>
        <v/>
      </c>
      <c r="J1999" s="16" t="str">
        <f aca="false">IF(B1999="","",IF(A1999=_xlfn.MINIFS($A$2:$A$5001,$B$2:$B$5001,B1999),1,0))</f>
        <v/>
      </c>
      <c r="K1999" s="16" t="str">
        <f aca="false">IF(B1999="","",IF(AND(D1999="Formalização",E1999="Concluído"),IF(COUNTIFS($B$2:$B$5001,B1999,$E$2:$E$5001,"Em ajustes",$A$2:$A$5001,"&lt;"&amp;I1999)&gt;0,1,0),0))</f>
        <v/>
      </c>
      <c r="L1999" s="16" t="str">
        <f aca="false">IF(B1999="","",IF(A1999=_xlfn.MAXIFS($A$2:$A$5001,$B$2:$B$5001,B1999,$I$2:$I$5001,I1999),1,0))</f>
        <v/>
      </c>
    </row>
    <row r="2000" customFormat="false" ht="15" hidden="false" customHeight="false" outlineLevel="0" collapsed="false">
      <c r="I2000" s="15" t="str">
        <f aca="false">IF(A2000="","",INT(A2000))</f>
        <v/>
      </c>
      <c r="J2000" s="16" t="str">
        <f aca="false">IF(B2000="","",IF(A2000=_xlfn.MINIFS($A$2:$A$5001,$B$2:$B$5001,B2000),1,0))</f>
        <v/>
      </c>
      <c r="K2000" s="16" t="str">
        <f aca="false">IF(B2000="","",IF(AND(D2000="Formalização",E2000="Concluído"),IF(COUNTIFS($B$2:$B$5001,B2000,$E$2:$E$5001,"Em ajustes",$A$2:$A$5001,"&lt;"&amp;I2000)&gt;0,1,0),0))</f>
        <v/>
      </c>
      <c r="L2000" s="16" t="str">
        <f aca="false">IF(B2000="","",IF(A2000=_xlfn.MAXIFS($A$2:$A$5001,$B$2:$B$5001,B2000,$I$2:$I$5001,I2000),1,0))</f>
        <v/>
      </c>
    </row>
    <row r="2001" customFormat="false" ht="15" hidden="false" customHeight="false" outlineLevel="0" collapsed="false">
      <c r="I2001" s="15" t="str">
        <f aca="false">IF(A2001="","",INT(A2001))</f>
        <v/>
      </c>
      <c r="J2001" s="16" t="str">
        <f aca="false">IF(B2001="","",IF(A2001=_xlfn.MINIFS($A$2:$A$5001,$B$2:$B$5001,B2001),1,0))</f>
        <v/>
      </c>
      <c r="K2001" s="16" t="str">
        <f aca="false">IF(B2001="","",IF(AND(D2001="Formalização",E2001="Concluído"),IF(COUNTIFS($B$2:$B$5001,B2001,$E$2:$E$5001,"Em ajustes",$A$2:$A$5001,"&lt;"&amp;I2001)&gt;0,1,0),0))</f>
        <v/>
      </c>
      <c r="L2001" s="16" t="str">
        <f aca="false">IF(B2001="","",IF(A2001=_xlfn.MAXIFS($A$2:$A$5001,$B$2:$B$5001,B2001,$I$2:$I$5001,I2001),1,0))</f>
        <v/>
      </c>
    </row>
    <row r="2002" customFormat="false" ht="15" hidden="false" customHeight="false" outlineLevel="0" collapsed="false">
      <c r="I2002" s="15" t="str">
        <f aca="false">IF(A2002="","",INT(A2002))</f>
        <v/>
      </c>
      <c r="J2002" s="16" t="str">
        <f aca="false">IF(B2002="","",IF(A2002=_xlfn.MINIFS($A$2:$A$5001,$B$2:$B$5001,B2002),1,0))</f>
        <v/>
      </c>
      <c r="K2002" s="16" t="str">
        <f aca="false">IF(B2002="","",IF(AND(D2002="Formalização",E2002="Concluído"),IF(COUNTIFS($B$2:$B$5001,B2002,$E$2:$E$5001,"Em ajustes",$A$2:$A$5001,"&lt;"&amp;I2002)&gt;0,1,0),0))</f>
        <v/>
      </c>
      <c r="L2002" s="16" t="str">
        <f aca="false">IF(B2002="","",IF(A2002=_xlfn.MAXIFS($A$2:$A$5001,$B$2:$B$5001,B2002,$I$2:$I$5001,I2002),1,0))</f>
        <v/>
      </c>
    </row>
    <row r="2003" customFormat="false" ht="15" hidden="false" customHeight="false" outlineLevel="0" collapsed="false">
      <c r="I2003" s="15" t="str">
        <f aca="false">IF(A2003="","",INT(A2003))</f>
        <v/>
      </c>
      <c r="J2003" s="16" t="str">
        <f aca="false">IF(B2003="","",IF(A2003=_xlfn.MINIFS($A$2:$A$5001,$B$2:$B$5001,B2003),1,0))</f>
        <v/>
      </c>
      <c r="K2003" s="16" t="str">
        <f aca="false">IF(B2003="","",IF(AND(D2003="Formalização",E2003="Concluído"),IF(COUNTIFS($B$2:$B$5001,B2003,$E$2:$E$5001,"Em ajustes",$A$2:$A$5001,"&lt;"&amp;I2003)&gt;0,1,0),0))</f>
        <v/>
      </c>
      <c r="L2003" s="16" t="str">
        <f aca="false">IF(B2003="","",IF(A2003=_xlfn.MAXIFS($A$2:$A$5001,$B$2:$B$5001,B2003,$I$2:$I$5001,I2003),1,0))</f>
        <v/>
      </c>
    </row>
    <row r="2004" customFormat="false" ht="15" hidden="false" customHeight="false" outlineLevel="0" collapsed="false">
      <c r="I2004" s="15" t="str">
        <f aca="false">IF(A2004="","",INT(A2004))</f>
        <v/>
      </c>
      <c r="J2004" s="16" t="str">
        <f aca="false">IF(B2004="","",IF(A2004=_xlfn.MINIFS($A$2:$A$5001,$B$2:$B$5001,B2004),1,0))</f>
        <v/>
      </c>
      <c r="K2004" s="16" t="str">
        <f aca="false">IF(B2004="","",IF(AND(D2004="Formalização",E2004="Concluído"),IF(COUNTIFS($B$2:$B$5001,B2004,$E$2:$E$5001,"Em ajustes",$A$2:$A$5001,"&lt;"&amp;I2004)&gt;0,1,0),0))</f>
        <v/>
      </c>
      <c r="L2004" s="16" t="str">
        <f aca="false">IF(B2004="","",IF(A2004=_xlfn.MAXIFS($A$2:$A$5001,$B$2:$B$5001,B2004,$I$2:$I$5001,I2004),1,0))</f>
        <v/>
      </c>
    </row>
    <row r="2005" customFormat="false" ht="15" hidden="false" customHeight="false" outlineLevel="0" collapsed="false">
      <c r="I2005" s="15" t="str">
        <f aca="false">IF(A2005="","",INT(A2005))</f>
        <v/>
      </c>
      <c r="J2005" s="16" t="str">
        <f aca="false">IF(B2005="","",IF(A2005=_xlfn.MINIFS($A$2:$A$5001,$B$2:$B$5001,B2005),1,0))</f>
        <v/>
      </c>
      <c r="K2005" s="16" t="str">
        <f aca="false">IF(B2005="","",IF(AND(D2005="Formalização",E2005="Concluído"),IF(COUNTIFS($B$2:$B$5001,B2005,$E$2:$E$5001,"Em ajustes",$A$2:$A$5001,"&lt;"&amp;I2005)&gt;0,1,0),0))</f>
        <v/>
      </c>
      <c r="L2005" s="16" t="str">
        <f aca="false">IF(B2005="","",IF(A2005=_xlfn.MAXIFS($A$2:$A$5001,$B$2:$B$5001,B2005,$I$2:$I$5001,I2005),1,0))</f>
        <v/>
      </c>
    </row>
    <row r="2006" customFormat="false" ht="15" hidden="false" customHeight="false" outlineLevel="0" collapsed="false">
      <c r="I2006" s="15" t="str">
        <f aca="false">IF(A2006="","",INT(A2006))</f>
        <v/>
      </c>
      <c r="J2006" s="16" t="str">
        <f aca="false">IF(B2006="","",IF(A2006=_xlfn.MINIFS($A$2:$A$5001,$B$2:$B$5001,B2006),1,0))</f>
        <v/>
      </c>
      <c r="K2006" s="16" t="str">
        <f aca="false">IF(B2006="","",IF(AND(D2006="Formalização",E2006="Concluído"),IF(COUNTIFS($B$2:$B$5001,B2006,$E$2:$E$5001,"Em ajustes",$A$2:$A$5001,"&lt;"&amp;I2006)&gt;0,1,0),0))</f>
        <v/>
      </c>
      <c r="L2006" s="16" t="str">
        <f aca="false">IF(B2006="","",IF(A2006=_xlfn.MAXIFS($A$2:$A$5001,$B$2:$B$5001,B2006,$I$2:$I$5001,I2006),1,0))</f>
        <v/>
      </c>
    </row>
    <row r="2007" customFormat="false" ht="15" hidden="false" customHeight="false" outlineLevel="0" collapsed="false">
      <c r="I2007" s="15" t="str">
        <f aca="false">IF(A2007="","",INT(A2007))</f>
        <v/>
      </c>
      <c r="J2007" s="16" t="str">
        <f aca="false">IF(B2007="","",IF(A2007=_xlfn.MINIFS($A$2:$A$5001,$B$2:$B$5001,B2007),1,0))</f>
        <v/>
      </c>
      <c r="K2007" s="16" t="str">
        <f aca="false">IF(B2007="","",IF(AND(D2007="Formalização",E2007="Concluído"),IF(COUNTIFS($B$2:$B$5001,B2007,$E$2:$E$5001,"Em ajustes",$A$2:$A$5001,"&lt;"&amp;I2007)&gt;0,1,0),0))</f>
        <v/>
      </c>
      <c r="L2007" s="16" t="str">
        <f aca="false">IF(B2007="","",IF(A2007=_xlfn.MAXIFS($A$2:$A$5001,$B$2:$B$5001,B2007,$I$2:$I$5001,I2007),1,0))</f>
        <v/>
      </c>
    </row>
    <row r="2008" customFormat="false" ht="15" hidden="false" customHeight="false" outlineLevel="0" collapsed="false">
      <c r="I2008" s="15" t="str">
        <f aca="false">IF(A2008="","",INT(A2008))</f>
        <v/>
      </c>
      <c r="J2008" s="16" t="str">
        <f aca="false">IF(B2008="","",IF(A2008=_xlfn.MINIFS($A$2:$A$5001,$B$2:$B$5001,B2008),1,0))</f>
        <v/>
      </c>
      <c r="K2008" s="16" t="str">
        <f aca="false">IF(B2008="","",IF(AND(D2008="Formalização",E2008="Concluído"),IF(COUNTIFS($B$2:$B$5001,B2008,$E$2:$E$5001,"Em ajustes",$A$2:$A$5001,"&lt;"&amp;I2008)&gt;0,1,0),0))</f>
        <v/>
      </c>
      <c r="L2008" s="16" t="str">
        <f aca="false">IF(B2008="","",IF(A2008=_xlfn.MAXIFS($A$2:$A$5001,$B$2:$B$5001,B2008,$I$2:$I$5001,I2008),1,0))</f>
        <v/>
      </c>
    </row>
    <row r="2009" customFormat="false" ht="15" hidden="false" customHeight="false" outlineLevel="0" collapsed="false">
      <c r="I2009" s="15" t="str">
        <f aca="false">IF(A2009="","",INT(A2009))</f>
        <v/>
      </c>
      <c r="J2009" s="16" t="str">
        <f aca="false">IF(B2009="","",IF(A2009=_xlfn.MINIFS($A$2:$A$5001,$B$2:$B$5001,B2009),1,0))</f>
        <v/>
      </c>
      <c r="K2009" s="16" t="str">
        <f aca="false">IF(B2009="","",IF(AND(D2009="Formalização",E2009="Concluído"),IF(COUNTIFS($B$2:$B$5001,B2009,$E$2:$E$5001,"Em ajustes",$A$2:$A$5001,"&lt;"&amp;I2009)&gt;0,1,0),0))</f>
        <v/>
      </c>
      <c r="L2009" s="16" t="str">
        <f aca="false">IF(B2009="","",IF(A2009=_xlfn.MAXIFS($A$2:$A$5001,$B$2:$B$5001,B2009,$I$2:$I$5001,I2009),1,0))</f>
        <v/>
      </c>
    </row>
    <row r="2010" customFormat="false" ht="15" hidden="false" customHeight="false" outlineLevel="0" collapsed="false">
      <c r="I2010" s="15" t="str">
        <f aca="false">IF(A2010="","",INT(A2010))</f>
        <v/>
      </c>
      <c r="J2010" s="16" t="str">
        <f aca="false">IF(B2010="","",IF(A2010=_xlfn.MINIFS($A$2:$A$5001,$B$2:$B$5001,B2010),1,0))</f>
        <v/>
      </c>
      <c r="K2010" s="16" t="str">
        <f aca="false">IF(B2010="","",IF(AND(D2010="Formalização",E2010="Concluído"),IF(COUNTIFS($B$2:$B$5001,B2010,$E$2:$E$5001,"Em ajustes",$A$2:$A$5001,"&lt;"&amp;I2010)&gt;0,1,0),0))</f>
        <v/>
      </c>
      <c r="L2010" s="16" t="str">
        <f aca="false">IF(B2010="","",IF(A2010=_xlfn.MAXIFS($A$2:$A$5001,$B$2:$B$5001,B2010,$I$2:$I$5001,I2010),1,0))</f>
        <v/>
      </c>
    </row>
    <row r="2011" customFormat="false" ht="15" hidden="false" customHeight="false" outlineLevel="0" collapsed="false">
      <c r="I2011" s="15" t="str">
        <f aca="false">IF(A2011="","",INT(A2011))</f>
        <v/>
      </c>
      <c r="J2011" s="16" t="str">
        <f aca="false">IF(B2011="","",IF(A2011=_xlfn.MINIFS($A$2:$A$5001,$B$2:$B$5001,B2011),1,0))</f>
        <v/>
      </c>
      <c r="K2011" s="16" t="str">
        <f aca="false">IF(B2011="","",IF(AND(D2011="Formalização",E2011="Concluído"),IF(COUNTIFS($B$2:$B$5001,B2011,$E$2:$E$5001,"Em ajustes",$A$2:$A$5001,"&lt;"&amp;I2011)&gt;0,1,0),0))</f>
        <v/>
      </c>
      <c r="L2011" s="16" t="str">
        <f aca="false">IF(B2011="","",IF(A2011=_xlfn.MAXIFS($A$2:$A$5001,$B$2:$B$5001,B2011,$I$2:$I$5001,I2011),1,0))</f>
        <v/>
      </c>
    </row>
    <row r="2012" customFormat="false" ht="15" hidden="false" customHeight="false" outlineLevel="0" collapsed="false">
      <c r="I2012" s="15" t="str">
        <f aca="false">IF(A2012="","",INT(A2012))</f>
        <v/>
      </c>
      <c r="J2012" s="16" t="str">
        <f aca="false">IF(B2012="","",IF(A2012=_xlfn.MINIFS($A$2:$A$5001,$B$2:$B$5001,B2012),1,0))</f>
        <v/>
      </c>
      <c r="K2012" s="16" t="str">
        <f aca="false">IF(B2012="","",IF(AND(D2012="Formalização",E2012="Concluído"),IF(COUNTIFS($B$2:$B$5001,B2012,$E$2:$E$5001,"Em ajustes",$A$2:$A$5001,"&lt;"&amp;I2012)&gt;0,1,0),0))</f>
        <v/>
      </c>
      <c r="L2012" s="16" t="str">
        <f aca="false">IF(B2012="","",IF(A2012=_xlfn.MAXIFS($A$2:$A$5001,$B$2:$B$5001,B2012,$I$2:$I$5001,I2012),1,0))</f>
        <v/>
      </c>
    </row>
    <row r="2013" customFormat="false" ht="15" hidden="false" customHeight="false" outlineLevel="0" collapsed="false">
      <c r="I2013" s="15" t="str">
        <f aca="false">IF(A2013="","",INT(A2013))</f>
        <v/>
      </c>
      <c r="J2013" s="16" t="str">
        <f aca="false">IF(B2013="","",IF(A2013=_xlfn.MINIFS($A$2:$A$5001,$B$2:$B$5001,B2013),1,0))</f>
        <v/>
      </c>
      <c r="K2013" s="16" t="str">
        <f aca="false">IF(B2013="","",IF(AND(D2013="Formalização",E2013="Concluído"),IF(COUNTIFS($B$2:$B$5001,B2013,$E$2:$E$5001,"Em ajustes",$A$2:$A$5001,"&lt;"&amp;I2013)&gt;0,1,0),0))</f>
        <v/>
      </c>
      <c r="L2013" s="16" t="str">
        <f aca="false">IF(B2013="","",IF(A2013=_xlfn.MAXIFS($A$2:$A$5001,$B$2:$B$5001,B2013,$I$2:$I$5001,I2013),1,0))</f>
        <v/>
      </c>
    </row>
    <row r="2014" customFormat="false" ht="15" hidden="false" customHeight="false" outlineLevel="0" collapsed="false">
      <c r="I2014" s="15" t="str">
        <f aca="false">IF(A2014="","",INT(A2014))</f>
        <v/>
      </c>
      <c r="J2014" s="16" t="str">
        <f aca="false">IF(B2014="","",IF(A2014=_xlfn.MINIFS($A$2:$A$5001,$B$2:$B$5001,B2014),1,0))</f>
        <v/>
      </c>
      <c r="K2014" s="16" t="str">
        <f aca="false">IF(B2014="","",IF(AND(D2014="Formalização",E2014="Concluído"),IF(COUNTIFS($B$2:$B$5001,B2014,$E$2:$E$5001,"Em ajustes",$A$2:$A$5001,"&lt;"&amp;I2014)&gt;0,1,0),0))</f>
        <v/>
      </c>
      <c r="L2014" s="16" t="str">
        <f aca="false">IF(B2014="","",IF(A2014=_xlfn.MAXIFS($A$2:$A$5001,$B$2:$B$5001,B2014,$I$2:$I$5001,I2014),1,0))</f>
        <v/>
      </c>
    </row>
    <row r="2015" customFormat="false" ht="15" hidden="false" customHeight="false" outlineLevel="0" collapsed="false">
      <c r="I2015" s="15" t="str">
        <f aca="false">IF(A2015="","",INT(A2015))</f>
        <v/>
      </c>
      <c r="J2015" s="16" t="str">
        <f aca="false">IF(B2015="","",IF(A2015=_xlfn.MINIFS($A$2:$A$5001,$B$2:$B$5001,B2015),1,0))</f>
        <v/>
      </c>
      <c r="K2015" s="16" t="str">
        <f aca="false">IF(B2015="","",IF(AND(D2015="Formalização",E2015="Concluído"),IF(COUNTIFS($B$2:$B$5001,B2015,$E$2:$E$5001,"Em ajustes",$A$2:$A$5001,"&lt;"&amp;I2015)&gt;0,1,0),0))</f>
        <v/>
      </c>
      <c r="L2015" s="16" t="str">
        <f aca="false">IF(B2015="","",IF(A2015=_xlfn.MAXIFS($A$2:$A$5001,$B$2:$B$5001,B2015,$I$2:$I$5001,I2015),1,0))</f>
        <v/>
      </c>
    </row>
    <row r="2016" customFormat="false" ht="15" hidden="false" customHeight="false" outlineLevel="0" collapsed="false">
      <c r="I2016" s="15" t="str">
        <f aca="false">IF(A2016="","",INT(A2016))</f>
        <v/>
      </c>
      <c r="J2016" s="16" t="str">
        <f aca="false">IF(B2016="","",IF(A2016=_xlfn.MINIFS($A$2:$A$5001,$B$2:$B$5001,B2016),1,0))</f>
        <v/>
      </c>
      <c r="K2016" s="16" t="str">
        <f aca="false">IF(B2016="","",IF(AND(D2016="Formalização",E2016="Concluído"),IF(COUNTIFS($B$2:$B$5001,B2016,$E$2:$E$5001,"Em ajustes",$A$2:$A$5001,"&lt;"&amp;I2016)&gt;0,1,0),0))</f>
        <v/>
      </c>
      <c r="L2016" s="16" t="str">
        <f aca="false">IF(B2016="","",IF(A2016=_xlfn.MAXIFS($A$2:$A$5001,$B$2:$B$5001,B2016,$I$2:$I$5001,I2016),1,0))</f>
        <v/>
      </c>
    </row>
    <row r="2017" customFormat="false" ht="15" hidden="false" customHeight="false" outlineLevel="0" collapsed="false">
      <c r="I2017" s="15" t="str">
        <f aca="false">IF(A2017="","",INT(A2017))</f>
        <v/>
      </c>
      <c r="J2017" s="16" t="str">
        <f aca="false">IF(B2017="","",IF(A2017=_xlfn.MINIFS($A$2:$A$5001,$B$2:$B$5001,B2017),1,0))</f>
        <v/>
      </c>
      <c r="K2017" s="16" t="str">
        <f aca="false">IF(B2017="","",IF(AND(D2017="Formalização",E2017="Concluído"),IF(COUNTIFS($B$2:$B$5001,B2017,$E$2:$E$5001,"Em ajustes",$A$2:$A$5001,"&lt;"&amp;I2017)&gt;0,1,0),0))</f>
        <v/>
      </c>
      <c r="L2017" s="16" t="str">
        <f aca="false">IF(B2017="","",IF(A2017=_xlfn.MAXIFS($A$2:$A$5001,$B$2:$B$5001,B2017,$I$2:$I$5001,I2017),1,0))</f>
        <v/>
      </c>
    </row>
    <row r="2018" customFormat="false" ht="15" hidden="false" customHeight="false" outlineLevel="0" collapsed="false">
      <c r="I2018" s="15" t="str">
        <f aca="false">IF(A2018="","",INT(A2018))</f>
        <v/>
      </c>
      <c r="J2018" s="16" t="str">
        <f aca="false">IF(B2018="","",IF(A2018=_xlfn.MINIFS($A$2:$A$5001,$B$2:$B$5001,B2018),1,0))</f>
        <v/>
      </c>
      <c r="K2018" s="16" t="str">
        <f aca="false">IF(B2018="","",IF(AND(D2018="Formalização",E2018="Concluído"),IF(COUNTIFS($B$2:$B$5001,B2018,$E$2:$E$5001,"Em ajustes",$A$2:$A$5001,"&lt;"&amp;I2018)&gt;0,1,0),0))</f>
        <v/>
      </c>
      <c r="L2018" s="16" t="str">
        <f aca="false">IF(B2018="","",IF(A2018=_xlfn.MAXIFS($A$2:$A$5001,$B$2:$B$5001,B2018,$I$2:$I$5001,I2018),1,0))</f>
        <v/>
      </c>
    </row>
    <row r="2019" customFormat="false" ht="15" hidden="false" customHeight="false" outlineLevel="0" collapsed="false">
      <c r="I2019" s="15" t="str">
        <f aca="false">IF(A2019="","",INT(A2019))</f>
        <v/>
      </c>
      <c r="J2019" s="16" t="str">
        <f aca="false">IF(B2019="","",IF(A2019=_xlfn.MINIFS($A$2:$A$5001,$B$2:$B$5001,B2019),1,0))</f>
        <v/>
      </c>
      <c r="K2019" s="16" t="str">
        <f aca="false">IF(B2019="","",IF(AND(D2019="Formalização",E2019="Concluído"),IF(COUNTIFS($B$2:$B$5001,B2019,$E$2:$E$5001,"Em ajustes",$A$2:$A$5001,"&lt;"&amp;I2019)&gt;0,1,0),0))</f>
        <v/>
      </c>
      <c r="L2019" s="16" t="str">
        <f aca="false">IF(B2019="","",IF(A2019=_xlfn.MAXIFS($A$2:$A$5001,$B$2:$B$5001,B2019,$I$2:$I$5001,I2019),1,0))</f>
        <v/>
      </c>
    </row>
    <row r="2020" customFormat="false" ht="15" hidden="false" customHeight="false" outlineLevel="0" collapsed="false">
      <c r="I2020" s="15" t="str">
        <f aca="false">IF(A2020="","",INT(A2020))</f>
        <v/>
      </c>
      <c r="J2020" s="16" t="str">
        <f aca="false">IF(B2020="","",IF(A2020=_xlfn.MINIFS($A$2:$A$5001,$B$2:$B$5001,B2020),1,0))</f>
        <v/>
      </c>
      <c r="K2020" s="16" t="str">
        <f aca="false">IF(B2020="","",IF(AND(D2020="Formalização",E2020="Concluído"),IF(COUNTIFS($B$2:$B$5001,B2020,$E$2:$E$5001,"Em ajustes",$A$2:$A$5001,"&lt;"&amp;I2020)&gt;0,1,0),0))</f>
        <v/>
      </c>
      <c r="L2020" s="16" t="str">
        <f aca="false">IF(B2020="","",IF(A2020=_xlfn.MAXIFS($A$2:$A$5001,$B$2:$B$5001,B2020,$I$2:$I$5001,I2020),1,0))</f>
        <v/>
      </c>
    </row>
    <row r="2021" customFormat="false" ht="15" hidden="false" customHeight="false" outlineLevel="0" collapsed="false">
      <c r="I2021" s="15" t="str">
        <f aca="false">IF(A2021="","",INT(A2021))</f>
        <v/>
      </c>
      <c r="J2021" s="16" t="str">
        <f aca="false">IF(B2021="","",IF(A2021=_xlfn.MINIFS($A$2:$A$5001,$B$2:$B$5001,B2021),1,0))</f>
        <v/>
      </c>
      <c r="K2021" s="16" t="str">
        <f aca="false">IF(B2021="","",IF(AND(D2021="Formalização",E2021="Concluído"),IF(COUNTIFS($B$2:$B$5001,B2021,$E$2:$E$5001,"Em ajustes",$A$2:$A$5001,"&lt;"&amp;I2021)&gt;0,1,0),0))</f>
        <v/>
      </c>
      <c r="L2021" s="16" t="str">
        <f aca="false">IF(B2021="","",IF(A2021=_xlfn.MAXIFS($A$2:$A$5001,$B$2:$B$5001,B2021,$I$2:$I$5001,I2021),1,0))</f>
        <v/>
      </c>
    </row>
    <row r="2022" customFormat="false" ht="15" hidden="false" customHeight="false" outlineLevel="0" collapsed="false">
      <c r="I2022" s="15" t="str">
        <f aca="false">IF(A2022="","",INT(A2022))</f>
        <v/>
      </c>
      <c r="J2022" s="16" t="str">
        <f aca="false">IF(B2022="","",IF(A2022=_xlfn.MINIFS($A$2:$A$5001,$B$2:$B$5001,B2022),1,0))</f>
        <v/>
      </c>
      <c r="K2022" s="16" t="str">
        <f aca="false">IF(B2022="","",IF(AND(D2022="Formalização",E2022="Concluído"),IF(COUNTIFS($B$2:$B$5001,B2022,$E$2:$E$5001,"Em ajustes",$A$2:$A$5001,"&lt;"&amp;I2022)&gt;0,1,0),0))</f>
        <v/>
      </c>
      <c r="L2022" s="16" t="str">
        <f aca="false">IF(B2022="","",IF(A2022=_xlfn.MAXIFS($A$2:$A$5001,$B$2:$B$5001,B2022,$I$2:$I$5001,I2022),1,0))</f>
        <v/>
      </c>
    </row>
    <row r="2023" customFormat="false" ht="15" hidden="false" customHeight="false" outlineLevel="0" collapsed="false">
      <c r="I2023" s="15" t="str">
        <f aca="false">IF(A2023="","",INT(A2023))</f>
        <v/>
      </c>
      <c r="J2023" s="16" t="str">
        <f aca="false">IF(B2023="","",IF(A2023=_xlfn.MINIFS($A$2:$A$5001,$B$2:$B$5001,B2023),1,0))</f>
        <v/>
      </c>
      <c r="K2023" s="16" t="str">
        <f aca="false">IF(B2023="","",IF(AND(D2023="Formalização",E2023="Concluído"),IF(COUNTIFS($B$2:$B$5001,B2023,$E$2:$E$5001,"Em ajustes",$A$2:$A$5001,"&lt;"&amp;I2023)&gt;0,1,0),0))</f>
        <v/>
      </c>
      <c r="L2023" s="16" t="str">
        <f aca="false">IF(B2023="","",IF(A2023=_xlfn.MAXIFS($A$2:$A$5001,$B$2:$B$5001,B2023,$I$2:$I$5001,I2023),1,0))</f>
        <v/>
      </c>
    </row>
    <row r="2024" customFormat="false" ht="15" hidden="false" customHeight="false" outlineLevel="0" collapsed="false">
      <c r="I2024" s="15" t="str">
        <f aca="false">IF(A2024="","",INT(A2024))</f>
        <v/>
      </c>
      <c r="J2024" s="16" t="str">
        <f aca="false">IF(B2024="","",IF(A2024=_xlfn.MINIFS($A$2:$A$5001,$B$2:$B$5001,B2024),1,0))</f>
        <v/>
      </c>
      <c r="K2024" s="16" t="str">
        <f aca="false">IF(B2024="","",IF(AND(D2024="Formalização",E2024="Concluído"),IF(COUNTIFS($B$2:$B$5001,B2024,$E$2:$E$5001,"Em ajustes",$A$2:$A$5001,"&lt;"&amp;I2024)&gt;0,1,0),0))</f>
        <v/>
      </c>
      <c r="L2024" s="16" t="str">
        <f aca="false">IF(B2024="","",IF(A2024=_xlfn.MAXIFS($A$2:$A$5001,$B$2:$B$5001,B2024,$I$2:$I$5001,I2024),1,0))</f>
        <v/>
      </c>
    </row>
    <row r="2025" customFormat="false" ht="15" hidden="false" customHeight="false" outlineLevel="0" collapsed="false">
      <c r="I2025" s="15" t="str">
        <f aca="false">IF(A2025="","",INT(A2025))</f>
        <v/>
      </c>
      <c r="J2025" s="16" t="str">
        <f aca="false">IF(B2025="","",IF(A2025=_xlfn.MINIFS($A$2:$A$5001,$B$2:$B$5001,B2025),1,0))</f>
        <v/>
      </c>
      <c r="K2025" s="16" t="str">
        <f aca="false">IF(B2025="","",IF(AND(D2025="Formalização",E2025="Concluído"),IF(COUNTIFS($B$2:$B$5001,B2025,$E$2:$E$5001,"Em ajustes",$A$2:$A$5001,"&lt;"&amp;I2025)&gt;0,1,0),0))</f>
        <v/>
      </c>
      <c r="L2025" s="16" t="str">
        <f aca="false">IF(B2025="","",IF(A2025=_xlfn.MAXIFS($A$2:$A$5001,$B$2:$B$5001,B2025,$I$2:$I$5001,I2025),1,0))</f>
        <v/>
      </c>
    </row>
    <row r="2026" customFormat="false" ht="15" hidden="false" customHeight="false" outlineLevel="0" collapsed="false">
      <c r="I2026" s="15" t="str">
        <f aca="false">IF(A2026="","",INT(A2026))</f>
        <v/>
      </c>
      <c r="J2026" s="16" t="str">
        <f aca="false">IF(B2026="","",IF(A2026=_xlfn.MINIFS($A$2:$A$5001,$B$2:$B$5001,B2026),1,0))</f>
        <v/>
      </c>
      <c r="K2026" s="16" t="str">
        <f aca="false">IF(B2026="","",IF(AND(D2026="Formalização",E2026="Concluído"),IF(COUNTIFS($B$2:$B$5001,B2026,$E$2:$E$5001,"Em ajustes",$A$2:$A$5001,"&lt;"&amp;I2026)&gt;0,1,0),0))</f>
        <v/>
      </c>
      <c r="L2026" s="16" t="str">
        <f aca="false">IF(B2026="","",IF(A2026=_xlfn.MAXIFS($A$2:$A$5001,$B$2:$B$5001,B2026,$I$2:$I$5001,I2026),1,0))</f>
        <v/>
      </c>
    </row>
    <row r="2027" customFormat="false" ht="15" hidden="false" customHeight="false" outlineLevel="0" collapsed="false">
      <c r="I2027" s="15" t="str">
        <f aca="false">IF(A2027="","",INT(A2027))</f>
        <v/>
      </c>
      <c r="J2027" s="16" t="str">
        <f aca="false">IF(B2027="","",IF(A2027=_xlfn.MINIFS($A$2:$A$5001,$B$2:$B$5001,B2027),1,0))</f>
        <v/>
      </c>
      <c r="K2027" s="16" t="str">
        <f aca="false">IF(B2027="","",IF(AND(D2027="Formalização",E2027="Concluído"),IF(COUNTIFS($B$2:$B$5001,B2027,$E$2:$E$5001,"Em ajustes",$A$2:$A$5001,"&lt;"&amp;I2027)&gt;0,1,0),0))</f>
        <v/>
      </c>
      <c r="L2027" s="16" t="str">
        <f aca="false">IF(B2027="","",IF(A2027=_xlfn.MAXIFS($A$2:$A$5001,$B$2:$B$5001,B2027,$I$2:$I$5001,I2027),1,0))</f>
        <v/>
      </c>
    </row>
    <row r="2028" customFormat="false" ht="15" hidden="false" customHeight="false" outlineLevel="0" collapsed="false">
      <c r="I2028" s="15" t="str">
        <f aca="false">IF(A2028="","",INT(A2028))</f>
        <v/>
      </c>
      <c r="J2028" s="16" t="str">
        <f aca="false">IF(B2028="","",IF(A2028=_xlfn.MINIFS($A$2:$A$5001,$B$2:$B$5001,B2028),1,0))</f>
        <v/>
      </c>
      <c r="K2028" s="16" t="str">
        <f aca="false">IF(B2028="","",IF(AND(D2028="Formalização",E2028="Concluído"),IF(COUNTIFS($B$2:$B$5001,B2028,$E$2:$E$5001,"Em ajustes",$A$2:$A$5001,"&lt;"&amp;I2028)&gt;0,1,0),0))</f>
        <v/>
      </c>
      <c r="L2028" s="16" t="str">
        <f aca="false">IF(B2028="","",IF(A2028=_xlfn.MAXIFS($A$2:$A$5001,$B$2:$B$5001,B2028,$I$2:$I$5001,I2028),1,0))</f>
        <v/>
      </c>
    </row>
    <row r="2029" customFormat="false" ht="15" hidden="false" customHeight="false" outlineLevel="0" collapsed="false">
      <c r="I2029" s="15" t="str">
        <f aca="false">IF(A2029="","",INT(A2029))</f>
        <v/>
      </c>
      <c r="J2029" s="16" t="str">
        <f aca="false">IF(B2029="","",IF(A2029=_xlfn.MINIFS($A$2:$A$5001,$B$2:$B$5001,B2029),1,0))</f>
        <v/>
      </c>
      <c r="K2029" s="16" t="str">
        <f aca="false">IF(B2029="","",IF(AND(D2029="Formalização",E2029="Concluído"),IF(COUNTIFS($B$2:$B$5001,B2029,$E$2:$E$5001,"Em ajustes",$A$2:$A$5001,"&lt;"&amp;I2029)&gt;0,1,0),0))</f>
        <v/>
      </c>
      <c r="L2029" s="16" t="str">
        <f aca="false">IF(B2029="","",IF(A2029=_xlfn.MAXIFS($A$2:$A$5001,$B$2:$B$5001,B2029,$I$2:$I$5001,I2029),1,0))</f>
        <v/>
      </c>
    </row>
    <row r="2030" customFormat="false" ht="15" hidden="false" customHeight="false" outlineLevel="0" collapsed="false">
      <c r="I2030" s="15" t="str">
        <f aca="false">IF(A2030="","",INT(A2030))</f>
        <v/>
      </c>
      <c r="J2030" s="16" t="str">
        <f aca="false">IF(B2030="","",IF(A2030=_xlfn.MINIFS($A$2:$A$5001,$B$2:$B$5001,B2030),1,0))</f>
        <v/>
      </c>
      <c r="K2030" s="16" t="str">
        <f aca="false">IF(B2030="","",IF(AND(D2030="Formalização",E2030="Concluído"),IF(COUNTIFS($B$2:$B$5001,B2030,$E$2:$E$5001,"Em ajustes",$A$2:$A$5001,"&lt;"&amp;I2030)&gt;0,1,0),0))</f>
        <v/>
      </c>
      <c r="L2030" s="16" t="str">
        <f aca="false">IF(B2030="","",IF(A2030=_xlfn.MAXIFS($A$2:$A$5001,$B$2:$B$5001,B2030,$I$2:$I$5001,I2030),1,0))</f>
        <v/>
      </c>
    </row>
    <row r="2031" customFormat="false" ht="15" hidden="false" customHeight="false" outlineLevel="0" collapsed="false">
      <c r="I2031" s="15" t="str">
        <f aca="false">IF(A2031="","",INT(A2031))</f>
        <v/>
      </c>
      <c r="J2031" s="16" t="str">
        <f aca="false">IF(B2031="","",IF(A2031=_xlfn.MINIFS($A$2:$A$5001,$B$2:$B$5001,B2031),1,0))</f>
        <v/>
      </c>
      <c r="K2031" s="16" t="str">
        <f aca="false">IF(B2031="","",IF(AND(D2031="Formalização",E2031="Concluído"),IF(COUNTIFS($B$2:$B$5001,B2031,$E$2:$E$5001,"Em ajustes",$A$2:$A$5001,"&lt;"&amp;I2031)&gt;0,1,0),0))</f>
        <v/>
      </c>
      <c r="L2031" s="16" t="str">
        <f aca="false">IF(B2031="","",IF(A2031=_xlfn.MAXIFS($A$2:$A$5001,$B$2:$B$5001,B2031,$I$2:$I$5001,I2031),1,0))</f>
        <v/>
      </c>
    </row>
    <row r="2032" customFormat="false" ht="15" hidden="false" customHeight="false" outlineLevel="0" collapsed="false">
      <c r="I2032" s="15" t="str">
        <f aca="false">IF(A2032="","",INT(A2032))</f>
        <v/>
      </c>
      <c r="J2032" s="16" t="str">
        <f aca="false">IF(B2032="","",IF(A2032=_xlfn.MINIFS($A$2:$A$5001,$B$2:$B$5001,B2032),1,0))</f>
        <v/>
      </c>
      <c r="K2032" s="16" t="str">
        <f aca="false">IF(B2032="","",IF(AND(D2032="Formalização",E2032="Concluído"),IF(COUNTIFS($B$2:$B$5001,B2032,$E$2:$E$5001,"Em ajustes",$A$2:$A$5001,"&lt;"&amp;I2032)&gt;0,1,0),0))</f>
        <v/>
      </c>
      <c r="L2032" s="16" t="str">
        <f aca="false">IF(B2032="","",IF(A2032=_xlfn.MAXIFS($A$2:$A$5001,$B$2:$B$5001,B2032,$I$2:$I$5001,I2032),1,0))</f>
        <v/>
      </c>
    </row>
    <row r="2033" customFormat="false" ht="15" hidden="false" customHeight="false" outlineLevel="0" collapsed="false">
      <c r="I2033" s="15" t="str">
        <f aca="false">IF(A2033="","",INT(A2033))</f>
        <v/>
      </c>
      <c r="J2033" s="16" t="str">
        <f aca="false">IF(B2033="","",IF(A2033=_xlfn.MINIFS($A$2:$A$5001,$B$2:$B$5001,B2033),1,0))</f>
        <v/>
      </c>
      <c r="K2033" s="16" t="str">
        <f aca="false">IF(B2033="","",IF(AND(D2033="Formalização",E2033="Concluído"),IF(COUNTIFS($B$2:$B$5001,B2033,$E$2:$E$5001,"Em ajustes",$A$2:$A$5001,"&lt;"&amp;I2033)&gt;0,1,0),0))</f>
        <v/>
      </c>
      <c r="L2033" s="16" t="str">
        <f aca="false">IF(B2033="","",IF(A2033=_xlfn.MAXIFS($A$2:$A$5001,$B$2:$B$5001,B2033,$I$2:$I$5001,I2033),1,0))</f>
        <v/>
      </c>
    </row>
    <row r="2034" customFormat="false" ht="15" hidden="false" customHeight="false" outlineLevel="0" collapsed="false">
      <c r="I2034" s="15" t="str">
        <f aca="false">IF(A2034="","",INT(A2034))</f>
        <v/>
      </c>
      <c r="J2034" s="16" t="str">
        <f aca="false">IF(B2034="","",IF(A2034=_xlfn.MINIFS($A$2:$A$5001,$B$2:$B$5001,B2034),1,0))</f>
        <v/>
      </c>
      <c r="K2034" s="16" t="str">
        <f aca="false">IF(B2034="","",IF(AND(D2034="Formalização",E2034="Concluído"),IF(COUNTIFS($B$2:$B$5001,B2034,$E$2:$E$5001,"Em ajustes",$A$2:$A$5001,"&lt;"&amp;I2034)&gt;0,1,0),0))</f>
        <v/>
      </c>
      <c r="L2034" s="16" t="str">
        <f aca="false">IF(B2034="","",IF(A2034=_xlfn.MAXIFS($A$2:$A$5001,$B$2:$B$5001,B2034,$I$2:$I$5001,I2034),1,0))</f>
        <v/>
      </c>
    </row>
    <row r="2035" customFormat="false" ht="15" hidden="false" customHeight="false" outlineLevel="0" collapsed="false">
      <c r="I2035" s="15" t="str">
        <f aca="false">IF(A2035="","",INT(A2035))</f>
        <v/>
      </c>
      <c r="J2035" s="16" t="str">
        <f aca="false">IF(B2035="","",IF(A2035=_xlfn.MINIFS($A$2:$A$5001,$B$2:$B$5001,B2035),1,0))</f>
        <v/>
      </c>
      <c r="K2035" s="16" t="str">
        <f aca="false">IF(B2035="","",IF(AND(D2035="Formalização",E2035="Concluído"),IF(COUNTIFS($B$2:$B$5001,B2035,$E$2:$E$5001,"Em ajustes",$A$2:$A$5001,"&lt;"&amp;I2035)&gt;0,1,0),0))</f>
        <v/>
      </c>
      <c r="L2035" s="16" t="str">
        <f aca="false">IF(B2035="","",IF(A2035=_xlfn.MAXIFS($A$2:$A$5001,$B$2:$B$5001,B2035,$I$2:$I$5001,I2035),1,0))</f>
        <v/>
      </c>
    </row>
    <row r="2036" customFormat="false" ht="15" hidden="false" customHeight="false" outlineLevel="0" collapsed="false">
      <c r="I2036" s="15" t="str">
        <f aca="false">IF(A2036="","",INT(A2036))</f>
        <v/>
      </c>
      <c r="J2036" s="16" t="str">
        <f aca="false">IF(B2036="","",IF(A2036=_xlfn.MINIFS($A$2:$A$5001,$B$2:$B$5001,B2036),1,0))</f>
        <v/>
      </c>
      <c r="K2036" s="16" t="str">
        <f aca="false">IF(B2036="","",IF(AND(D2036="Formalização",E2036="Concluído"),IF(COUNTIFS($B$2:$B$5001,B2036,$E$2:$E$5001,"Em ajustes",$A$2:$A$5001,"&lt;"&amp;I2036)&gt;0,1,0),0))</f>
        <v/>
      </c>
      <c r="L2036" s="16" t="str">
        <f aca="false">IF(B2036="","",IF(A2036=_xlfn.MAXIFS($A$2:$A$5001,$B$2:$B$5001,B2036,$I$2:$I$5001,I2036),1,0))</f>
        <v/>
      </c>
    </row>
    <row r="2037" customFormat="false" ht="15" hidden="false" customHeight="false" outlineLevel="0" collapsed="false">
      <c r="I2037" s="15" t="str">
        <f aca="false">IF(A2037="","",INT(A2037))</f>
        <v/>
      </c>
      <c r="J2037" s="16" t="str">
        <f aca="false">IF(B2037="","",IF(A2037=_xlfn.MINIFS($A$2:$A$5001,$B$2:$B$5001,B2037),1,0))</f>
        <v/>
      </c>
      <c r="K2037" s="16" t="str">
        <f aca="false">IF(B2037="","",IF(AND(D2037="Formalização",E2037="Concluído"),IF(COUNTIFS($B$2:$B$5001,B2037,$E$2:$E$5001,"Em ajustes",$A$2:$A$5001,"&lt;"&amp;I2037)&gt;0,1,0),0))</f>
        <v/>
      </c>
      <c r="L2037" s="16" t="str">
        <f aca="false">IF(B2037="","",IF(A2037=_xlfn.MAXIFS($A$2:$A$5001,$B$2:$B$5001,B2037,$I$2:$I$5001,I2037),1,0))</f>
        <v/>
      </c>
    </row>
    <row r="2038" customFormat="false" ht="15" hidden="false" customHeight="false" outlineLevel="0" collapsed="false">
      <c r="I2038" s="15" t="str">
        <f aca="false">IF(A2038="","",INT(A2038))</f>
        <v/>
      </c>
      <c r="J2038" s="16" t="str">
        <f aca="false">IF(B2038="","",IF(A2038=_xlfn.MINIFS($A$2:$A$5001,$B$2:$B$5001,B2038),1,0))</f>
        <v/>
      </c>
      <c r="K2038" s="16" t="str">
        <f aca="false">IF(B2038="","",IF(AND(D2038="Formalização",E2038="Concluído"),IF(COUNTIFS($B$2:$B$5001,B2038,$E$2:$E$5001,"Em ajustes",$A$2:$A$5001,"&lt;"&amp;I2038)&gt;0,1,0),0))</f>
        <v/>
      </c>
      <c r="L2038" s="16" t="str">
        <f aca="false">IF(B2038="","",IF(A2038=_xlfn.MAXIFS($A$2:$A$5001,$B$2:$B$5001,B2038,$I$2:$I$5001,I2038),1,0))</f>
        <v/>
      </c>
    </row>
    <row r="2039" customFormat="false" ht="15" hidden="false" customHeight="false" outlineLevel="0" collapsed="false">
      <c r="I2039" s="15" t="str">
        <f aca="false">IF(A2039="","",INT(A2039))</f>
        <v/>
      </c>
      <c r="J2039" s="16" t="str">
        <f aca="false">IF(B2039="","",IF(A2039=_xlfn.MINIFS($A$2:$A$5001,$B$2:$B$5001,B2039),1,0))</f>
        <v/>
      </c>
      <c r="K2039" s="16" t="str">
        <f aca="false">IF(B2039="","",IF(AND(D2039="Formalização",E2039="Concluído"),IF(COUNTIFS($B$2:$B$5001,B2039,$E$2:$E$5001,"Em ajustes",$A$2:$A$5001,"&lt;"&amp;I2039)&gt;0,1,0),0))</f>
        <v/>
      </c>
      <c r="L2039" s="16" t="str">
        <f aca="false">IF(B2039="","",IF(A2039=_xlfn.MAXIFS($A$2:$A$5001,$B$2:$B$5001,B2039,$I$2:$I$5001,I2039),1,0))</f>
        <v/>
      </c>
    </row>
    <row r="2040" customFormat="false" ht="15" hidden="false" customHeight="false" outlineLevel="0" collapsed="false">
      <c r="I2040" s="15" t="str">
        <f aca="false">IF(A2040="","",INT(A2040))</f>
        <v/>
      </c>
      <c r="J2040" s="16" t="str">
        <f aca="false">IF(B2040="","",IF(A2040=_xlfn.MINIFS($A$2:$A$5001,$B$2:$B$5001,B2040),1,0))</f>
        <v/>
      </c>
      <c r="K2040" s="16" t="str">
        <f aca="false">IF(B2040="","",IF(AND(D2040="Formalização",E2040="Concluído"),IF(COUNTIFS($B$2:$B$5001,B2040,$E$2:$E$5001,"Em ajustes",$A$2:$A$5001,"&lt;"&amp;I2040)&gt;0,1,0),0))</f>
        <v/>
      </c>
      <c r="L2040" s="16" t="str">
        <f aca="false">IF(B2040="","",IF(A2040=_xlfn.MAXIFS($A$2:$A$5001,$B$2:$B$5001,B2040,$I$2:$I$5001,I2040),1,0))</f>
        <v/>
      </c>
    </row>
    <row r="2041" customFormat="false" ht="15" hidden="false" customHeight="false" outlineLevel="0" collapsed="false">
      <c r="I2041" s="15" t="str">
        <f aca="false">IF(A2041="","",INT(A2041))</f>
        <v/>
      </c>
      <c r="J2041" s="16" t="str">
        <f aca="false">IF(B2041="","",IF(A2041=_xlfn.MINIFS($A$2:$A$5001,$B$2:$B$5001,B2041),1,0))</f>
        <v/>
      </c>
      <c r="K2041" s="16" t="str">
        <f aca="false">IF(B2041="","",IF(AND(D2041="Formalização",E2041="Concluído"),IF(COUNTIFS($B$2:$B$5001,B2041,$E$2:$E$5001,"Em ajustes",$A$2:$A$5001,"&lt;"&amp;I2041)&gt;0,1,0),0))</f>
        <v/>
      </c>
      <c r="L2041" s="16" t="str">
        <f aca="false">IF(B2041="","",IF(A2041=_xlfn.MAXIFS($A$2:$A$5001,$B$2:$B$5001,B2041,$I$2:$I$5001,I2041),1,0))</f>
        <v/>
      </c>
    </row>
    <row r="2042" customFormat="false" ht="15" hidden="false" customHeight="false" outlineLevel="0" collapsed="false">
      <c r="I2042" s="15" t="str">
        <f aca="false">IF(A2042="","",INT(A2042))</f>
        <v/>
      </c>
      <c r="J2042" s="16" t="str">
        <f aca="false">IF(B2042="","",IF(A2042=_xlfn.MINIFS($A$2:$A$5001,$B$2:$B$5001,B2042),1,0))</f>
        <v/>
      </c>
      <c r="K2042" s="16" t="str">
        <f aca="false">IF(B2042="","",IF(AND(D2042="Formalização",E2042="Concluído"),IF(COUNTIFS($B$2:$B$5001,B2042,$E$2:$E$5001,"Em ajustes",$A$2:$A$5001,"&lt;"&amp;I2042)&gt;0,1,0),0))</f>
        <v/>
      </c>
      <c r="L2042" s="16" t="str">
        <f aca="false">IF(B2042="","",IF(A2042=_xlfn.MAXIFS($A$2:$A$5001,$B$2:$B$5001,B2042,$I$2:$I$5001,I2042),1,0))</f>
        <v/>
      </c>
    </row>
    <row r="2043" customFormat="false" ht="15" hidden="false" customHeight="false" outlineLevel="0" collapsed="false">
      <c r="I2043" s="15" t="str">
        <f aca="false">IF(A2043="","",INT(A2043))</f>
        <v/>
      </c>
      <c r="J2043" s="16" t="str">
        <f aca="false">IF(B2043="","",IF(A2043=_xlfn.MINIFS($A$2:$A$5001,$B$2:$B$5001,B2043),1,0))</f>
        <v/>
      </c>
      <c r="K2043" s="16" t="str">
        <f aca="false">IF(B2043="","",IF(AND(D2043="Formalização",E2043="Concluído"),IF(COUNTIFS($B$2:$B$5001,B2043,$E$2:$E$5001,"Em ajustes",$A$2:$A$5001,"&lt;"&amp;I2043)&gt;0,1,0),0))</f>
        <v/>
      </c>
      <c r="L2043" s="16" t="str">
        <f aca="false">IF(B2043="","",IF(A2043=_xlfn.MAXIFS($A$2:$A$5001,$B$2:$B$5001,B2043,$I$2:$I$5001,I2043),1,0))</f>
        <v/>
      </c>
    </row>
    <row r="2044" customFormat="false" ht="15" hidden="false" customHeight="false" outlineLevel="0" collapsed="false">
      <c r="I2044" s="15" t="str">
        <f aca="false">IF(A2044="","",INT(A2044))</f>
        <v/>
      </c>
      <c r="J2044" s="16" t="str">
        <f aca="false">IF(B2044="","",IF(A2044=_xlfn.MINIFS($A$2:$A$5001,$B$2:$B$5001,B2044),1,0))</f>
        <v/>
      </c>
      <c r="K2044" s="16" t="str">
        <f aca="false">IF(B2044="","",IF(AND(D2044="Formalização",E2044="Concluído"),IF(COUNTIFS($B$2:$B$5001,B2044,$E$2:$E$5001,"Em ajustes",$A$2:$A$5001,"&lt;"&amp;I2044)&gt;0,1,0),0))</f>
        <v/>
      </c>
      <c r="L2044" s="16" t="str">
        <f aca="false">IF(B2044="","",IF(A2044=_xlfn.MAXIFS($A$2:$A$5001,$B$2:$B$5001,B2044,$I$2:$I$5001,I2044),1,0))</f>
        <v/>
      </c>
    </row>
    <row r="2045" customFormat="false" ht="15" hidden="false" customHeight="false" outlineLevel="0" collapsed="false">
      <c r="I2045" s="15" t="str">
        <f aca="false">IF(A2045="","",INT(A2045))</f>
        <v/>
      </c>
      <c r="J2045" s="16" t="str">
        <f aca="false">IF(B2045="","",IF(A2045=_xlfn.MINIFS($A$2:$A$5001,$B$2:$B$5001,B2045),1,0))</f>
        <v/>
      </c>
      <c r="K2045" s="16" t="str">
        <f aca="false">IF(B2045="","",IF(AND(D2045="Formalização",E2045="Concluído"),IF(COUNTIFS($B$2:$B$5001,B2045,$E$2:$E$5001,"Em ajustes",$A$2:$A$5001,"&lt;"&amp;I2045)&gt;0,1,0),0))</f>
        <v/>
      </c>
      <c r="L2045" s="16" t="str">
        <f aca="false">IF(B2045="","",IF(A2045=_xlfn.MAXIFS($A$2:$A$5001,$B$2:$B$5001,B2045,$I$2:$I$5001,I2045),1,0))</f>
        <v/>
      </c>
    </row>
    <row r="2046" customFormat="false" ht="15" hidden="false" customHeight="false" outlineLevel="0" collapsed="false">
      <c r="I2046" s="15" t="str">
        <f aca="false">IF(A2046="","",INT(A2046))</f>
        <v/>
      </c>
      <c r="J2046" s="16" t="str">
        <f aca="false">IF(B2046="","",IF(A2046=_xlfn.MINIFS($A$2:$A$5001,$B$2:$B$5001,B2046),1,0))</f>
        <v/>
      </c>
      <c r="K2046" s="16" t="str">
        <f aca="false">IF(B2046="","",IF(AND(D2046="Formalização",E2046="Concluído"),IF(COUNTIFS($B$2:$B$5001,B2046,$E$2:$E$5001,"Em ajustes",$A$2:$A$5001,"&lt;"&amp;I2046)&gt;0,1,0),0))</f>
        <v/>
      </c>
      <c r="L2046" s="16" t="str">
        <f aca="false">IF(B2046="","",IF(A2046=_xlfn.MAXIFS($A$2:$A$5001,$B$2:$B$5001,B2046,$I$2:$I$5001,I2046),1,0))</f>
        <v/>
      </c>
    </row>
    <row r="2047" customFormat="false" ht="15" hidden="false" customHeight="false" outlineLevel="0" collapsed="false">
      <c r="I2047" s="15" t="str">
        <f aca="false">IF(A2047="","",INT(A2047))</f>
        <v/>
      </c>
      <c r="J2047" s="16" t="str">
        <f aca="false">IF(B2047="","",IF(A2047=_xlfn.MINIFS($A$2:$A$5001,$B$2:$B$5001,B2047),1,0))</f>
        <v/>
      </c>
      <c r="K2047" s="16" t="str">
        <f aca="false">IF(B2047="","",IF(AND(D2047="Formalização",E2047="Concluído"),IF(COUNTIFS($B$2:$B$5001,B2047,$E$2:$E$5001,"Em ajustes",$A$2:$A$5001,"&lt;"&amp;I2047)&gt;0,1,0),0))</f>
        <v/>
      </c>
      <c r="L2047" s="16" t="str">
        <f aca="false">IF(B2047="","",IF(A2047=_xlfn.MAXIFS($A$2:$A$5001,$B$2:$B$5001,B2047,$I$2:$I$5001,I2047),1,0))</f>
        <v/>
      </c>
    </row>
    <row r="2048" customFormat="false" ht="15" hidden="false" customHeight="false" outlineLevel="0" collapsed="false">
      <c r="I2048" s="15" t="str">
        <f aca="false">IF(A2048="","",INT(A2048))</f>
        <v/>
      </c>
      <c r="J2048" s="16" t="str">
        <f aca="false">IF(B2048="","",IF(A2048=_xlfn.MINIFS($A$2:$A$5001,$B$2:$B$5001,B2048),1,0))</f>
        <v/>
      </c>
      <c r="K2048" s="16" t="str">
        <f aca="false">IF(B2048="","",IF(AND(D2048="Formalização",E2048="Concluído"),IF(COUNTIFS($B$2:$B$5001,B2048,$E$2:$E$5001,"Em ajustes",$A$2:$A$5001,"&lt;"&amp;I2048)&gt;0,1,0),0))</f>
        <v/>
      </c>
      <c r="L2048" s="16" t="str">
        <f aca="false">IF(B2048="","",IF(A2048=_xlfn.MAXIFS($A$2:$A$5001,$B$2:$B$5001,B2048,$I$2:$I$5001,I2048),1,0))</f>
        <v/>
      </c>
    </row>
    <row r="2049" customFormat="false" ht="15" hidden="false" customHeight="false" outlineLevel="0" collapsed="false">
      <c r="I2049" s="15" t="str">
        <f aca="false">IF(A2049="","",INT(A2049))</f>
        <v/>
      </c>
      <c r="J2049" s="16" t="str">
        <f aca="false">IF(B2049="","",IF(A2049=_xlfn.MINIFS($A$2:$A$5001,$B$2:$B$5001,B2049),1,0))</f>
        <v/>
      </c>
      <c r="K2049" s="16" t="str">
        <f aca="false">IF(B2049="","",IF(AND(D2049="Formalização",E2049="Concluído"),IF(COUNTIFS($B$2:$B$5001,B2049,$E$2:$E$5001,"Em ajustes",$A$2:$A$5001,"&lt;"&amp;I2049)&gt;0,1,0),0))</f>
        <v/>
      </c>
      <c r="L2049" s="16" t="str">
        <f aca="false">IF(B2049="","",IF(A2049=_xlfn.MAXIFS($A$2:$A$5001,$B$2:$B$5001,B2049,$I$2:$I$5001,I2049),1,0))</f>
        <v/>
      </c>
    </row>
    <row r="2050" customFormat="false" ht="15" hidden="false" customHeight="false" outlineLevel="0" collapsed="false">
      <c r="I2050" s="15" t="str">
        <f aca="false">IF(A2050="","",INT(A2050))</f>
        <v/>
      </c>
      <c r="J2050" s="16" t="str">
        <f aca="false">IF(B2050="","",IF(A2050=_xlfn.MINIFS($A$2:$A$5001,$B$2:$B$5001,B2050),1,0))</f>
        <v/>
      </c>
      <c r="K2050" s="16" t="str">
        <f aca="false">IF(B2050="","",IF(AND(D2050="Formalização",E2050="Concluído"),IF(COUNTIFS($B$2:$B$5001,B2050,$E$2:$E$5001,"Em ajustes",$A$2:$A$5001,"&lt;"&amp;I2050)&gt;0,1,0),0))</f>
        <v/>
      </c>
      <c r="L2050" s="16" t="str">
        <f aca="false">IF(B2050="","",IF(A2050=_xlfn.MAXIFS($A$2:$A$5001,$B$2:$B$5001,B2050,$I$2:$I$5001,I2050),1,0))</f>
        <v/>
      </c>
    </row>
    <row r="2051" customFormat="false" ht="15" hidden="false" customHeight="false" outlineLevel="0" collapsed="false">
      <c r="I2051" s="15" t="str">
        <f aca="false">IF(A2051="","",INT(A2051))</f>
        <v/>
      </c>
      <c r="J2051" s="16" t="str">
        <f aca="false">IF(B2051="","",IF(A2051=_xlfn.MINIFS($A$2:$A$5001,$B$2:$B$5001,B2051),1,0))</f>
        <v/>
      </c>
      <c r="K2051" s="16" t="str">
        <f aca="false">IF(B2051="","",IF(AND(D2051="Formalização",E2051="Concluído"),IF(COUNTIFS($B$2:$B$5001,B2051,$E$2:$E$5001,"Em ajustes",$A$2:$A$5001,"&lt;"&amp;I2051)&gt;0,1,0),0))</f>
        <v/>
      </c>
      <c r="L2051" s="16" t="str">
        <f aca="false">IF(B2051="","",IF(A2051=_xlfn.MAXIFS($A$2:$A$5001,$B$2:$B$5001,B2051,$I$2:$I$5001,I2051),1,0))</f>
        <v/>
      </c>
    </row>
    <row r="2052" customFormat="false" ht="15" hidden="false" customHeight="false" outlineLevel="0" collapsed="false">
      <c r="I2052" s="15" t="str">
        <f aca="false">IF(A2052="","",INT(A2052))</f>
        <v/>
      </c>
      <c r="J2052" s="16" t="str">
        <f aca="false">IF(B2052="","",IF(A2052=_xlfn.MINIFS($A$2:$A$5001,$B$2:$B$5001,B2052),1,0))</f>
        <v/>
      </c>
      <c r="K2052" s="16" t="str">
        <f aca="false">IF(B2052="","",IF(AND(D2052="Formalização",E2052="Concluído"),IF(COUNTIFS($B$2:$B$5001,B2052,$E$2:$E$5001,"Em ajustes",$A$2:$A$5001,"&lt;"&amp;I2052)&gt;0,1,0),0))</f>
        <v/>
      </c>
      <c r="L2052" s="16" t="str">
        <f aca="false">IF(B2052="","",IF(A2052=_xlfn.MAXIFS($A$2:$A$5001,$B$2:$B$5001,B2052,$I$2:$I$5001,I2052),1,0))</f>
        <v/>
      </c>
    </row>
    <row r="2053" customFormat="false" ht="15" hidden="false" customHeight="false" outlineLevel="0" collapsed="false">
      <c r="I2053" s="15" t="str">
        <f aca="false">IF(A2053="","",INT(A2053))</f>
        <v/>
      </c>
      <c r="J2053" s="16" t="str">
        <f aca="false">IF(B2053="","",IF(A2053=_xlfn.MINIFS($A$2:$A$5001,$B$2:$B$5001,B2053),1,0))</f>
        <v/>
      </c>
      <c r="K2053" s="16" t="str">
        <f aca="false">IF(B2053="","",IF(AND(D2053="Formalização",E2053="Concluído"),IF(COUNTIFS($B$2:$B$5001,B2053,$E$2:$E$5001,"Em ajustes",$A$2:$A$5001,"&lt;"&amp;I2053)&gt;0,1,0),0))</f>
        <v/>
      </c>
      <c r="L2053" s="16" t="str">
        <f aca="false">IF(B2053="","",IF(A2053=_xlfn.MAXIFS($A$2:$A$5001,$B$2:$B$5001,B2053,$I$2:$I$5001,I2053),1,0))</f>
        <v/>
      </c>
    </row>
    <row r="2054" customFormat="false" ht="15" hidden="false" customHeight="false" outlineLevel="0" collapsed="false">
      <c r="I2054" s="15" t="str">
        <f aca="false">IF(A2054="","",INT(A2054))</f>
        <v/>
      </c>
      <c r="J2054" s="16" t="str">
        <f aca="false">IF(B2054="","",IF(A2054=_xlfn.MINIFS($A$2:$A$5001,$B$2:$B$5001,B2054),1,0))</f>
        <v/>
      </c>
      <c r="K2054" s="16" t="str">
        <f aca="false">IF(B2054="","",IF(AND(D2054="Formalização",E2054="Concluído"),IF(COUNTIFS($B$2:$B$5001,B2054,$E$2:$E$5001,"Em ajustes",$A$2:$A$5001,"&lt;"&amp;I2054)&gt;0,1,0),0))</f>
        <v/>
      </c>
      <c r="L2054" s="16" t="str">
        <f aca="false">IF(B2054="","",IF(A2054=_xlfn.MAXIFS($A$2:$A$5001,$B$2:$B$5001,B2054,$I$2:$I$5001,I2054),1,0))</f>
        <v/>
      </c>
    </row>
    <row r="2055" customFormat="false" ht="15" hidden="false" customHeight="false" outlineLevel="0" collapsed="false">
      <c r="I2055" s="15" t="str">
        <f aca="false">IF(A2055="","",INT(A2055))</f>
        <v/>
      </c>
      <c r="J2055" s="16" t="str">
        <f aca="false">IF(B2055="","",IF(A2055=_xlfn.MINIFS($A$2:$A$5001,$B$2:$B$5001,B2055),1,0))</f>
        <v/>
      </c>
      <c r="K2055" s="16" t="str">
        <f aca="false">IF(B2055="","",IF(AND(D2055="Formalização",E2055="Concluído"),IF(COUNTIFS($B$2:$B$5001,B2055,$E$2:$E$5001,"Em ajustes",$A$2:$A$5001,"&lt;"&amp;I2055)&gt;0,1,0),0))</f>
        <v/>
      </c>
      <c r="L2055" s="16" t="str">
        <f aca="false">IF(B2055="","",IF(A2055=_xlfn.MAXIFS($A$2:$A$5001,$B$2:$B$5001,B2055,$I$2:$I$5001,I2055),1,0))</f>
        <v/>
      </c>
    </row>
    <row r="2056" customFormat="false" ht="15" hidden="false" customHeight="false" outlineLevel="0" collapsed="false">
      <c r="I2056" s="15" t="str">
        <f aca="false">IF(A2056="","",INT(A2056))</f>
        <v/>
      </c>
      <c r="J2056" s="16" t="str">
        <f aca="false">IF(B2056="","",IF(A2056=_xlfn.MINIFS($A$2:$A$5001,$B$2:$B$5001,B2056),1,0))</f>
        <v/>
      </c>
      <c r="K2056" s="16" t="str">
        <f aca="false">IF(B2056="","",IF(AND(D2056="Formalização",E2056="Concluído"),IF(COUNTIFS($B$2:$B$5001,B2056,$E$2:$E$5001,"Em ajustes",$A$2:$A$5001,"&lt;"&amp;I2056)&gt;0,1,0),0))</f>
        <v/>
      </c>
      <c r="L2056" s="16" t="str">
        <f aca="false">IF(B2056="","",IF(A2056=_xlfn.MAXIFS($A$2:$A$5001,$B$2:$B$5001,B2056,$I$2:$I$5001,I2056),1,0))</f>
        <v/>
      </c>
    </row>
    <row r="2057" customFormat="false" ht="15" hidden="false" customHeight="false" outlineLevel="0" collapsed="false">
      <c r="I2057" s="15" t="str">
        <f aca="false">IF(A2057="","",INT(A2057))</f>
        <v/>
      </c>
      <c r="J2057" s="16" t="str">
        <f aca="false">IF(B2057="","",IF(A2057=_xlfn.MINIFS($A$2:$A$5001,$B$2:$B$5001,B2057),1,0))</f>
        <v/>
      </c>
      <c r="K2057" s="16" t="str">
        <f aca="false">IF(B2057="","",IF(AND(D2057="Formalização",E2057="Concluído"),IF(COUNTIFS($B$2:$B$5001,B2057,$E$2:$E$5001,"Em ajustes",$A$2:$A$5001,"&lt;"&amp;I2057)&gt;0,1,0),0))</f>
        <v/>
      </c>
      <c r="L2057" s="16" t="str">
        <f aca="false">IF(B2057="","",IF(A2057=_xlfn.MAXIFS($A$2:$A$5001,$B$2:$B$5001,B2057,$I$2:$I$5001,I2057),1,0))</f>
        <v/>
      </c>
    </row>
    <row r="2058" customFormat="false" ht="15" hidden="false" customHeight="false" outlineLevel="0" collapsed="false">
      <c r="I2058" s="15" t="str">
        <f aca="false">IF(A2058="","",INT(A2058))</f>
        <v/>
      </c>
      <c r="J2058" s="16" t="str">
        <f aca="false">IF(B2058="","",IF(A2058=_xlfn.MINIFS($A$2:$A$5001,$B$2:$B$5001,B2058),1,0))</f>
        <v/>
      </c>
      <c r="K2058" s="16" t="str">
        <f aca="false">IF(B2058="","",IF(AND(D2058="Formalização",E2058="Concluído"),IF(COUNTIFS($B$2:$B$5001,B2058,$E$2:$E$5001,"Em ajustes",$A$2:$A$5001,"&lt;"&amp;I2058)&gt;0,1,0),0))</f>
        <v/>
      </c>
      <c r="L2058" s="16" t="str">
        <f aca="false">IF(B2058="","",IF(A2058=_xlfn.MAXIFS($A$2:$A$5001,$B$2:$B$5001,B2058,$I$2:$I$5001,I2058),1,0))</f>
        <v/>
      </c>
    </row>
    <row r="2059" customFormat="false" ht="15" hidden="false" customHeight="false" outlineLevel="0" collapsed="false">
      <c r="I2059" s="15" t="str">
        <f aca="false">IF(A2059="","",INT(A2059))</f>
        <v/>
      </c>
      <c r="J2059" s="16" t="str">
        <f aca="false">IF(B2059="","",IF(A2059=_xlfn.MINIFS($A$2:$A$5001,$B$2:$B$5001,B2059),1,0))</f>
        <v/>
      </c>
      <c r="K2059" s="16" t="str">
        <f aca="false">IF(B2059="","",IF(AND(D2059="Formalização",E2059="Concluído"),IF(COUNTIFS($B$2:$B$5001,B2059,$E$2:$E$5001,"Em ajustes",$A$2:$A$5001,"&lt;"&amp;I2059)&gt;0,1,0),0))</f>
        <v/>
      </c>
      <c r="L2059" s="16" t="str">
        <f aca="false">IF(B2059="","",IF(A2059=_xlfn.MAXIFS($A$2:$A$5001,$B$2:$B$5001,B2059,$I$2:$I$5001,I2059),1,0))</f>
        <v/>
      </c>
    </row>
    <row r="2060" customFormat="false" ht="15" hidden="false" customHeight="false" outlineLevel="0" collapsed="false">
      <c r="I2060" s="15" t="str">
        <f aca="false">IF(A2060="","",INT(A2060))</f>
        <v/>
      </c>
      <c r="J2060" s="16" t="str">
        <f aca="false">IF(B2060="","",IF(A2060=_xlfn.MINIFS($A$2:$A$5001,$B$2:$B$5001,B2060),1,0))</f>
        <v/>
      </c>
      <c r="K2060" s="16" t="str">
        <f aca="false">IF(B2060="","",IF(AND(D2060="Formalização",E2060="Concluído"),IF(COUNTIFS($B$2:$B$5001,B2060,$E$2:$E$5001,"Em ajustes",$A$2:$A$5001,"&lt;"&amp;I2060)&gt;0,1,0),0))</f>
        <v/>
      </c>
      <c r="L2060" s="16" t="str">
        <f aca="false">IF(B2060="","",IF(A2060=_xlfn.MAXIFS($A$2:$A$5001,$B$2:$B$5001,B2060,$I$2:$I$5001,I2060),1,0))</f>
        <v/>
      </c>
    </row>
    <row r="2061" customFormat="false" ht="15" hidden="false" customHeight="false" outlineLevel="0" collapsed="false">
      <c r="I2061" s="15" t="str">
        <f aca="false">IF(A2061="","",INT(A2061))</f>
        <v/>
      </c>
      <c r="J2061" s="16" t="str">
        <f aca="false">IF(B2061="","",IF(A2061=_xlfn.MINIFS($A$2:$A$5001,$B$2:$B$5001,B2061),1,0))</f>
        <v/>
      </c>
      <c r="K2061" s="16" t="str">
        <f aca="false">IF(B2061="","",IF(AND(D2061="Formalização",E2061="Concluído"),IF(COUNTIFS($B$2:$B$5001,B2061,$E$2:$E$5001,"Em ajustes",$A$2:$A$5001,"&lt;"&amp;I2061)&gt;0,1,0),0))</f>
        <v/>
      </c>
      <c r="L2061" s="16" t="str">
        <f aca="false">IF(B2061="","",IF(A2061=_xlfn.MAXIFS($A$2:$A$5001,$B$2:$B$5001,B2061,$I$2:$I$5001,I2061),1,0))</f>
        <v/>
      </c>
    </row>
    <row r="2062" customFormat="false" ht="15" hidden="false" customHeight="false" outlineLevel="0" collapsed="false">
      <c r="I2062" s="15" t="str">
        <f aca="false">IF(A2062="","",INT(A2062))</f>
        <v/>
      </c>
      <c r="J2062" s="16" t="str">
        <f aca="false">IF(B2062="","",IF(A2062=_xlfn.MINIFS($A$2:$A$5001,$B$2:$B$5001,B2062),1,0))</f>
        <v/>
      </c>
      <c r="K2062" s="16" t="str">
        <f aca="false">IF(B2062="","",IF(AND(D2062="Formalização",E2062="Concluído"),IF(COUNTIFS($B$2:$B$5001,B2062,$E$2:$E$5001,"Em ajustes",$A$2:$A$5001,"&lt;"&amp;I2062)&gt;0,1,0),0))</f>
        <v/>
      </c>
      <c r="L2062" s="16" t="str">
        <f aca="false">IF(B2062="","",IF(A2062=_xlfn.MAXIFS($A$2:$A$5001,$B$2:$B$5001,B2062,$I$2:$I$5001,I2062),1,0))</f>
        <v/>
      </c>
    </row>
    <row r="2063" customFormat="false" ht="15" hidden="false" customHeight="false" outlineLevel="0" collapsed="false">
      <c r="I2063" s="15" t="str">
        <f aca="false">IF(A2063="","",INT(A2063))</f>
        <v/>
      </c>
      <c r="J2063" s="16" t="str">
        <f aca="false">IF(B2063="","",IF(A2063=_xlfn.MINIFS($A$2:$A$5001,$B$2:$B$5001,B2063),1,0))</f>
        <v/>
      </c>
      <c r="K2063" s="16" t="str">
        <f aca="false">IF(B2063="","",IF(AND(D2063="Formalização",E2063="Concluído"),IF(COUNTIFS($B$2:$B$5001,B2063,$E$2:$E$5001,"Em ajustes",$A$2:$A$5001,"&lt;"&amp;I2063)&gt;0,1,0),0))</f>
        <v/>
      </c>
      <c r="L2063" s="16" t="str">
        <f aca="false">IF(B2063="","",IF(A2063=_xlfn.MAXIFS($A$2:$A$5001,$B$2:$B$5001,B2063,$I$2:$I$5001,I2063),1,0))</f>
        <v/>
      </c>
    </row>
    <row r="2064" customFormat="false" ht="15" hidden="false" customHeight="false" outlineLevel="0" collapsed="false">
      <c r="I2064" s="15" t="str">
        <f aca="false">IF(A2064="","",INT(A2064))</f>
        <v/>
      </c>
      <c r="J2064" s="16" t="str">
        <f aca="false">IF(B2064="","",IF(A2064=_xlfn.MINIFS($A$2:$A$5001,$B$2:$B$5001,B2064),1,0))</f>
        <v/>
      </c>
      <c r="K2064" s="16" t="str">
        <f aca="false">IF(B2064="","",IF(AND(D2064="Formalização",E2064="Concluído"),IF(COUNTIFS($B$2:$B$5001,B2064,$E$2:$E$5001,"Em ajustes",$A$2:$A$5001,"&lt;"&amp;I2064)&gt;0,1,0),0))</f>
        <v/>
      </c>
      <c r="L2064" s="16" t="str">
        <f aca="false">IF(B2064="","",IF(A2064=_xlfn.MAXIFS($A$2:$A$5001,$B$2:$B$5001,B2064,$I$2:$I$5001,I2064),1,0))</f>
        <v/>
      </c>
    </row>
    <row r="2065" customFormat="false" ht="15" hidden="false" customHeight="false" outlineLevel="0" collapsed="false">
      <c r="I2065" s="15" t="str">
        <f aca="false">IF(A2065="","",INT(A2065))</f>
        <v/>
      </c>
      <c r="J2065" s="16" t="str">
        <f aca="false">IF(B2065="","",IF(A2065=_xlfn.MINIFS($A$2:$A$5001,$B$2:$B$5001,B2065),1,0))</f>
        <v/>
      </c>
      <c r="K2065" s="16" t="str">
        <f aca="false">IF(B2065="","",IF(AND(D2065="Formalização",E2065="Concluído"),IF(COUNTIFS($B$2:$B$5001,B2065,$E$2:$E$5001,"Em ajustes",$A$2:$A$5001,"&lt;"&amp;I2065)&gt;0,1,0),0))</f>
        <v/>
      </c>
      <c r="L2065" s="16" t="str">
        <f aca="false">IF(B2065="","",IF(A2065=_xlfn.MAXIFS($A$2:$A$5001,$B$2:$B$5001,B2065,$I$2:$I$5001,I2065),1,0))</f>
        <v/>
      </c>
    </row>
    <row r="2066" customFormat="false" ht="15" hidden="false" customHeight="false" outlineLevel="0" collapsed="false">
      <c r="I2066" s="15" t="str">
        <f aca="false">IF(A2066="","",INT(A2066))</f>
        <v/>
      </c>
      <c r="J2066" s="16" t="str">
        <f aca="false">IF(B2066="","",IF(A2066=_xlfn.MINIFS($A$2:$A$5001,$B$2:$B$5001,B2066),1,0))</f>
        <v/>
      </c>
      <c r="K2066" s="16" t="str">
        <f aca="false">IF(B2066="","",IF(AND(D2066="Formalização",E2066="Concluído"),IF(COUNTIFS($B$2:$B$5001,B2066,$E$2:$E$5001,"Em ajustes",$A$2:$A$5001,"&lt;"&amp;I2066)&gt;0,1,0),0))</f>
        <v/>
      </c>
      <c r="L2066" s="16" t="str">
        <f aca="false">IF(B2066="","",IF(A2066=_xlfn.MAXIFS($A$2:$A$5001,$B$2:$B$5001,B2066,$I$2:$I$5001,I2066),1,0))</f>
        <v/>
      </c>
    </row>
    <row r="2067" customFormat="false" ht="15" hidden="false" customHeight="false" outlineLevel="0" collapsed="false">
      <c r="I2067" s="15" t="str">
        <f aca="false">IF(A2067="","",INT(A2067))</f>
        <v/>
      </c>
      <c r="J2067" s="16" t="str">
        <f aca="false">IF(B2067="","",IF(A2067=_xlfn.MINIFS($A$2:$A$5001,$B$2:$B$5001,B2067),1,0))</f>
        <v/>
      </c>
      <c r="K2067" s="16" t="str">
        <f aca="false">IF(B2067="","",IF(AND(D2067="Formalização",E2067="Concluído"),IF(COUNTIFS($B$2:$B$5001,B2067,$E$2:$E$5001,"Em ajustes",$A$2:$A$5001,"&lt;"&amp;I2067)&gt;0,1,0),0))</f>
        <v/>
      </c>
      <c r="L2067" s="16" t="str">
        <f aca="false">IF(B2067="","",IF(A2067=_xlfn.MAXIFS($A$2:$A$5001,$B$2:$B$5001,B2067,$I$2:$I$5001,I2067),1,0))</f>
        <v/>
      </c>
    </row>
    <row r="2068" customFormat="false" ht="15" hidden="false" customHeight="false" outlineLevel="0" collapsed="false">
      <c r="I2068" s="15" t="str">
        <f aca="false">IF(A2068="","",INT(A2068))</f>
        <v/>
      </c>
      <c r="J2068" s="16" t="str">
        <f aca="false">IF(B2068="","",IF(A2068=_xlfn.MINIFS($A$2:$A$5001,$B$2:$B$5001,B2068),1,0))</f>
        <v/>
      </c>
      <c r="K2068" s="16" t="str">
        <f aca="false">IF(B2068="","",IF(AND(D2068="Formalização",E2068="Concluído"),IF(COUNTIFS($B$2:$B$5001,B2068,$E$2:$E$5001,"Em ajustes",$A$2:$A$5001,"&lt;"&amp;I2068)&gt;0,1,0),0))</f>
        <v/>
      </c>
      <c r="L2068" s="16" t="str">
        <f aca="false">IF(B2068="","",IF(A2068=_xlfn.MAXIFS($A$2:$A$5001,$B$2:$B$5001,B2068,$I$2:$I$5001,I2068),1,0))</f>
        <v/>
      </c>
    </row>
    <row r="2069" customFormat="false" ht="15" hidden="false" customHeight="false" outlineLevel="0" collapsed="false">
      <c r="I2069" s="15" t="str">
        <f aca="false">IF(A2069="","",INT(A2069))</f>
        <v/>
      </c>
      <c r="J2069" s="16" t="str">
        <f aca="false">IF(B2069="","",IF(A2069=_xlfn.MINIFS($A$2:$A$5001,$B$2:$B$5001,B2069),1,0))</f>
        <v/>
      </c>
      <c r="K2069" s="16" t="str">
        <f aca="false">IF(B2069="","",IF(AND(D2069="Formalização",E2069="Concluído"),IF(COUNTIFS($B$2:$B$5001,B2069,$E$2:$E$5001,"Em ajustes",$A$2:$A$5001,"&lt;"&amp;I2069)&gt;0,1,0),0))</f>
        <v/>
      </c>
      <c r="L2069" s="16" t="str">
        <f aca="false">IF(B2069="","",IF(A2069=_xlfn.MAXIFS($A$2:$A$5001,$B$2:$B$5001,B2069,$I$2:$I$5001,I2069),1,0))</f>
        <v/>
      </c>
    </row>
    <row r="2070" customFormat="false" ht="15" hidden="false" customHeight="false" outlineLevel="0" collapsed="false">
      <c r="I2070" s="15" t="str">
        <f aca="false">IF(A2070="","",INT(A2070))</f>
        <v/>
      </c>
      <c r="J2070" s="16" t="str">
        <f aca="false">IF(B2070="","",IF(A2070=_xlfn.MINIFS($A$2:$A$5001,$B$2:$B$5001,B2070),1,0))</f>
        <v/>
      </c>
      <c r="K2070" s="16" t="str">
        <f aca="false">IF(B2070="","",IF(AND(D2070="Formalização",E2070="Concluído"),IF(COUNTIFS($B$2:$B$5001,B2070,$E$2:$E$5001,"Em ajustes",$A$2:$A$5001,"&lt;"&amp;I2070)&gt;0,1,0),0))</f>
        <v/>
      </c>
      <c r="L2070" s="16" t="str">
        <f aca="false">IF(B2070="","",IF(A2070=_xlfn.MAXIFS($A$2:$A$5001,$B$2:$B$5001,B2070,$I$2:$I$5001,I2070),1,0))</f>
        <v/>
      </c>
    </row>
    <row r="2071" customFormat="false" ht="15" hidden="false" customHeight="false" outlineLevel="0" collapsed="false">
      <c r="I2071" s="15" t="str">
        <f aca="false">IF(A2071="","",INT(A2071))</f>
        <v/>
      </c>
      <c r="J2071" s="16" t="str">
        <f aca="false">IF(B2071="","",IF(A2071=_xlfn.MINIFS($A$2:$A$5001,$B$2:$B$5001,B2071),1,0))</f>
        <v/>
      </c>
      <c r="K2071" s="16" t="str">
        <f aca="false">IF(B2071="","",IF(AND(D2071="Formalização",E2071="Concluído"),IF(COUNTIFS($B$2:$B$5001,B2071,$E$2:$E$5001,"Em ajustes",$A$2:$A$5001,"&lt;"&amp;I2071)&gt;0,1,0),0))</f>
        <v/>
      </c>
      <c r="L2071" s="16" t="str">
        <f aca="false">IF(B2071="","",IF(A2071=_xlfn.MAXIFS($A$2:$A$5001,$B$2:$B$5001,B2071,$I$2:$I$5001,I2071),1,0))</f>
        <v/>
      </c>
    </row>
    <row r="2072" customFormat="false" ht="15" hidden="false" customHeight="false" outlineLevel="0" collapsed="false">
      <c r="I2072" s="15" t="str">
        <f aca="false">IF(A2072="","",INT(A2072))</f>
        <v/>
      </c>
      <c r="J2072" s="16" t="str">
        <f aca="false">IF(B2072="","",IF(A2072=_xlfn.MINIFS($A$2:$A$5001,$B$2:$B$5001,B2072),1,0))</f>
        <v/>
      </c>
      <c r="K2072" s="16" t="str">
        <f aca="false">IF(B2072="","",IF(AND(D2072="Formalização",E2072="Concluído"),IF(COUNTIFS($B$2:$B$5001,B2072,$E$2:$E$5001,"Em ajustes",$A$2:$A$5001,"&lt;"&amp;I2072)&gt;0,1,0),0))</f>
        <v/>
      </c>
      <c r="L2072" s="16" t="str">
        <f aca="false">IF(B2072="","",IF(A2072=_xlfn.MAXIFS($A$2:$A$5001,$B$2:$B$5001,B2072,$I$2:$I$5001,I2072),1,0))</f>
        <v/>
      </c>
    </row>
    <row r="2073" customFormat="false" ht="15" hidden="false" customHeight="false" outlineLevel="0" collapsed="false">
      <c r="I2073" s="15" t="str">
        <f aca="false">IF(A2073="","",INT(A2073))</f>
        <v/>
      </c>
      <c r="J2073" s="16" t="str">
        <f aca="false">IF(B2073="","",IF(A2073=_xlfn.MINIFS($A$2:$A$5001,$B$2:$B$5001,B2073),1,0))</f>
        <v/>
      </c>
      <c r="K2073" s="16" t="str">
        <f aca="false">IF(B2073="","",IF(AND(D2073="Formalização",E2073="Concluído"),IF(COUNTIFS($B$2:$B$5001,B2073,$E$2:$E$5001,"Em ajustes",$A$2:$A$5001,"&lt;"&amp;I2073)&gt;0,1,0),0))</f>
        <v/>
      </c>
      <c r="L2073" s="16" t="str">
        <f aca="false">IF(B2073="","",IF(A2073=_xlfn.MAXIFS($A$2:$A$5001,$B$2:$B$5001,B2073,$I$2:$I$5001,I2073),1,0))</f>
        <v/>
      </c>
    </row>
    <row r="2074" customFormat="false" ht="15" hidden="false" customHeight="false" outlineLevel="0" collapsed="false">
      <c r="I2074" s="15" t="str">
        <f aca="false">IF(A2074="","",INT(A2074))</f>
        <v/>
      </c>
      <c r="J2074" s="16" t="str">
        <f aca="false">IF(B2074="","",IF(A2074=_xlfn.MINIFS($A$2:$A$5001,$B$2:$B$5001,B2074),1,0))</f>
        <v/>
      </c>
      <c r="K2074" s="16" t="str">
        <f aca="false">IF(B2074="","",IF(AND(D2074="Formalização",E2074="Concluído"),IF(COUNTIFS($B$2:$B$5001,B2074,$E$2:$E$5001,"Em ajustes",$A$2:$A$5001,"&lt;"&amp;I2074)&gt;0,1,0),0))</f>
        <v/>
      </c>
      <c r="L2074" s="16" t="str">
        <f aca="false">IF(B2074="","",IF(A2074=_xlfn.MAXIFS($A$2:$A$5001,$B$2:$B$5001,B2074,$I$2:$I$5001,I2074),1,0))</f>
        <v/>
      </c>
    </row>
    <row r="2075" customFormat="false" ht="15" hidden="false" customHeight="false" outlineLevel="0" collapsed="false">
      <c r="I2075" s="15" t="str">
        <f aca="false">IF(A2075="","",INT(A2075))</f>
        <v/>
      </c>
      <c r="J2075" s="16" t="str">
        <f aca="false">IF(B2075="","",IF(A2075=_xlfn.MINIFS($A$2:$A$5001,$B$2:$B$5001,B2075),1,0))</f>
        <v/>
      </c>
      <c r="K2075" s="16" t="str">
        <f aca="false">IF(B2075="","",IF(AND(D2075="Formalização",E2075="Concluído"),IF(COUNTIFS($B$2:$B$5001,B2075,$E$2:$E$5001,"Em ajustes",$A$2:$A$5001,"&lt;"&amp;I2075)&gt;0,1,0),0))</f>
        <v/>
      </c>
      <c r="L2075" s="16" t="str">
        <f aca="false">IF(B2075="","",IF(A2075=_xlfn.MAXIFS($A$2:$A$5001,$B$2:$B$5001,B2075,$I$2:$I$5001,I2075),1,0))</f>
        <v/>
      </c>
    </row>
    <row r="2076" customFormat="false" ht="15" hidden="false" customHeight="false" outlineLevel="0" collapsed="false">
      <c r="I2076" s="15" t="str">
        <f aca="false">IF(A2076="","",INT(A2076))</f>
        <v/>
      </c>
      <c r="J2076" s="16" t="str">
        <f aca="false">IF(B2076="","",IF(A2076=_xlfn.MINIFS($A$2:$A$5001,$B$2:$B$5001,B2076),1,0))</f>
        <v/>
      </c>
      <c r="K2076" s="16" t="str">
        <f aca="false">IF(B2076="","",IF(AND(D2076="Formalização",E2076="Concluído"),IF(COUNTIFS($B$2:$B$5001,B2076,$E$2:$E$5001,"Em ajustes",$A$2:$A$5001,"&lt;"&amp;I2076)&gt;0,1,0),0))</f>
        <v/>
      </c>
      <c r="L2076" s="16" t="str">
        <f aca="false">IF(B2076="","",IF(A2076=_xlfn.MAXIFS($A$2:$A$5001,$B$2:$B$5001,B2076,$I$2:$I$5001,I2076),1,0))</f>
        <v/>
      </c>
    </row>
    <row r="2077" customFormat="false" ht="15" hidden="false" customHeight="false" outlineLevel="0" collapsed="false">
      <c r="I2077" s="15" t="str">
        <f aca="false">IF(A2077="","",INT(A2077))</f>
        <v/>
      </c>
      <c r="J2077" s="16" t="str">
        <f aca="false">IF(B2077="","",IF(A2077=_xlfn.MINIFS($A$2:$A$5001,$B$2:$B$5001,B2077),1,0))</f>
        <v/>
      </c>
      <c r="K2077" s="16" t="str">
        <f aca="false">IF(B2077="","",IF(AND(D2077="Formalização",E2077="Concluído"),IF(COUNTIFS($B$2:$B$5001,B2077,$E$2:$E$5001,"Em ajustes",$A$2:$A$5001,"&lt;"&amp;I2077)&gt;0,1,0),0))</f>
        <v/>
      </c>
      <c r="L2077" s="16" t="str">
        <f aca="false">IF(B2077="","",IF(A2077=_xlfn.MAXIFS($A$2:$A$5001,$B$2:$B$5001,B2077,$I$2:$I$5001,I2077),1,0))</f>
        <v/>
      </c>
    </row>
    <row r="2078" customFormat="false" ht="15" hidden="false" customHeight="false" outlineLevel="0" collapsed="false">
      <c r="I2078" s="15" t="str">
        <f aca="false">IF(A2078="","",INT(A2078))</f>
        <v/>
      </c>
      <c r="J2078" s="16" t="str">
        <f aca="false">IF(B2078="","",IF(A2078=_xlfn.MINIFS($A$2:$A$5001,$B$2:$B$5001,B2078),1,0))</f>
        <v/>
      </c>
      <c r="K2078" s="16" t="str">
        <f aca="false">IF(B2078="","",IF(AND(D2078="Formalização",E2078="Concluído"),IF(COUNTIFS($B$2:$B$5001,B2078,$E$2:$E$5001,"Em ajustes",$A$2:$A$5001,"&lt;"&amp;I2078)&gt;0,1,0),0))</f>
        <v/>
      </c>
      <c r="L2078" s="16" t="str">
        <f aca="false">IF(B2078="","",IF(A2078=_xlfn.MAXIFS($A$2:$A$5001,$B$2:$B$5001,B2078,$I$2:$I$5001,I2078),1,0))</f>
        <v/>
      </c>
    </row>
    <row r="2079" customFormat="false" ht="15" hidden="false" customHeight="false" outlineLevel="0" collapsed="false">
      <c r="I2079" s="15" t="str">
        <f aca="false">IF(A2079="","",INT(A2079))</f>
        <v/>
      </c>
      <c r="J2079" s="16" t="str">
        <f aca="false">IF(B2079="","",IF(A2079=_xlfn.MINIFS($A$2:$A$5001,$B$2:$B$5001,B2079),1,0))</f>
        <v/>
      </c>
      <c r="K2079" s="16" t="str">
        <f aca="false">IF(B2079="","",IF(AND(D2079="Formalização",E2079="Concluído"),IF(COUNTIFS($B$2:$B$5001,B2079,$E$2:$E$5001,"Em ajustes",$A$2:$A$5001,"&lt;"&amp;I2079)&gt;0,1,0),0))</f>
        <v/>
      </c>
      <c r="L2079" s="16" t="str">
        <f aca="false">IF(B2079="","",IF(A2079=_xlfn.MAXIFS($A$2:$A$5001,$B$2:$B$5001,B2079,$I$2:$I$5001,I2079),1,0))</f>
        <v/>
      </c>
    </row>
    <row r="2080" customFormat="false" ht="15" hidden="false" customHeight="false" outlineLevel="0" collapsed="false">
      <c r="I2080" s="15" t="str">
        <f aca="false">IF(A2080="","",INT(A2080))</f>
        <v/>
      </c>
      <c r="J2080" s="16" t="str">
        <f aca="false">IF(B2080="","",IF(A2080=_xlfn.MINIFS($A$2:$A$5001,$B$2:$B$5001,B2080),1,0))</f>
        <v/>
      </c>
      <c r="K2080" s="16" t="str">
        <f aca="false">IF(B2080="","",IF(AND(D2080="Formalização",E2080="Concluído"),IF(COUNTIFS($B$2:$B$5001,B2080,$E$2:$E$5001,"Em ajustes",$A$2:$A$5001,"&lt;"&amp;I2080)&gt;0,1,0),0))</f>
        <v/>
      </c>
      <c r="L2080" s="16" t="str">
        <f aca="false">IF(B2080="","",IF(A2080=_xlfn.MAXIFS($A$2:$A$5001,$B$2:$B$5001,B2080,$I$2:$I$5001,I2080),1,0))</f>
        <v/>
      </c>
    </row>
    <row r="2081" customFormat="false" ht="15" hidden="false" customHeight="false" outlineLevel="0" collapsed="false">
      <c r="I2081" s="15" t="str">
        <f aca="false">IF(A2081="","",INT(A2081))</f>
        <v/>
      </c>
      <c r="J2081" s="16" t="str">
        <f aca="false">IF(B2081="","",IF(A2081=_xlfn.MINIFS($A$2:$A$5001,$B$2:$B$5001,B2081),1,0))</f>
        <v/>
      </c>
      <c r="K2081" s="16" t="str">
        <f aca="false">IF(B2081="","",IF(AND(D2081="Formalização",E2081="Concluído"),IF(COUNTIFS($B$2:$B$5001,B2081,$E$2:$E$5001,"Em ajustes",$A$2:$A$5001,"&lt;"&amp;I2081)&gt;0,1,0),0))</f>
        <v/>
      </c>
      <c r="L2081" s="16" t="str">
        <f aca="false">IF(B2081="","",IF(A2081=_xlfn.MAXIFS($A$2:$A$5001,$B$2:$B$5001,B2081,$I$2:$I$5001,I2081),1,0))</f>
        <v/>
      </c>
    </row>
    <row r="2082" customFormat="false" ht="15" hidden="false" customHeight="false" outlineLevel="0" collapsed="false">
      <c r="I2082" s="15" t="str">
        <f aca="false">IF(A2082="","",INT(A2082))</f>
        <v/>
      </c>
      <c r="J2082" s="16" t="str">
        <f aca="false">IF(B2082="","",IF(A2082=_xlfn.MINIFS($A$2:$A$5001,$B$2:$B$5001,B2082),1,0))</f>
        <v/>
      </c>
      <c r="K2082" s="16" t="str">
        <f aca="false">IF(B2082="","",IF(AND(D2082="Formalização",E2082="Concluído"),IF(COUNTIFS($B$2:$B$5001,B2082,$E$2:$E$5001,"Em ajustes",$A$2:$A$5001,"&lt;"&amp;I2082)&gt;0,1,0),0))</f>
        <v/>
      </c>
      <c r="L2082" s="16" t="str">
        <f aca="false">IF(B2082="","",IF(A2082=_xlfn.MAXIFS($A$2:$A$5001,$B$2:$B$5001,B2082,$I$2:$I$5001,I2082),1,0))</f>
        <v/>
      </c>
    </row>
    <row r="2083" customFormat="false" ht="15" hidden="false" customHeight="false" outlineLevel="0" collapsed="false">
      <c r="I2083" s="15" t="str">
        <f aca="false">IF(A2083="","",INT(A2083))</f>
        <v/>
      </c>
      <c r="J2083" s="16" t="str">
        <f aca="false">IF(B2083="","",IF(A2083=_xlfn.MINIFS($A$2:$A$5001,$B$2:$B$5001,B2083),1,0))</f>
        <v/>
      </c>
      <c r="K2083" s="16" t="str">
        <f aca="false">IF(B2083="","",IF(AND(D2083="Formalização",E2083="Concluído"),IF(COUNTIFS($B$2:$B$5001,B2083,$E$2:$E$5001,"Em ajustes",$A$2:$A$5001,"&lt;"&amp;I2083)&gt;0,1,0),0))</f>
        <v/>
      </c>
      <c r="L2083" s="16" t="str">
        <f aca="false">IF(B2083="","",IF(A2083=_xlfn.MAXIFS($A$2:$A$5001,$B$2:$B$5001,B2083,$I$2:$I$5001,I2083),1,0))</f>
        <v/>
      </c>
    </row>
    <row r="2084" customFormat="false" ht="15" hidden="false" customHeight="false" outlineLevel="0" collapsed="false">
      <c r="I2084" s="15" t="str">
        <f aca="false">IF(A2084="","",INT(A2084))</f>
        <v/>
      </c>
      <c r="J2084" s="16" t="str">
        <f aca="false">IF(B2084="","",IF(A2084=_xlfn.MINIFS($A$2:$A$5001,$B$2:$B$5001,B2084),1,0))</f>
        <v/>
      </c>
      <c r="K2084" s="16" t="str">
        <f aca="false">IF(B2084="","",IF(AND(D2084="Formalização",E2084="Concluído"),IF(COUNTIFS($B$2:$B$5001,B2084,$E$2:$E$5001,"Em ajustes",$A$2:$A$5001,"&lt;"&amp;I2084)&gt;0,1,0),0))</f>
        <v/>
      </c>
      <c r="L2084" s="16" t="str">
        <f aca="false">IF(B2084="","",IF(A2084=_xlfn.MAXIFS($A$2:$A$5001,$B$2:$B$5001,B2084,$I$2:$I$5001,I2084),1,0))</f>
        <v/>
      </c>
    </row>
    <row r="2085" customFormat="false" ht="15" hidden="false" customHeight="false" outlineLevel="0" collapsed="false">
      <c r="I2085" s="15" t="str">
        <f aca="false">IF(A2085="","",INT(A2085))</f>
        <v/>
      </c>
      <c r="J2085" s="16" t="str">
        <f aca="false">IF(B2085="","",IF(A2085=_xlfn.MINIFS($A$2:$A$5001,$B$2:$B$5001,B2085),1,0))</f>
        <v/>
      </c>
      <c r="K2085" s="16" t="str">
        <f aca="false">IF(B2085="","",IF(AND(D2085="Formalização",E2085="Concluído"),IF(COUNTIFS($B$2:$B$5001,B2085,$E$2:$E$5001,"Em ajustes",$A$2:$A$5001,"&lt;"&amp;I2085)&gt;0,1,0),0))</f>
        <v/>
      </c>
      <c r="L2085" s="16" t="str">
        <f aca="false">IF(B2085="","",IF(A2085=_xlfn.MAXIFS($A$2:$A$5001,$B$2:$B$5001,B2085,$I$2:$I$5001,I2085),1,0))</f>
        <v/>
      </c>
    </row>
    <row r="2086" customFormat="false" ht="15" hidden="false" customHeight="false" outlineLevel="0" collapsed="false">
      <c r="I2086" s="15" t="str">
        <f aca="false">IF(A2086="","",INT(A2086))</f>
        <v/>
      </c>
      <c r="J2086" s="16" t="str">
        <f aca="false">IF(B2086="","",IF(A2086=_xlfn.MINIFS($A$2:$A$5001,$B$2:$B$5001,B2086),1,0))</f>
        <v/>
      </c>
      <c r="K2086" s="16" t="str">
        <f aca="false">IF(B2086="","",IF(AND(D2086="Formalização",E2086="Concluído"),IF(COUNTIFS($B$2:$B$5001,B2086,$E$2:$E$5001,"Em ajustes",$A$2:$A$5001,"&lt;"&amp;I2086)&gt;0,1,0),0))</f>
        <v/>
      </c>
      <c r="L2086" s="16" t="str">
        <f aca="false">IF(B2086="","",IF(A2086=_xlfn.MAXIFS($A$2:$A$5001,$B$2:$B$5001,B2086,$I$2:$I$5001,I2086),1,0))</f>
        <v/>
      </c>
    </row>
    <row r="2087" customFormat="false" ht="15" hidden="false" customHeight="false" outlineLevel="0" collapsed="false">
      <c r="I2087" s="15" t="str">
        <f aca="false">IF(A2087="","",INT(A2087))</f>
        <v/>
      </c>
      <c r="J2087" s="16" t="str">
        <f aca="false">IF(B2087="","",IF(A2087=_xlfn.MINIFS($A$2:$A$5001,$B$2:$B$5001,B2087),1,0))</f>
        <v/>
      </c>
      <c r="K2087" s="16" t="str">
        <f aca="false">IF(B2087="","",IF(AND(D2087="Formalização",E2087="Concluído"),IF(COUNTIFS($B$2:$B$5001,B2087,$E$2:$E$5001,"Em ajustes",$A$2:$A$5001,"&lt;"&amp;I2087)&gt;0,1,0),0))</f>
        <v/>
      </c>
      <c r="L2087" s="16" t="str">
        <f aca="false">IF(B2087="","",IF(A2087=_xlfn.MAXIFS($A$2:$A$5001,$B$2:$B$5001,B2087,$I$2:$I$5001,I2087),1,0))</f>
        <v/>
      </c>
    </row>
    <row r="2088" customFormat="false" ht="15" hidden="false" customHeight="false" outlineLevel="0" collapsed="false">
      <c r="I2088" s="15" t="str">
        <f aca="false">IF(A2088="","",INT(A2088))</f>
        <v/>
      </c>
      <c r="J2088" s="16" t="str">
        <f aca="false">IF(B2088="","",IF(A2088=_xlfn.MINIFS($A$2:$A$5001,$B$2:$B$5001,B2088),1,0))</f>
        <v/>
      </c>
      <c r="K2088" s="16" t="str">
        <f aca="false">IF(B2088="","",IF(AND(D2088="Formalização",E2088="Concluído"),IF(COUNTIFS($B$2:$B$5001,B2088,$E$2:$E$5001,"Em ajustes",$A$2:$A$5001,"&lt;"&amp;I2088)&gt;0,1,0),0))</f>
        <v/>
      </c>
      <c r="L2088" s="16" t="str">
        <f aca="false">IF(B2088="","",IF(A2088=_xlfn.MAXIFS($A$2:$A$5001,$B$2:$B$5001,B2088,$I$2:$I$5001,I2088),1,0))</f>
        <v/>
      </c>
    </row>
    <row r="2089" customFormat="false" ht="15" hidden="false" customHeight="false" outlineLevel="0" collapsed="false">
      <c r="I2089" s="15" t="str">
        <f aca="false">IF(A2089="","",INT(A2089))</f>
        <v/>
      </c>
      <c r="J2089" s="16" t="str">
        <f aca="false">IF(B2089="","",IF(A2089=_xlfn.MINIFS($A$2:$A$5001,$B$2:$B$5001,B2089),1,0))</f>
        <v/>
      </c>
      <c r="K2089" s="16" t="str">
        <f aca="false">IF(B2089="","",IF(AND(D2089="Formalização",E2089="Concluído"),IF(COUNTIFS($B$2:$B$5001,B2089,$E$2:$E$5001,"Em ajustes",$A$2:$A$5001,"&lt;"&amp;I2089)&gt;0,1,0),0))</f>
        <v/>
      </c>
      <c r="L2089" s="16" t="str">
        <f aca="false">IF(B2089="","",IF(A2089=_xlfn.MAXIFS($A$2:$A$5001,$B$2:$B$5001,B2089,$I$2:$I$5001,I2089),1,0))</f>
        <v/>
      </c>
    </row>
    <row r="2090" customFormat="false" ht="15" hidden="false" customHeight="false" outlineLevel="0" collapsed="false">
      <c r="I2090" s="15" t="str">
        <f aca="false">IF(A2090="","",INT(A2090))</f>
        <v/>
      </c>
      <c r="J2090" s="16" t="str">
        <f aca="false">IF(B2090="","",IF(A2090=_xlfn.MINIFS($A$2:$A$5001,$B$2:$B$5001,B2090),1,0))</f>
        <v/>
      </c>
      <c r="K2090" s="16" t="str">
        <f aca="false">IF(B2090="","",IF(AND(D2090="Formalização",E2090="Concluído"),IF(COUNTIFS($B$2:$B$5001,B2090,$E$2:$E$5001,"Em ajustes",$A$2:$A$5001,"&lt;"&amp;I2090)&gt;0,1,0),0))</f>
        <v/>
      </c>
      <c r="L2090" s="16" t="str">
        <f aca="false">IF(B2090="","",IF(A2090=_xlfn.MAXIFS($A$2:$A$5001,$B$2:$B$5001,B2090,$I$2:$I$5001,I2090),1,0))</f>
        <v/>
      </c>
    </row>
    <row r="2091" customFormat="false" ht="15" hidden="false" customHeight="false" outlineLevel="0" collapsed="false">
      <c r="I2091" s="15" t="str">
        <f aca="false">IF(A2091="","",INT(A2091))</f>
        <v/>
      </c>
      <c r="J2091" s="16" t="str">
        <f aca="false">IF(B2091="","",IF(A2091=_xlfn.MINIFS($A$2:$A$5001,$B$2:$B$5001,B2091),1,0))</f>
        <v/>
      </c>
      <c r="K2091" s="16" t="str">
        <f aca="false">IF(B2091="","",IF(AND(D2091="Formalização",E2091="Concluído"),IF(COUNTIFS($B$2:$B$5001,B2091,$E$2:$E$5001,"Em ajustes",$A$2:$A$5001,"&lt;"&amp;I2091)&gt;0,1,0),0))</f>
        <v/>
      </c>
      <c r="L2091" s="16" t="str">
        <f aca="false">IF(B2091="","",IF(A2091=_xlfn.MAXIFS($A$2:$A$5001,$B$2:$B$5001,B2091,$I$2:$I$5001,I2091),1,0))</f>
        <v/>
      </c>
    </row>
    <row r="2092" customFormat="false" ht="15" hidden="false" customHeight="false" outlineLevel="0" collapsed="false">
      <c r="I2092" s="15" t="str">
        <f aca="false">IF(A2092="","",INT(A2092))</f>
        <v/>
      </c>
      <c r="J2092" s="16" t="str">
        <f aca="false">IF(B2092="","",IF(A2092=_xlfn.MINIFS($A$2:$A$5001,$B$2:$B$5001,B2092),1,0))</f>
        <v/>
      </c>
      <c r="K2092" s="16" t="str">
        <f aca="false">IF(B2092="","",IF(AND(D2092="Formalização",E2092="Concluído"),IF(COUNTIFS($B$2:$B$5001,B2092,$E$2:$E$5001,"Em ajustes",$A$2:$A$5001,"&lt;"&amp;I2092)&gt;0,1,0),0))</f>
        <v/>
      </c>
      <c r="L2092" s="16" t="str">
        <f aca="false">IF(B2092="","",IF(A2092=_xlfn.MAXIFS($A$2:$A$5001,$B$2:$B$5001,B2092,$I$2:$I$5001,I2092),1,0))</f>
        <v/>
      </c>
    </row>
    <row r="2093" customFormat="false" ht="15" hidden="false" customHeight="false" outlineLevel="0" collapsed="false">
      <c r="I2093" s="15" t="str">
        <f aca="false">IF(A2093="","",INT(A2093))</f>
        <v/>
      </c>
      <c r="J2093" s="16" t="str">
        <f aca="false">IF(B2093="","",IF(A2093=_xlfn.MINIFS($A$2:$A$5001,$B$2:$B$5001,B2093),1,0))</f>
        <v/>
      </c>
      <c r="K2093" s="16" t="str">
        <f aca="false">IF(B2093="","",IF(AND(D2093="Formalização",E2093="Concluído"),IF(COUNTIFS($B$2:$B$5001,B2093,$E$2:$E$5001,"Em ajustes",$A$2:$A$5001,"&lt;"&amp;I2093)&gt;0,1,0),0))</f>
        <v/>
      </c>
      <c r="L2093" s="16" t="str">
        <f aca="false">IF(B2093="","",IF(A2093=_xlfn.MAXIFS($A$2:$A$5001,$B$2:$B$5001,B2093,$I$2:$I$5001,I2093),1,0))</f>
        <v/>
      </c>
    </row>
    <row r="2094" customFormat="false" ht="15" hidden="false" customHeight="false" outlineLevel="0" collapsed="false">
      <c r="I2094" s="15" t="str">
        <f aca="false">IF(A2094="","",INT(A2094))</f>
        <v/>
      </c>
      <c r="J2094" s="16" t="str">
        <f aca="false">IF(B2094="","",IF(A2094=_xlfn.MINIFS($A$2:$A$5001,$B$2:$B$5001,B2094),1,0))</f>
        <v/>
      </c>
      <c r="K2094" s="16" t="str">
        <f aca="false">IF(B2094="","",IF(AND(D2094="Formalização",E2094="Concluído"),IF(COUNTIFS($B$2:$B$5001,B2094,$E$2:$E$5001,"Em ajustes",$A$2:$A$5001,"&lt;"&amp;I2094)&gt;0,1,0),0))</f>
        <v/>
      </c>
      <c r="L2094" s="16" t="str">
        <f aca="false">IF(B2094="","",IF(A2094=_xlfn.MAXIFS($A$2:$A$5001,$B$2:$B$5001,B2094,$I$2:$I$5001,I2094),1,0))</f>
        <v/>
      </c>
    </row>
    <row r="2095" customFormat="false" ht="15" hidden="false" customHeight="false" outlineLevel="0" collapsed="false">
      <c r="I2095" s="15" t="str">
        <f aca="false">IF(A2095="","",INT(A2095))</f>
        <v/>
      </c>
      <c r="J2095" s="16" t="str">
        <f aca="false">IF(B2095="","",IF(A2095=_xlfn.MINIFS($A$2:$A$5001,$B$2:$B$5001,B2095),1,0))</f>
        <v/>
      </c>
      <c r="K2095" s="16" t="str">
        <f aca="false">IF(B2095="","",IF(AND(D2095="Formalização",E2095="Concluído"),IF(COUNTIFS($B$2:$B$5001,B2095,$E$2:$E$5001,"Em ajustes",$A$2:$A$5001,"&lt;"&amp;I2095)&gt;0,1,0),0))</f>
        <v/>
      </c>
      <c r="L2095" s="16" t="str">
        <f aca="false">IF(B2095="","",IF(A2095=_xlfn.MAXIFS($A$2:$A$5001,$B$2:$B$5001,B2095,$I$2:$I$5001,I2095),1,0))</f>
        <v/>
      </c>
    </row>
    <row r="2096" customFormat="false" ht="15" hidden="false" customHeight="false" outlineLevel="0" collapsed="false">
      <c r="I2096" s="15" t="str">
        <f aca="false">IF(A2096="","",INT(A2096))</f>
        <v/>
      </c>
      <c r="J2096" s="16" t="str">
        <f aca="false">IF(B2096="","",IF(A2096=_xlfn.MINIFS($A$2:$A$5001,$B$2:$B$5001,B2096),1,0))</f>
        <v/>
      </c>
      <c r="K2096" s="16" t="str">
        <f aca="false">IF(B2096="","",IF(AND(D2096="Formalização",E2096="Concluído"),IF(COUNTIFS($B$2:$B$5001,B2096,$E$2:$E$5001,"Em ajustes",$A$2:$A$5001,"&lt;"&amp;I2096)&gt;0,1,0),0))</f>
        <v/>
      </c>
      <c r="L2096" s="16" t="str">
        <f aca="false">IF(B2096="","",IF(A2096=_xlfn.MAXIFS($A$2:$A$5001,$B$2:$B$5001,B2096,$I$2:$I$5001,I2096),1,0))</f>
        <v/>
      </c>
    </row>
    <row r="2097" customFormat="false" ht="15" hidden="false" customHeight="false" outlineLevel="0" collapsed="false">
      <c r="I2097" s="15" t="str">
        <f aca="false">IF(A2097="","",INT(A2097))</f>
        <v/>
      </c>
      <c r="J2097" s="16" t="str">
        <f aca="false">IF(B2097="","",IF(A2097=_xlfn.MINIFS($A$2:$A$5001,$B$2:$B$5001,B2097),1,0))</f>
        <v/>
      </c>
      <c r="K2097" s="16" t="str">
        <f aca="false">IF(B2097="","",IF(AND(D2097="Formalização",E2097="Concluído"),IF(COUNTIFS($B$2:$B$5001,B2097,$E$2:$E$5001,"Em ajustes",$A$2:$A$5001,"&lt;"&amp;I2097)&gt;0,1,0),0))</f>
        <v/>
      </c>
      <c r="L2097" s="16" t="str">
        <f aca="false">IF(B2097="","",IF(A2097=_xlfn.MAXIFS($A$2:$A$5001,$B$2:$B$5001,B2097,$I$2:$I$5001,I2097),1,0))</f>
        <v/>
      </c>
    </row>
    <row r="2098" customFormat="false" ht="15" hidden="false" customHeight="false" outlineLevel="0" collapsed="false">
      <c r="I2098" s="15" t="str">
        <f aca="false">IF(A2098="","",INT(A2098))</f>
        <v/>
      </c>
      <c r="J2098" s="16" t="str">
        <f aca="false">IF(B2098="","",IF(A2098=_xlfn.MINIFS($A$2:$A$5001,$B$2:$B$5001,B2098),1,0))</f>
        <v/>
      </c>
      <c r="K2098" s="16" t="str">
        <f aca="false">IF(B2098="","",IF(AND(D2098="Formalização",E2098="Concluído"),IF(COUNTIFS($B$2:$B$5001,B2098,$E$2:$E$5001,"Em ajustes",$A$2:$A$5001,"&lt;"&amp;I2098)&gt;0,1,0),0))</f>
        <v/>
      </c>
      <c r="L2098" s="16" t="str">
        <f aca="false">IF(B2098="","",IF(A2098=_xlfn.MAXIFS($A$2:$A$5001,$B$2:$B$5001,B2098,$I$2:$I$5001,I2098),1,0))</f>
        <v/>
      </c>
    </row>
    <row r="2099" customFormat="false" ht="15" hidden="false" customHeight="false" outlineLevel="0" collapsed="false">
      <c r="I2099" s="15" t="str">
        <f aca="false">IF(A2099="","",INT(A2099))</f>
        <v/>
      </c>
      <c r="J2099" s="16" t="str">
        <f aca="false">IF(B2099="","",IF(A2099=_xlfn.MINIFS($A$2:$A$5001,$B$2:$B$5001,B2099),1,0))</f>
        <v/>
      </c>
      <c r="K2099" s="16" t="str">
        <f aca="false">IF(B2099="","",IF(AND(D2099="Formalização",E2099="Concluído"),IF(COUNTIFS($B$2:$B$5001,B2099,$E$2:$E$5001,"Em ajustes",$A$2:$A$5001,"&lt;"&amp;I2099)&gt;0,1,0),0))</f>
        <v/>
      </c>
      <c r="L2099" s="16" t="str">
        <f aca="false">IF(B2099="","",IF(A2099=_xlfn.MAXIFS($A$2:$A$5001,$B$2:$B$5001,B2099,$I$2:$I$5001,I2099),1,0))</f>
        <v/>
      </c>
    </row>
    <row r="2100" customFormat="false" ht="15" hidden="false" customHeight="false" outlineLevel="0" collapsed="false">
      <c r="I2100" s="15" t="str">
        <f aca="false">IF(A2100="","",INT(A2100))</f>
        <v/>
      </c>
      <c r="J2100" s="16" t="str">
        <f aca="false">IF(B2100="","",IF(A2100=_xlfn.MINIFS($A$2:$A$5001,$B$2:$B$5001,B2100),1,0))</f>
        <v/>
      </c>
      <c r="K2100" s="16" t="str">
        <f aca="false">IF(B2100="","",IF(AND(D2100="Formalização",E2100="Concluído"),IF(COUNTIFS($B$2:$B$5001,B2100,$E$2:$E$5001,"Em ajustes",$A$2:$A$5001,"&lt;"&amp;I2100)&gt;0,1,0),0))</f>
        <v/>
      </c>
      <c r="L2100" s="16" t="str">
        <f aca="false">IF(B2100="","",IF(A2100=_xlfn.MAXIFS($A$2:$A$5001,$B$2:$B$5001,B2100,$I$2:$I$5001,I2100),1,0))</f>
        <v/>
      </c>
    </row>
    <row r="2101" customFormat="false" ht="15" hidden="false" customHeight="false" outlineLevel="0" collapsed="false">
      <c r="I2101" s="15" t="str">
        <f aca="false">IF(A2101="","",INT(A2101))</f>
        <v/>
      </c>
      <c r="J2101" s="16" t="str">
        <f aca="false">IF(B2101="","",IF(A2101=_xlfn.MINIFS($A$2:$A$5001,$B$2:$B$5001,B2101),1,0))</f>
        <v/>
      </c>
      <c r="K2101" s="16" t="str">
        <f aca="false">IF(B2101="","",IF(AND(D2101="Formalização",E2101="Concluído"),IF(COUNTIFS($B$2:$B$5001,B2101,$E$2:$E$5001,"Em ajustes",$A$2:$A$5001,"&lt;"&amp;I2101)&gt;0,1,0),0))</f>
        <v/>
      </c>
      <c r="L2101" s="16" t="str">
        <f aca="false">IF(B2101="","",IF(A2101=_xlfn.MAXIFS($A$2:$A$5001,$B$2:$B$5001,B2101,$I$2:$I$5001,I2101),1,0))</f>
        <v/>
      </c>
    </row>
    <row r="2102" customFormat="false" ht="15" hidden="false" customHeight="false" outlineLevel="0" collapsed="false">
      <c r="I2102" s="15" t="str">
        <f aca="false">IF(A2102="","",INT(A2102))</f>
        <v/>
      </c>
      <c r="J2102" s="16" t="str">
        <f aca="false">IF(B2102="","",IF(A2102=_xlfn.MINIFS($A$2:$A$5001,$B$2:$B$5001,B2102),1,0))</f>
        <v/>
      </c>
      <c r="K2102" s="16" t="str">
        <f aca="false">IF(B2102="","",IF(AND(D2102="Formalização",E2102="Concluído"),IF(COUNTIFS($B$2:$B$5001,B2102,$E$2:$E$5001,"Em ajustes",$A$2:$A$5001,"&lt;"&amp;I2102)&gt;0,1,0),0))</f>
        <v/>
      </c>
      <c r="L2102" s="16" t="str">
        <f aca="false">IF(B2102="","",IF(A2102=_xlfn.MAXIFS($A$2:$A$5001,$B$2:$B$5001,B2102,$I$2:$I$5001,I2102),1,0))</f>
        <v/>
      </c>
    </row>
    <row r="2103" customFormat="false" ht="15" hidden="false" customHeight="false" outlineLevel="0" collapsed="false">
      <c r="I2103" s="15" t="str">
        <f aca="false">IF(A2103="","",INT(A2103))</f>
        <v/>
      </c>
      <c r="J2103" s="16" t="str">
        <f aca="false">IF(B2103="","",IF(A2103=_xlfn.MINIFS($A$2:$A$5001,$B$2:$B$5001,B2103),1,0))</f>
        <v/>
      </c>
      <c r="K2103" s="16" t="str">
        <f aca="false">IF(B2103="","",IF(AND(D2103="Formalização",E2103="Concluído"),IF(COUNTIFS($B$2:$B$5001,B2103,$E$2:$E$5001,"Em ajustes",$A$2:$A$5001,"&lt;"&amp;I2103)&gt;0,1,0),0))</f>
        <v/>
      </c>
      <c r="L2103" s="16" t="str">
        <f aca="false">IF(B2103="","",IF(A2103=_xlfn.MAXIFS($A$2:$A$5001,$B$2:$B$5001,B2103,$I$2:$I$5001,I2103),1,0))</f>
        <v/>
      </c>
    </row>
    <row r="2104" customFormat="false" ht="15" hidden="false" customHeight="false" outlineLevel="0" collapsed="false">
      <c r="I2104" s="15" t="str">
        <f aca="false">IF(A2104="","",INT(A2104))</f>
        <v/>
      </c>
      <c r="J2104" s="16" t="str">
        <f aca="false">IF(B2104="","",IF(A2104=_xlfn.MINIFS($A$2:$A$5001,$B$2:$B$5001,B2104),1,0))</f>
        <v/>
      </c>
      <c r="K2104" s="16" t="str">
        <f aca="false">IF(B2104="","",IF(AND(D2104="Formalização",E2104="Concluído"),IF(COUNTIFS($B$2:$B$5001,B2104,$E$2:$E$5001,"Em ajustes",$A$2:$A$5001,"&lt;"&amp;I2104)&gt;0,1,0),0))</f>
        <v/>
      </c>
      <c r="L2104" s="16" t="str">
        <f aca="false">IF(B2104="","",IF(A2104=_xlfn.MAXIFS($A$2:$A$5001,$B$2:$B$5001,B2104,$I$2:$I$5001,I2104),1,0))</f>
        <v/>
      </c>
    </row>
    <row r="2105" customFormat="false" ht="15" hidden="false" customHeight="false" outlineLevel="0" collapsed="false">
      <c r="I2105" s="15" t="str">
        <f aca="false">IF(A2105="","",INT(A2105))</f>
        <v/>
      </c>
      <c r="J2105" s="16" t="str">
        <f aca="false">IF(B2105="","",IF(A2105=_xlfn.MINIFS($A$2:$A$5001,$B$2:$B$5001,B2105),1,0))</f>
        <v/>
      </c>
      <c r="K2105" s="16" t="str">
        <f aca="false">IF(B2105="","",IF(AND(D2105="Formalização",E2105="Concluído"),IF(COUNTIFS($B$2:$B$5001,B2105,$E$2:$E$5001,"Em ajustes",$A$2:$A$5001,"&lt;"&amp;I2105)&gt;0,1,0),0))</f>
        <v/>
      </c>
      <c r="L2105" s="16" t="str">
        <f aca="false">IF(B2105="","",IF(A2105=_xlfn.MAXIFS($A$2:$A$5001,$B$2:$B$5001,B2105,$I$2:$I$5001,I2105),1,0))</f>
        <v/>
      </c>
    </row>
    <row r="2106" customFormat="false" ht="15" hidden="false" customHeight="false" outlineLevel="0" collapsed="false">
      <c r="I2106" s="15" t="str">
        <f aca="false">IF(A2106="","",INT(A2106))</f>
        <v/>
      </c>
      <c r="J2106" s="16" t="str">
        <f aca="false">IF(B2106="","",IF(A2106=_xlfn.MINIFS($A$2:$A$5001,$B$2:$B$5001,B2106),1,0))</f>
        <v/>
      </c>
      <c r="K2106" s="16" t="str">
        <f aca="false">IF(B2106="","",IF(AND(D2106="Formalização",E2106="Concluído"),IF(COUNTIFS($B$2:$B$5001,B2106,$E$2:$E$5001,"Em ajustes",$A$2:$A$5001,"&lt;"&amp;I2106)&gt;0,1,0),0))</f>
        <v/>
      </c>
      <c r="L2106" s="16" t="str">
        <f aca="false">IF(B2106="","",IF(A2106=_xlfn.MAXIFS($A$2:$A$5001,$B$2:$B$5001,B2106,$I$2:$I$5001,I2106),1,0))</f>
        <v/>
      </c>
    </row>
    <row r="2107" customFormat="false" ht="15" hidden="false" customHeight="false" outlineLevel="0" collapsed="false">
      <c r="I2107" s="15" t="str">
        <f aca="false">IF(A2107="","",INT(A2107))</f>
        <v/>
      </c>
      <c r="J2107" s="16" t="str">
        <f aca="false">IF(B2107="","",IF(A2107=_xlfn.MINIFS($A$2:$A$5001,$B$2:$B$5001,B2107),1,0))</f>
        <v/>
      </c>
      <c r="K2107" s="16" t="str">
        <f aca="false">IF(B2107="","",IF(AND(D2107="Formalização",E2107="Concluído"),IF(COUNTIFS($B$2:$B$5001,B2107,$E$2:$E$5001,"Em ajustes",$A$2:$A$5001,"&lt;"&amp;I2107)&gt;0,1,0),0))</f>
        <v/>
      </c>
      <c r="L2107" s="16" t="str">
        <f aca="false">IF(B2107="","",IF(A2107=_xlfn.MAXIFS($A$2:$A$5001,$B$2:$B$5001,B2107,$I$2:$I$5001,I2107),1,0))</f>
        <v/>
      </c>
    </row>
    <row r="2108" customFormat="false" ht="15" hidden="false" customHeight="false" outlineLevel="0" collapsed="false">
      <c r="I2108" s="15" t="str">
        <f aca="false">IF(A2108="","",INT(A2108))</f>
        <v/>
      </c>
      <c r="J2108" s="16" t="str">
        <f aca="false">IF(B2108="","",IF(A2108=_xlfn.MINIFS($A$2:$A$5001,$B$2:$B$5001,B2108),1,0))</f>
        <v/>
      </c>
      <c r="K2108" s="16" t="str">
        <f aca="false">IF(B2108="","",IF(AND(D2108="Formalização",E2108="Concluído"),IF(COUNTIFS($B$2:$B$5001,B2108,$E$2:$E$5001,"Em ajustes",$A$2:$A$5001,"&lt;"&amp;I2108)&gt;0,1,0),0))</f>
        <v/>
      </c>
      <c r="L2108" s="16" t="str">
        <f aca="false">IF(B2108="","",IF(A2108=_xlfn.MAXIFS($A$2:$A$5001,$B$2:$B$5001,B2108,$I$2:$I$5001,I2108),1,0))</f>
        <v/>
      </c>
    </row>
    <row r="2109" customFormat="false" ht="15" hidden="false" customHeight="false" outlineLevel="0" collapsed="false">
      <c r="I2109" s="15" t="str">
        <f aca="false">IF(A2109="","",INT(A2109))</f>
        <v/>
      </c>
      <c r="J2109" s="16" t="str">
        <f aca="false">IF(B2109="","",IF(A2109=_xlfn.MINIFS($A$2:$A$5001,$B$2:$B$5001,B2109),1,0))</f>
        <v/>
      </c>
      <c r="K2109" s="16" t="str">
        <f aca="false">IF(B2109="","",IF(AND(D2109="Formalização",E2109="Concluído"),IF(COUNTIFS($B$2:$B$5001,B2109,$E$2:$E$5001,"Em ajustes",$A$2:$A$5001,"&lt;"&amp;I2109)&gt;0,1,0),0))</f>
        <v/>
      </c>
      <c r="L2109" s="16" t="str">
        <f aca="false">IF(B2109="","",IF(A2109=_xlfn.MAXIFS($A$2:$A$5001,$B$2:$B$5001,B2109,$I$2:$I$5001,I2109),1,0))</f>
        <v/>
      </c>
    </row>
    <row r="2110" customFormat="false" ht="15" hidden="false" customHeight="false" outlineLevel="0" collapsed="false">
      <c r="I2110" s="15" t="str">
        <f aca="false">IF(A2110="","",INT(A2110))</f>
        <v/>
      </c>
      <c r="J2110" s="16" t="str">
        <f aca="false">IF(B2110="","",IF(A2110=_xlfn.MINIFS($A$2:$A$5001,$B$2:$B$5001,B2110),1,0))</f>
        <v/>
      </c>
      <c r="K2110" s="16" t="str">
        <f aca="false">IF(B2110="","",IF(AND(D2110="Formalização",E2110="Concluído"),IF(COUNTIFS($B$2:$B$5001,B2110,$E$2:$E$5001,"Em ajustes",$A$2:$A$5001,"&lt;"&amp;I2110)&gt;0,1,0),0))</f>
        <v/>
      </c>
      <c r="L2110" s="16" t="str">
        <f aca="false">IF(B2110="","",IF(A2110=_xlfn.MAXIFS($A$2:$A$5001,$B$2:$B$5001,B2110,$I$2:$I$5001,I2110),1,0))</f>
        <v/>
      </c>
    </row>
    <row r="2111" customFormat="false" ht="15" hidden="false" customHeight="false" outlineLevel="0" collapsed="false">
      <c r="I2111" s="15" t="str">
        <f aca="false">IF(A2111="","",INT(A2111))</f>
        <v/>
      </c>
      <c r="J2111" s="16" t="str">
        <f aca="false">IF(B2111="","",IF(A2111=_xlfn.MINIFS($A$2:$A$5001,$B$2:$B$5001,B2111),1,0))</f>
        <v/>
      </c>
      <c r="K2111" s="16" t="str">
        <f aca="false">IF(B2111="","",IF(AND(D2111="Formalização",E2111="Concluído"),IF(COUNTIFS($B$2:$B$5001,B2111,$E$2:$E$5001,"Em ajustes",$A$2:$A$5001,"&lt;"&amp;I2111)&gt;0,1,0),0))</f>
        <v/>
      </c>
      <c r="L2111" s="16" t="str">
        <f aca="false">IF(B2111="","",IF(A2111=_xlfn.MAXIFS($A$2:$A$5001,$B$2:$B$5001,B2111,$I$2:$I$5001,I2111),1,0))</f>
        <v/>
      </c>
    </row>
    <row r="2112" customFormat="false" ht="15" hidden="false" customHeight="false" outlineLevel="0" collapsed="false">
      <c r="I2112" s="15" t="str">
        <f aca="false">IF(A2112="","",INT(A2112))</f>
        <v/>
      </c>
      <c r="J2112" s="16" t="str">
        <f aca="false">IF(B2112="","",IF(A2112=_xlfn.MINIFS($A$2:$A$5001,$B$2:$B$5001,B2112),1,0))</f>
        <v/>
      </c>
      <c r="K2112" s="16" t="str">
        <f aca="false">IF(B2112="","",IF(AND(D2112="Formalização",E2112="Concluído"),IF(COUNTIFS($B$2:$B$5001,B2112,$E$2:$E$5001,"Em ajustes",$A$2:$A$5001,"&lt;"&amp;I2112)&gt;0,1,0),0))</f>
        <v/>
      </c>
      <c r="L2112" s="16" t="str">
        <f aca="false">IF(B2112="","",IF(A2112=_xlfn.MAXIFS($A$2:$A$5001,$B$2:$B$5001,B2112,$I$2:$I$5001,I2112),1,0))</f>
        <v/>
      </c>
    </row>
    <row r="2113" customFormat="false" ht="15" hidden="false" customHeight="false" outlineLevel="0" collapsed="false">
      <c r="I2113" s="15" t="str">
        <f aca="false">IF(A2113="","",INT(A2113))</f>
        <v/>
      </c>
      <c r="J2113" s="16" t="str">
        <f aca="false">IF(B2113="","",IF(A2113=_xlfn.MINIFS($A$2:$A$5001,$B$2:$B$5001,B2113),1,0))</f>
        <v/>
      </c>
      <c r="K2113" s="16" t="str">
        <f aca="false">IF(B2113="","",IF(AND(D2113="Formalização",E2113="Concluído"),IF(COUNTIFS($B$2:$B$5001,B2113,$E$2:$E$5001,"Em ajustes",$A$2:$A$5001,"&lt;"&amp;I2113)&gt;0,1,0),0))</f>
        <v/>
      </c>
      <c r="L2113" s="16" t="str">
        <f aca="false">IF(B2113="","",IF(A2113=_xlfn.MAXIFS($A$2:$A$5001,$B$2:$B$5001,B2113,$I$2:$I$5001,I2113),1,0))</f>
        <v/>
      </c>
    </row>
    <row r="2114" customFormat="false" ht="15" hidden="false" customHeight="false" outlineLevel="0" collapsed="false">
      <c r="I2114" s="15" t="str">
        <f aca="false">IF(A2114="","",INT(A2114))</f>
        <v/>
      </c>
      <c r="J2114" s="16" t="str">
        <f aca="false">IF(B2114="","",IF(A2114=_xlfn.MINIFS($A$2:$A$5001,$B$2:$B$5001,B2114),1,0))</f>
        <v/>
      </c>
      <c r="K2114" s="16" t="str">
        <f aca="false">IF(B2114="","",IF(AND(D2114="Formalização",E2114="Concluído"),IF(COUNTIFS($B$2:$B$5001,B2114,$E$2:$E$5001,"Em ajustes",$A$2:$A$5001,"&lt;"&amp;I2114)&gt;0,1,0),0))</f>
        <v/>
      </c>
      <c r="L2114" s="16" t="str">
        <f aca="false">IF(B2114="","",IF(A2114=_xlfn.MAXIFS($A$2:$A$5001,$B$2:$B$5001,B2114,$I$2:$I$5001,I2114),1,0))</f>
        <v/>
      </c>
    </row>
    <row r="2115" customFormat="false" ht="15" hidden="false" customHeight="false" outlineLevel="0" collapsed="false">
      <c r="I2115" s="15" t="str">
        <f aca="false">IF(A2115="","",INT(A2115))</f>
        <v/>
      </c>
      <c r="J2115" s="16" t="str">
        <f aca="false">IF(B2115="","",IF(A2115=_xlfn.MINIFS($A$2:$A$5001,$B$2:$B$5001,B2115),1,0))</f>
        <v/>
      </c>
      <c r="K2115" s="16" t="str">
        <f aca="false">IF(B2115="","",IF(AND(D2115="Formalização",E2115="Concluído"),IF(COUNTIFS($B$2:$B$5001,B2115,$E$2:$E$5001,"Em ajustes",$A$2:$A$5001,"&lt;"&amp;I2115)&gt;0,1,0),0))</f>
        <v/>
      </c>
      <c r="L2115" s="16" t="str">
        <f aca="false">IF(B2115="","",IF(A2115=_xlfn.MAXIFS($A$2:$A$5001,$B$2:$B$5001,B2115,$I$2:$I$5001,I2115),1,0))</f>
        <v/>
      </c>
    </row>
    <row r="2116" customFormat="false" ht="15" hidden="false" customHeight="false" outlineLevel="0" collapsed="false">
      <c r="I2116" s="15" t="str">
        <f aca="false">IF(A2116="","",INT(A2116))</f>
        <v/>
      </c>
      <c r="J2116" s="16" t="str">
        <f aca="false">IF(B2116="","",IF(A2116=_xlfn.MINIFS($A$2:$A$5001,$B$2:$B$5001,B2116),1,0))</f>
        <v/>
      </c>
      <c r="K2116" s="16" t="str">
        <f aca="false">IF(B2116="","",IF(AND(D2116="Formalização",E2116="Concluído"),IF(COUNTIFS($B$2:$B$5001,B2116,$E$2:$E$5001,"Em ajustes",$A$2:$A$5001,"&lt;"&amp;I2116)&gt;0,1,0),0))</f>
        <v/>
      </c>
      <c r="L2116" s="16" t="str">
        <f aca="false">IF(B2116="","",IF(A2116=_xlfn.MAXIFS($A$2:$A$5001,$B$2:$B$5001,B2116,$I$2:$I$5001,I2116),1,0))</f>
        <v/>
      </c>
    </row>
    <row r="2117" customFormat="false" ht="15" hidden="false" customHeight="false" outlineLevel="0" collapsed="false">
      <c r="I2117" s="15" t="str">
        <f aca="false">IF(A2117="","",INT(A2117))</f>
        <v/>
      </c>
      <c r="J2117" s="16" t="str">
        <f aca="false">IF(B2117="","",IF(A2117=_xlfn.MINIFS($A$2:$A$5001,$B$2:$B$5001,B2117),1,0))</f>
        <v/>
      </c>
      <c r="K2117" s="16" t="str">
        <f aca="false">IF(B2117="","",IF(AND(D2117="Formalização",E2117="Concluído"),IF(COUNTIFS($B$2:$B$5001,B2117,$E$2:$E$5001,"Em ajustes",$A$2:$A$5001,"&lt;"&amp;I2117)&gt;0,1,0),0))</f>
        <v/>
      </c>
      <c r="L2117" s="16" t="str">
        <f aca="false">IF(B2117="","",IF(A2117=_xlfn.MAXIFS($A$2:$A$5001,$B$2:$B$5001,B2117,$I$2:$I$5001,I2117),1,0))</f>
        <v/>
      </c>
    </row>
    <row r="2118" customFormat="false" ht="15" hidden="false" customHeight="false" outlineLevel="0" collapsed="false">
      <c r="I2118" s="15" t="str">
        <f aca="false">IF(A2118="","",INT(A2118))</f>
        <v/>
      </c>
      <c r="J2118" s="16" t="str">
        <f aca="false">IF(B2118="","",IF(A2118=_xlfn.MINIFS($A$2:$A$5001,$B$2:$B$5001,B2118),1,0))</f>
        <v/>
      </c>
      <c r="K2118" s="16" t="str">
        <f aca="false">IF(B2118="","",IF(AND(D2118="Formalização",E2118="Concluído"),IF(COUNTIFS($B$2:$B$5001,B2118,$E$2:$E$5001,"Em ajustes",$A$2:$A$5001,"&lt;"&amp;I2118)&gt;0,1,0),0))</f>
        <v/>
      </c>
      <c r="L2118" s="16" t="str">
        <f aca="false">IF(B2118="","",IF(A2118=_xlfn.MAXIFS($A$2:$A$5001,$B$2:$B$5001,B2118,$I$2:$I$5001,I2118),1,0))</f>
        <v/>
      </c>
    </row>
    <row r="2119" customFormat="false" ht="15" hidden="false" customHeight="false" outlineLevel="0" collapsed="false">
      <c r="I2119" s="15" t="str">
        <f aca="false">IF(A2119="","",INT(A2119))</f>
        <v/>
      </c>
      <c r="J2119" s="16" t="str">
        <f aca="false">IF(B2119="","",IF(A2119=_xlfn.MINIFS($A$2:$A$5001,$B$2:$B$5001,B2119),1,0))</f>
        <v/>
      </c>
      <c r="K2119" s="16" t="str">
        <f aca="false">IF(B2119="","",IF(AND(D2119="Formalização",E2119="Concluído"),IF(COUNTIFS($B$2:$B$5001,B2119,$E$2:$E$5001,"Em ajustes",$A$2:$A$5001,"&lt;"&amp;I2119)&gt;0,1,0),0))</f>
        <v/>
      </c>
      <c r="L2119" s="16" t="str">
        <f aca="false">IF(B2119="","",IF(A2119=_xlfn.MAXIFS($A$2:$A$5001,$B$2:$B$5001,B2119,$I$2:$I$5001,I2119),1,0))</f>
        <v/>
      </c>
    </row>
    <row r="2120" customFormat="false" ht="15" hidden="false" customHeight="false" outlineLevel="0" collapsed="false">
      <c r="I2120" s="15" t="str">
        <f aca="false">IF(A2120="","",INT(A2120))</f>
        <v/>
      </c>
      <c r="J2120" s="16" t="str">
        <f aca="false">IF(B2120="","",IF(A2120=_xlfn.MINIFS($A$2:$A$5001,$B$2:$B$5001,B2120),1,0))</f>
        <v/>
      </c>
      <c r="K2120" s="16" t="str">
        <f aca="false">IF(B2120="","",IF(AND(D2120="Formalização",E2120="Concluído"),IF(COUNTIFS($B$2:$B$5001,B2120,$E$2:$E$5001,"Em ajustes",$A$2:$A$5001,"&lt;"&amp;I2120)&gt;0,1,0),0))</f>
        <v/>
      </c>
      <c r="L2120" s="16" t="str">
        <f aca="false">IF(B2120="","",IF(A2120=_xlfn.MAXIFS($A$2:$A$5001,$B$2:$B$5001,B2120,$I$2:$I$5001,I2120),1,0))</f>
        <v/>
      </c>
    </row>
    <row r="2121" customFormat="false" ht="15" hidden="false" customHeight="false" outlineLevel="0" collapsed="false">
      <c r="I2121" s="15" t="str">
        <f aca="false">IF(A2121="","",INT(A2121))</f>
        <v/>
      </c>
      <c r="J2121" s="16" t="str">
        <f aca="false">IF(B2121="","",IF(A2121=_xlfn.MINIFS($A$2:$A$5001,$B$2:$B$5001,B2121),1,0))</f>
        <v/>
      </c>
      <c r="K2121" s="16" t="str">
        <f aca="false">IF(B2121="","",IF(AND(D2121="Formalização",E2121="Concluído"),IF(COUNTIFS($B$2:$B$5001,B2121,$E$2:$E$5001,"Em ajustes",$A$2:$A$5001,"&lt;"&amp;I2121)&gt;0,1,0),0))</f>
        <v/>
      </c>
      <c r="L2121" s="16" t="str">
        <f aca="false">IF(B2121="","",IF(A2121=_xlfn.MAXIFS($A$2:$A$5001,$B$2:$B$5001,B2121,$I$2:$I$5001,I2121),1,0))</f>
        <v/>
      </c>
    </row>
    <row r="2122" customFormat="false" ht="15" hidden="false" customHeight="false" outlineLevel="0" collapsed="false">
      <c r="I2122" s="15" t="str">
        <f aca="false">IF(A2122="","",INT(A2122))</f>
        <v/>
      </c>
      <c r="J2122" s="16" t="str">
        <f aca="false">IF(B2122="","",IF(A2122=_xlfn.MINIFS($A$2:$A$5001,$B$2:$B$5001,B2122),1,0))</f>
        <v/>
      </c>
      <c r="K2122" s="16" t="str">
        <f aca="false">IF(B2122="","",IF(AND(D2122="Formalização",E2122="Concluído"),IF(COUNTIFS($B$2:$B$5001,B2122,$E$2:$E$5001,"Em ajustes",$A$2:$A$5001,"&lt;"&amp;I2122)&gt;0,1,0),0))</f>
        <v/>
      </c>
      <c r="L2122" s="16" t="str">
        <f aca="false">IF(B2122="","",IF(A2122=_xlfn.MAXIFS($A$2:$A$5001,$B$2:$B$5001,B2122,$I$2:$I$5001,I2122),1,0))</f>
        <v/>
      </c>
    </row>
    <row r="2123" customFormat="false" ht="15" hidden="false" customHeight="false" outlineLevel="0" collapsed="false">
      <c r="I2123" s="15" t="str">
        <f aca="false">IF(A2123="","",INT(A2123))</f>
        <v/>
      </c>
      <c r="J2123" s="16" t="str">
        <f aca="false">IF(B2123="","",IF(A2123=_xlfn.MINIFS($A$2:$A$5001,$B$2:$B$5001,B2123),1,0))</f>
        <v/>
      </c>
      <c r="K2123" s="16" t="str">
        <f aca="false">IF(B2123="","",IF(AND(D2123="Formalização",E2123="Concluído"),IF(COUNTIFS($B$2:$B$5001,B2123,$E$2:$E$5001,"Em ajustes",$A$2:$A$5001,"&lt;"&amp;I2123)&gt;0,1,0),0))</f>
        <v/>
      </c>
      <c r="L2123" s="16" t="str">
        <f aca="false">IF(B2123="","",IF(A2123=_xlfn.MAXIFS($A$2:$A$5001,$B$2:$B$5001,B2123,$I$2:$I$5001,I2123),1,0))</f>
        <v/>
      </c>
    </row>
    <row r="2124" customFormat="false" ht="15" hidden="false" customHeight="false" outlineLevel="0" collapsed="false">
      <c r="I2124" s="15" t="str">
        <f aca="false">IF(A2124="","",INT(A2124))</f>
        <v/>
      </c>
      <c r="J2124" s="16" t="str">
        <f aca="false">IF(B2124="","",IF(A2124=_xlfn.MINIFS($A$2:$A$5001,$B$2:$B$5001,B2124),1,0))</f>
        <v/>
      </c>
      <c r="K2124" s="16" t="str">
        <f aca="false">IF(B2124="","",IF(AND(D2124="Formalização",E2124="Concluído"),IF(COUNTIFS($B$2:$B$5001,B2124,$E$2:$E$5001,"Em ajustes",$A$2:$A$5001,"&lt;"&amp;I2124)&gt;0,1,0),0))</f>
        <v/>
      </c>
      <c r="L2124" s="16" t="str">
        <f aca="false">IF(B2124="","",IF(A2124=_xlfn.MAXIFS($A$2:$A$5001,$B$2:$B$5001,B2124,$I$2:$I$5001,I2124),1,0))</f>
        <v/>
      </c>
    </row>
    <row r="2125" customFormat="false" ht="15" hidden="false" customHeight="false" outlineLevel="0" collapsed="false">
      <c r="I2125" s="15" t="str">
        <f aca="false">IF(A2125="","",INT(A2125))</f>
        <v/>
      </c>
      <c r="J2125" s="16" t="str">
        <f aca="false">IF(B2125="","",IF(A2125=_xlfn.MINIFS($A$2:$A$5001,$B$2:$B$5001,B2125),1,0))</f>
        <v/>
      </c>
      <c r="K2125" s="16" t="str">
        <f aca="false">IF(B2125="","",IF(AND(D2125="Formalização",E2125="Concluído"),IF(COUNTIFS($B$2:$B$5001,B2125,$E$2:$E$5001,"Em ajustes",$A$2:$A$5001,"&lt;"&amp;I2125)&gt;0,1,0),0))</f>
        <v/>
      </c>
      <c r="L2125" s="16" t="str">
        <f aca="false">IF(B2125="","",IF(A2125=_xlfn.MAXIFS($A$2:$A$5001,$B$2:$B$5001,B2125,$I$2:$I$5001,I2125),1,0))</f>
        <v/>
      </c>
    </row>
    <row r="2126" customFormat="false" ht="15" hidden="false" customHeight="false" outlineLevel="0" collapsed="false">
      <c r="I2126" s="15" t="str">
        <f aca="false">IF(A2126="","",INT(A2126))</f>
        <v/>
      </c>
      <c r="J2126" s="16" t="str">
        <f aca="false">IF(B2126="","",IF(A2126=_xlfn.MINIFS($A$2:$A$5001,$B$2:$B$5001,B2126),1,0))</f>
        <v/>
      </c>
      <c r="K2126" s="16" t="str">
        <f aca="false">IF(B2126="","",IF(AND(D2126="Formalização",E2126="Concluído"),IF(COUNTIFS($B$2:$B$5001,B2126,$E$2:$E$5001,"Em ajustes",$A$2:$A$5001,"&lt;"&amp;I2126)&gt;0,1,0),0))</f>
        <v/>
      </c>
      <c r="L2126" s="16" t="str">
        <f aca="false">IF(B2126="","",IF(A2126=_xlfn.MAXIFS($A$2:$A$5001,$B$2:$B$5001,B2126,$I$2:$I$5001,I2126),1,0))</f>
        <v/>
      </c>
    </row>
    <row r="2127" customFormat="false" ht="15" hidden="false" customHeight="false" outlineLevel="0" collapsed="false">
      <c r="I2127" s="15" t="str">
        <f aca="false">IF(A2127="","",INT(A2127))</f>
        <v/>
      </c>
      <c r="J2127" s="16" t="str">
        <f aca="false">IF(B2127="","",IF(A2127=_xlfn.MINIFS($A$2:$A$5001,$B$2:$B$5001,B2127),1,0))</f>
        <v/>
      </c>
      <c r="K2127" s="16" t="str">
        <f aca="false">IF(B2127="","",IF(AND(D2127="Formalização",E2127="Concluído"),IF(COUNTIFS($B$2:$B$5001,B2127,$E$2:$E$5001,"Em ajustes",$A$2:$A$5001,"&lt;"&amp;I2127)&gt;0,1,0),0))</f>
        <v/>
      </c>
      <c r="L2127" s="16" t="str">
        <f aca="false">IF(B2127="","",IF(A2127=_xlfn.MAXIFS($A$2:$A$5001,$B$2:$B$5001,B2127,$I$2:$I$5001,I2127),1,0))</f>
        <v/>
      </c>
    </row>
    <row r="2128" customFormat="false" ht="15" hidden="false" customHeight="false" outlineLevel="0" collapsed="false">
      <c r="I2128" s="15" t="str">
        <f aca="false">IF(A2128="","",INT(A2128))</f>
        <v/>
      </c>
      <c r="J2128" s="16" t="str">
        <f aca="false">IF(B2128="","",IF(A2128=_xlfn.MINIFS($A$2:$A$5001,$B$2:$B$5001,B2128),1,0))</f>
        <v/>
      </c>
      <c r="K2128" s="16" t="str">
        <f aca="false">IF(B2128="","",IF(AND(D2128="Formalização",E2128="Concluído"),IF(COUNTIFS($B$2:$B$5001,B2128,$E$2:$E$5001,"Em ajustes",$A$2:$A$5001,"&lt;"&amp;I2128)&gt;0,1,0),0))</f>
        <v/>
      </c>
      <c r="L2128" s="16" t="str">
        <f aca="false">IF(B2128="","",IF(A2128=_xlfn.MAXIFS($A$2:$A$5001,$B$2:$B$5001,B2128,$I$2:$I$5001,I2128),1,0))</f>
        <v/>
      </c>
    </row>
    <row r="2129" customFormat="false" ht="15" hidden="false" customHeight="false" outlineLevel="0" collapsed="false">
      <c r="I2129" s="15" t="str">
        <f aca="false">IF(A2129="","",INT(A2129))</f>
        <v/>
      </c>
      <c r="J2129" s="16" t="str">
        <f aca="false">IF(B2129="","",IF(A2129=_xlfn.MINIFS($A$2:$A$5001,$B$2:$B$5001,B2129),1,0))</f>
        <v/>
      </c>
      <c r="K2129" s="16" t="str">
        <f aca="false">IF(B2129="","",IF(AND(D2129="Formalização",E2129="Concluído"),IF(COUNTIFS($B$2:$B$5001,B2129,$E$2:$E$5001,"Em ajustes",$A$2:$A$5001,"&lt;"&amp;I2129)&gt;0,1,0),0))</f>
        <v/>
      </c>
      <c r="L2129" s="16" t="str">
        <f aca="false">IF(B2129="","",IF(A2129=_xlfn.MAXIFS($A$2:$A$5001,$B$2:$B$5001,B2129,$I$2:$I$5001,I2129),1,0))</f>
        <v/>
      </c>
    </row>
    <row r="2130" customFormat="false" ht="15" hidden="false" customHeight="false" outlineLevel="0" collapsed="false">
      <c r="I2130" s="15" t="str">
        <f aca="false">IF(A2130="","",INT(A2130))</f>
        <v/>
      </c>
      <c r="J2130" s="16" t="str">
        <f aca="false">IF(B2130="","",IF(A2130=_xlfn.MINIFS($A$2:$A$5001,$B$2:$B$5001,B2130),1,0))</f>
        <v/>
      </c>
      <c r="K2130" s="16" t="str">
        <f aca="false">IF(B2130="","",IF(AND(D2130="Formalização",E2130="Concluído"),IF(COUNTIFS($B$2:$B$5001,B2130,$E$2:$E$5001,"Em ajustes",$A$2:$A$5001,"&lt;"&amp;I2130)&gt;0,1,0),0))</f>
        <v/>
      </c>
      <c r="L2130" s="16" t="str">
        <f aca="false">IF(B2130="","",IF(A2130=_xlfn.MAXIFS($A$2:$A$5001,$B$2:$B$5001,B2130,$I$2:$I$5001,I2130),1,0))</f>
        <v/>
      </c>
    </row>
    <row r="2131" customFormat="false" ht="15" hidden="false" customHeight="false" outlineLevel="0" collapsed="false">
      <c r="I2131" s="15" t="str">
        <f aca="false">IF(A2131="","",INT(A2131))</f>
        <v/>
      </c>
      <c r="J2131" s="16" t="str">
        <f aca="false">IF(B2131="","",IF(A2131=_xlfn.MINIFS($A$2:$A$5001,$B$2:$B$5001,B2131),1,0))</f>
        <v/>
      </c>
      <c r="K2131" s="16" t="str">
        <f aca="false">IF(B2131="","",IF(AND(D2131="Formalização",E2131="Concluído"),IF(COUNTIFS($B$2:$B$5001,B2131,$E$2:$E$5001,"Em ajustes",$A$2:$A$5001,"&lt;"&amp;I2131)&gt;0,1,0),0))</f>
        <v/>
      </c>
      <c r="L2131" s="16" t="str">
        <f aca="false">IF(B2131="","",IF(A2131=_xlfn.MAXIFS($A$2:$A$5001,$B$2:$B$5001,B2131,$I$2:$I$5001,I2131),1,0))</f>
        <v/>
      </c>
    </row>
    <row r="2132" customFormat="false" ht="15" hidden="false" customHeight="false" outlineLevel="0" collapsed="false">
      <c r="I2132" s="15" t="str">
        <f aca="false">IF(A2132="","",INT(A2132))</f>
        <v/>
      </c>
      <c r="J2132" s="16" t="str">
        <f aca="false">IF(B2132="","",IF(A2132=_xlfn.MINIFS($A$2:$A$5001,$B$2:$B$5001,B2132),1,0))</f>
        <v/>
      </c>
      <c r="K2132" s="16" t="str">
        <f aca="false">IF(B2132="","",IF(AND(D2132="Formalização",E2132="Concluído"),IF(COUNTIFS($B$2:$B$5001,B2132,$E$2:$E$5001,"Em ajustes",$A$2:$A$5001,"&lt;"&amp;I2132)&gt;0,1,0),0))</f>
        <v/>
      </c>
      <c r="L2132" s="16" t="str">
        <f aca="false">IF(B2132="","",IF(A2132=_xlfn.MAXIFS($A$2:$A$5001,$B$2:$B$5001,B2132,$I$2:$I$5001,I2132),1,0))</f>
        <v/>
      </c>
    </row>
    <row r="2133" customFormat="false" ht="15" hidden="false" customHeight="false" outlineLevel="0" collapsed="false">
      <c r="I2133" s="15" t="str">
        <f aca="false">IF(A2133="","",INT(A2133))</f>
        <v/>
      </c>
      <c r="J2133" s="16" t="str">
        <f aca="false">IF(B2133="","",IF(A2133=_xlfn.MINIFS($A$2:$A$5001,$B$2:$B$5001,B2133),1,0))</f>
        <v/>
      </c>
      <c r="K2133" s="16" t="str">
        <f aca="false">IF(B2133="","",IF(AND(D2133="Formalização",E2133="Concluído"),IF(COUNTIFS($B$2:$B$5001,B2133,$E$2:$E$5001,"Em ajustes",$A$2:$A$5001,"&lt;"&amp;I2133)&gt;0,1,0),0))</f>
        <v/>
      </c>
      <c r="L2133" s="16" t="str">
        <f aca="false">IF(B2133="","",IF(A2133=_xlfn.MAXIFS($A$2:$A$5001,$B$2:$B$5001,B2133,$I$2:$I$5001,I2133),1,0))</f>
        <v/>
      </c>
    </row>
    <row r="2134" customFormat="false" ht="15" hidden="false" customHeight="false" outlineLevel="0" collapsed="false">
      <c r="I2134" s="15" t="str">
        <f aca="false">IF(A2134="","",INT(A2134))</f>
        <v/>
      </c>
      <c r="J2134" s="16" t="str">
        <f aca="false">IF(B2134="","",IF(A2134=_xlfn.MINIFS($A$2:$A$5001,$B$2:$B$5001,B2134),1,0))</f>
        <v/>
      </c>
      <c r="K2134" s="16" t="str">
        <f aca="false">IF(B2134="","",IF(AND(D2134="Formalização",E2134="Concluído"),IF(COUNTIFS($B$2:$B$5001,B2134,$E$2:$E$5001,"Em ajustes",$A$2:$A$5001,"&lt;"&amp;I2134)&gt;0,1,0),0))</f>
        <v/>
      </c>
      <c r="L2134" s="16" t="str">
        <f aca="false">IF(B2134="","",IF(A2134=_xlfn.MAXIFS($A$2:$A$5001,$B$2:$B$5001,B2134,$I$2:$I$5001,I2134),1,0))</f>
        <v/>
      </c>
    </row>
    <row r="2135" customFormat="false" ht="15" hidden="false" customHeight="false" outlineLevel="0" collapsed="false">
      <c r="I2135" s="15" t="str">
        <f aca="false">IF(A2135="","",INT(A2135))</f>
        <v/>
      </c>
      <c r="J2135" s="16" t="str">
        <f aca="false">IF(B2135="","",IF(A2135=_xlfn.MINIFS($A$2:$A$5001,$B$2:$B$5001,B2135),1,0))</f>
        <v/>
      </c>
      <c r="K2135" s="16" t="str">
        <f aca="false">IF(B2135="","",IF(AND(D2135="Formalização",E2135="Concluído"),IF(COUNTIFS($B$2:$B$5001,B2135,$E$2:$E$5001,"Em ajustes",$A$2:$A$5001,"&lt;"&amp;I2135)&gt;0,1,0),0))</f>
        <v/>
      </c>
      <c r="L2135" s="16" t="str">
        <f aca="false">IF(B2135="","",IF(A2135=_xlfn.MAXIFS($A$2:$A$5001,$B$2:$B$5001,B2135,$I$2:$I$5001,I2135),1,0))</f>
        <v/>
      </c>
    </row>
    <row r="2136" customFormat="false" ht="15" hidden="false" customHeight="false" outlineLevel="0" collapsed="false">
      <c r="I2136" s="15" t="str">
        <f aca="false">IF(A2136="","",INT(A2136))</f>
        <v/>
      </c>
      <c r="J2136" s="16" t="str">
        <f aca="false">IF(B2136="","",IF(A2136=_xlfn.MINIFS($A$2:$A$5001,$B$2:$B$5001,B2136),1,0))</f>
        <v/>
      </c>
      <c r="K2136" s="16" t="str">
        <f aca="false">IF(B2136="","",IF(AND(D2136="Formalização",E2136="Concluído"),IF(COUNTIFS($B$2:$B$5001,B2136,$E$2:$E$5001,"Em ajustes",$A$2:$A$5001,"&lt;"&amp;I2136)&gt;0,1,0),0))</f>
        <v/>
      </c>
      <c r="L2136" s="16" t="str">
        <f aca="false">IF(B2136="","",IF(A2136=_xlfn.MAXIFS($A$2:$A$5001,$B$2:$B$5001,B2136,$I$2:$I$5001,I2136),1,0))</f>
        <v/>
      </c>
    </row>
    <row r="2137" customFormat="false" ht="15" hidden="false" customHeight="false" outlineLevel="0" collapsed="false">
      <c r="I2137" s="15" t="str">
        <f aca="false">IF(A2137="","",INT(A2137))</f>
        <v/>
      </c>
      <c r="J2137" s="16" t="str">
        <f aca="false">IF(B2137="","",IF(A2137=_xlfn.MINIFS($A$2:$A$5001,$B$2:$B$5001,B2137),1,0))</f>
        <v/>
      </c>
      <c r="K2137" s="16" t="str">
        <f aca="false">IF(B2137="","",IF(AND(D2137="Formalização",E2137="Concluído"),IF(COUNTIFS($B$2:$B$5001,B2137,$E$2:$E$5001,"Em ajustes",$A$2:$A$5001,"&lt;"&amp;I2137)&gt;0,1,0),0))</f>
        <v/>
      </c>
      <c r="L2137" s="16" t="str">
        <f aca="false">IF(B2137="","",IF(A2137=_xlfn.MAXIFS($A$2:$A$5001,$B$2:$B$5001,B2137,$I$2:$I$5001,I2137),1,0))</f>
        <v/>
      </c>
    </row>
    <row r="2138" customFormat="false" ht="15" hidden="false" customHeight="false" outlineLevel="0" collapsed="false">
      <c r="I2138" s="15" t="str">
        <f aca="false">IF(A2138="","",INT(A2138))</f>
        <v/>
      </c>
      <c r="J2138" s="16" t="str">
        <f aca="false">IF(B2138="","",IF(A2138=_xlfn.MINIFS($A$2:$A$5001,$B$2:$B$5001,B2138),1,0))</f>
        <v/>
      </c>
      <c r="K2138" s="16" t="str">
        <f aca="false">IF(B2138="","",IF(AND(D2138="Formalização",E2138="Concluído"),IF(COUNTIFS($B$2:$B$5001,B2138,$E$2:$E$5001,"Em ajustes",$A$2:$A$5001,"&lt;"&amp;I2138)&gt;0,1,0),0))</f>
        <v/>
      </c>
      <c r="L2138" s="16" t="str">
        <f aca="false">IF(B2138="","",IF(A2138=_xlfn.MAXIFS($A$2:$A$5001,$B$2:$B$5001,B2138,$I$2:$I$5001,I2138),1,0))</f>
        <v/>
      </c>
    </row>
    <row r="2139" customFormat="false" ht="15" hidden="false" customHeight="false" outlineLevel="0" collapsed="false">
      <c r="I2139" s="15" t="str">
        <f aca="false">IF(A2139="","",INT(A2139))</f>
        <v/>
      </c>
      <c r="J2139" s="16" t="str">
        <f aca="false">IF(B2139="","",IF(A2139=_xlfn.MINIFS($A$2:$A$5001,$B$2:$B$5001,B2139),1,0))</f>
        <v/>
      </c>
      <c r="K2139" s="16" t="str">
        <f aca="false">IF(B2139="","",IF(AND(D2139="Formalização",E2139="Concluído"),IF(COUNTIFS($B$2:$B$5001,B2139,$E$2:$E$5001,"Em ajustes",$A$2:$A$5001,"&lt;"&amp;I2139)&gt;0,1,0),0))</f>
        <v/>
      </c>
      <c r="L2139" s="16" t="str">
        <f aca="false">IF(B2139="","",IF(A2139=_xlfn.MAXIFS($A$2:$A$5001,$B$2:$B$5001,B2139,$I$2:$I$5001,I2139),1,0))</f>
        <v/>
      </c>
    </row>
    <row r="2140" customFormat="false" ht="15" hidden="false" customHeight="false" outlineLevel="0" collapsed="false">
      <c r="I2140" s="15" t="str">
        <f aca="false">IF(A2140="","",INT(A2140))</f>
        <v/>
      </c>
      <c r="J2140" s="16" t="str">
        <f aca="false">IF(B2140="","",IF(A2140=_xlfn.MINIFS($A$2:$A$5001,$B$2:$B$5001,B2140),1,0))</f>
        <v/>
      </c>
      <c r="K2140" s="16" t="str">
        <f aca="false">IF(B2140="","",IF(AND(D2140="Formalização",E2140="Concluído"),IF(COUNTIFS($B$2:$B$5001,B2140,$E$2:$E$5001,"Em ajustes",$A$2:$A$5001,"&lt;"&amp;I2140)&gt;0,1,0),0))</f>
        <v/>
      </c>
      <c r="L2140" s="16" t="str">
        <f aca="false">IF(B2140="","",IF(A2140=_xlfn.MAXIFS($A$2:$A$5001,$B$2:$B$5001,B2140,$I$2:$I$5001,I2140),1,0))</f>
        <v/>
      </c>
    </row>
    <row r="2141" customFormat="false" ht="15" hidden="false" customHeight="false" outlineLevel="0" collapsed="false">
      <c r="I2141" s="15" t="str">
        <f aca="false">IF(A2141="","",INT(A2141))</f>
        <v/>
      </c>
      <c r="J2141" s="16" t="str">
        <f aca="false">IF(B2141="","",IF(A2141=_xlfn.MINIFS($A$2:$A$5001,$B$2:$B$5001,B2141),1,0))</f>
        <v/>
      </c>
      <c r="K2141" s="16" t="str">
        <f aca="false">IF(B2141="","",IF(AND(D2141="Formalização",E2141="Concluído"),IF(COUNTIFS($B$2:$B$5001,B2141,$E$2:$E$5001,"Em ajustes",$A$2:$A$5001,"&lt;"&amp;I2141)&gt;0,1,0),0))</f>
        <v/>
      </c>
      <c r="L2141" s="16" t="str">
        <f aca="false">IF(B2141="","",IF(A2141=_xlfn.MAXIFS($A$2:$A$5001,$B$2:$B$5001,B2141,$I$2:$I$5001,I2141),1,0))</f>
        <v/>
      </c>
    </row>
    <row r="2142" customFormat="false" ht="15" hidden="false" customHeight="false" outlineLevel="0" collapsed="false">
      <c r="I2142" s="15" t="str">
        <f aca="false">IF(A2142="","",INT(A2142))</f>
        <v/>
      </c>
      <c r="J2142" s="16" t="str">
        <f aca="false">IF(B2142="","",IF(A2142=_xlfn.MINIFS($A$2:$A$5001,$B$2:$B$5001,B2142),1,0))</f>
        <v/>
      </c>
      <c r="K2142" s="16" t="str">
        <f aca="false">IF(B2142="","",IF(AND(D2142="Formalização",E2142="Concluído"),IF(COUNTIFS($B$2:$B$5001,B2142,$E$2:$E$5001,"Em ajustes",$A$2:$A$5001,"&lt;"&amp;I2142)&gt;0,1,0),0))</f>
        <v/>
      </c>
      <c r="L2142" s="16" t="str">
        <f aca="false">IF(B2142="","",IF(A2142=_xlfn.MAXIFS($A$2:$A$5001,$B$2:$B$5001,B2142,$I$2:$I$5001,I2142),1,0))</f>
        <v/>
      </c>
    </row>
    <row r="2143" customFormat="false" ht="15" hidden="false" customHeight="false" outlineLevel="0" collapsed="false">
      <c r="I2143" s="15" t="str">
        <f aca="false">IF(A2143="","",INT(A2143))</f>
        <v/>
      </c>
      <c r="J2143" s="16" t="str">
        <f aca="false">IF(B2143="","",IF(A2143=_xlfn.MINIFS($A$2:$A$5001,$B$2:$B$5001,B2143),1,0))</f>
        <v/>
      </c>
      <c r="K2143" s="16" t="str">
        <f aca="false">IF(B2143="","",IF(AND(D2143="Formalização",E2143="Concluído"),IF(COUNTIFS($B$2:$B$5001,B2143,$E$2:$E$5001,"Em ajustes",$A$2:$A$5001,"&lt;"&amp;I2143)&gt;0,1,0),0))</f>
        <v/>
      </c>
      <c r="L2143" s="16" t="str">
        <f aca="false">IF(B2143="","",IF(A2143=_xlfn.MAXIFS($A$2:$A$5001,$B$2:$B$5001,B2143,$I$2:$I$5001,I2143),1,0))</f>
        <v/>
      </c>
    </row>
    <row r="2144" customFormat="false" ht="15" hidden="false" customHeight="false" outlineLevel="0" collapsed="false">
      <c r="I2144" s="15" t="str">
        <f aca="false">IF(A2144="","",INT(A2144))</f>
        <v/>
      </c>
      <c r="J2144" s="16" t="str">
        <f aca="false">IF(B2144="","",IF(A2144=_xlfn.MINIFS($A$2:$A$5001,$B$2:$B$5001,B2144),1,0))</f>
        <v/>
      </c>
      <c r="K2144" s="16" t="str">
        <f aca="false">IF(B2144="","",IF(AND(D2144="Formalização",E2144="Concluído"),IF(COUNTIFS($B$2:$B$5001,B2144,$E$2:$E$5001,"Em ajustes",$A$2:$A$5001,"&lt;"&amp;I2144)&gt;0,1,0),0))</f>
        <v/>
      </c>
      <c r="L2144" s="16" t="str">
        <f aca="false">IF(B2144="","",IF(A2144=_xlfn.MAXIFS($A$2:$A$5001,$B$2:$B$5001,B2144,$I$2:$I$5001,I2144),1,0))</f>
        <v/>
      </c>
    </row>
    <row r="2145" customFormat="false" ht="15" hidden="false" customHeight="false" outlineLevel="0" collapsed="false">
      <c r="I2145" s="15" t="str">
        <f aca="false">IF(A2145="","",INT(A2145))</f>
        <v/>
      </c>
      <c r="J2145" s="16" t="str">
        <f aca="false">IF(B2145="","",IF(A2145=_xlfn.MINIFS($A$2:$A$5001,$B$2:$B$5001,B2145),1,0))</f>
        <v/>
      </c>
      <c r="K2145" s="16" t="str">
        <f aca="false">IF(B2145="","",IF(AND(D2145="Formalização",E2145="Concluído"),IF(COUNTIFS($B$2:$B$5001,B2145,$E$2:$E$5001,"Em ajustes",$A$2:$A$5001,"&lt;"&amp;I2145)&gt;0,1,0),0))</f>
        <v/>
      </c>
      <c r="L2145" s="16" t="str">
        <f aca="false">IF(B2145="","",IF(A2145=_xlfn.MAXIFS($A$2:$A$5001,$B$2:$B$5001,B2145,$I$2:$I$5001,I2145),1,0))</f>
        <v/>
      </c>
    </row>
    <row r="2146" customFormat="false" ht="15" hidden="false" customHeight="false" outlineLevel="0" collapsed="false">
      <c r="I2146" s="15" t="str">
        <f aca="false">IF(A2146="","",INT(A2146))</f>
        <v/>
      </c>
      <c r="J2146" s="16" t="str">
        <f aca="false">IF(B2146="","",IF(A2146=_xlfn.MINIFS($A$2:$A$5001,$B$2:$B$5001,B2146),1,0))</f>
        <v/>
      </c>
      <c r="K2146" s="16" t="str">
        <f aca="false">IF(B2146="","",IF(AND(D2146="Formalização",E2146="Concluído"),IF(COUNTIFS($B$2:$B$5001,B2146,$E$2:$E$5001,"Em ajustes",$A$2:$A$5001,"&lt;"&amp;I2146)&gt;0,1,0),0))</f>
        <v/>
      </c>
      <c r="L2146" s="16" t="str">
        <f aca="false">IF(B2146="","",IF(A2146=_xlfn.MAXIFS($A$2:$A$5001,$B$2:$B$5001,B2146,$I$2:$I$5001,I2146),1,0))</f>
        <v/>
      </c>
    </row>
    <row r="2147" customFormat="false" ht="15" hidden="false" customHeight="false" outlineLevel="0" collapsed="false">
      <c r="I2147" s="15" t="str">
        <f aca="false">IF(A2147="","",INT(A2147))</f>
        <v/>
      </c>
      <c r="J2147" s="16" t="str">
        <f aca="false">IF(B2147="","",IF(A2147=_xlfn.MINIFS($A$2:$A$5001,$B$2:$B$5001,B2147),1,0))</f>
        <v/>
      </c>
      <c r="K2147" s="16" t="str">
        <f aca="false">IF(B2147="","",IF(AND(D2147="Formalização",E2147="Concluído"),IF(COUNTIFS($B$2:$B$5001,B2147,$E$2:$E$5001,"Em ajustes",$A$2:$A$5001,"&lt;"&amp;I2147)&gt;0,1,0),0))</f>
        <v/>
      </c>
      <c r="L2147" s="16" t="str">
        <f aca="false">IF(B2147="","",IF(A2147=_xlfn.MAXIFS($A$2:$A$5001,$B$2:$B$5001,B2147,$I$2:$I$5001,I2147),1,0))</f>
        <v/>
      </c>
    </row>
    <row r="2148" customFormat="false" ht="15" hidden="false" customHeight="false" outlineLevel="0" collapsed="false">
      <c r="I2148" s="15" t="str">
        <f aca="false">IF(A2148="","",INT(A2148))</f>
        <v/>
      </c>
      <c r="J2148" s="16" t="str">
        <f aca="false">IF(B2148="","",IF(A2148=_xlfn.MINIFS($A$2:$A$5001,$B$2:$B$5001,B2148),1,0))</f>
        <v/>
      </c>
      <c r="K2148" s="16" t="str">
        <f aca="false">IF(B2148="","",IF(AND(D2148="Formalização",E2148="Concluído"),IF(COUNTIFS($B$2:$B$5001,B2148,$E$2:$E$5001,"Em ajustes",$A$2:$A$5001,"&lt;"&amp;I2148)&gt;0,1,0),0))</f>
        <v/>
      </c>
      <c r="L2148" s="16" t="str">
        <f aca="false">IF(B2148="","",IF(A2148=_xlfn.MAXIFS($A$2:$A$5001,$B$2:$B$5001,B2148,$I$2:$I$5001,I2148),1,0))</f>
        <v/>
      </c>
    </row>
    <row r="2149" customFormat="false" ht="15" hidden="false" customHeight="false" outlineLevel="0" collapsed="false">
      <c r="I2149" s="15" t="str">
        <f aca="false">IF(A2149="","",INT(A2149))</f>
        <v/>
      </c>
      <c r="J2149" s="16" t="str">
        <f aca="false">IF(B2149="","",IF(A2149=_xlfn.MINIFS($A$2:$A$5001,$B$2:$B$5001,B2149),1,0))</f>
        <v/>
      </c>
      <c r="K2149" s="16" t="str">
        <f aca="false">IF(B2149="","",IF(AND(D2149="Formalização",E2149="Concluído"),IF(COUNTIFS($B$2:$B$5001,B2149,$E$2:$E$5001,"Em ajustes",$A$2:$A$5001,"&lt;"&amp;I2149)&gt;0,1,0),0))</f>
        <v/>
      </c>
      <c r="L2149" s="16" t="str">
        <f aca="false">IF(B2149="","",IF(A2149=_xlfn.MAXIFS($A$2:$A$5001,$B$2:$B$5001,B2149,$I$2:$I$5001,I2149),1,0))</f>
        <v/>
      </c>
    </row>
    <row r="2150" customFormat="false" ht="15" hidden="false" customHeight="false" outlineLevel="0" collapsed="false">
      <c r="I2150" s="15" t="str">
        <f aca="false">IF(A2150="","",INT(A2150))</f>
        <v/>
      </c>
      <c r="J2150" s="16" t="str">
        <f aca="false">IF(B2150="","",IF(A2150=_xlfn.MINIFS($A$2:$A$5001,$B$2:$B$5001,B2150),1,0))</f>
        <v/>
      </c>
      <c r="K2150" s="16" t="str">
        <f aca="false">IF(B2150="","",IF(AND(D2150="Formalização",E2150="Concluído"),IF(COUNTIFS($B$2:$B$5001,B2150,$E$2:$E$5001,"Em ajustes",$A$2:$A$5001,"&lt;"&amp;I2150)&gt;0,1,0),0))</f>
        <v/>
      </c>
      <c r="L2150" s="16" t="str">
        <f aca="false">IF(B2150="","",IF(A2150=_xlfn.MAXIFS($A$2:$A$5001,$B$2:$B$5001,B2150,$I$2:$I$5001,I2150),1,0))</f>
        <v/>
      </c>
    </row>
    <row r="2151" customFormat="false" ht="15" hidden="false" customHeight="false" outlineLevel="0" collapsed="false">
      <c r="I2151" s="15" t="str">
        <f aca="false">IF(A2151="","",INT(A2151))</f>
        <v/>
      </c>
      <c r="J2151" s="16" t="str">
        <f aca="false">IF(B2151="","",IF(A2151=_xlfn.MINIFS($A$2:$A$5001,$B$2:$B$5001,B2151),1,0))</f>
        <v/>
      </c>
      <c r="K2151" s="16" t="str">
        <f aca="false">IF(B2151="","",IF(AND(D2151="Formalização",E2151="Concluído"),IF(COUNTIFS($B$2:$B$5001,B2151,$E$2:$E$5001,"Em ajustes",$A$2:$A$5001,"&lt;"&amp;I2151)&gt;0,1,0),0))</f>
        <v/>
      </c>
      <c r="L2151" s="16" t="str">
        <f aca="false">IF(B2151="","",IF(A2151=_xlfn.MAXIFS($A$2:$A$5001,$B$2:$B$5001,B2151,$I$2:$I$5001,I2151),1,0))</f>
        <v/>
      </c>
    </row>
    <row r="2152" customFormat="false" ht="15" hidden="false" customHeight="false" outlineLevel="0" collapsed="false">
      <c r="I2152" s="15" t="str">
        <f aca="false">IF(A2152="","",INT(A2152))</f>
        <v/>
      </c>
      <c r="J2152" s="16" t="str">
        <f aca="false">IF(B2152="","",IF(A2152=_xlfn.MINIFS($A$2:$A$5001,$B$2:$B$5001,B2152),1,0))</f>
        <v/>
      </c>
      <c r="K2152" s="16" t="str">
        <f aca="false">IF(B2152="","",IF(AND(D2152="Formalização",E2152="Concluído"),IF(COUNTIFS($B$2:$B$5001,B2152,$E$2:$E$5001,"Em ajustes",$A$2:$A$5001,"&lt;"&amp;I2152)&gt;0,1,0),0))</f>
        <v/>
      </c>
      <c r="L2152" s="16" t="str">
        <f aca="false">IF(B2152="","",IF(A2152=_xlfn.MAXIFS($A$2:$A$5001,$B$2:$B$5001,B2152,$I$2:$I$5001,I2152),1,0))</f>
        <v/>
      </c>
    </row>
    <row r="2153" customFormat="false" ht="15" hidden="false" customHeight="false" outlineLevel="0" collapsed="false">
      <c r="I2153" s="15" t="str">
        <f aca="false">IF(A2153="","",INT(A2153))</f>
        <v/>
      </c>
      <c r="J2153" s="16" t="str">
        <f aca="false">IF(B2153="","",IF(A2153=_xlfn.MINIFS($A$2:$A$5001,$B$2:$B$5001,B2153),1,0))</f>
        <v/>
      </c>
      <c r="K2153" s="16" t="str">
        <f aca="false">IF(B2153="","",IF(AND(D2153="Formalização",E2153="Concluído"),IF(COUNTIFS($B$2:$B$5001,B2153,$E$2:$E$5001,"Em ajustes",$A$2:$A$5001,"&lt;"&amp;I2153)&gt;0,1,0),0))</f>
        <v/>
      </c>
      <c r="L2153" s="16" t="str">
        <f aca="false">IF(B2153="","",IF(A2153=_xlfn.MAXIFS($A$2:$A$5001,$B$2:$B$5001,B2153,$I$2:$I$5001,I2153),1,0))</f>
        <v/>
      </c>
    </row>
    <row r="2154" customFormat="false" ht="15" hidden="false" customHeight="false" outlineLevel="0" collapsed="false">
      <c r="I2154" s="15" t="str">
        <f aca="false">IF(A2154="","",INT(A2154))</f>
        <v/>
      </c>
      <c r="J2154" s="16" t="str">
        <f aca="false">IF(B2154="","",IF(A2154=_xlfn.MINIFS($A$2:$A$5001,$B$2:$B$5001,B2154),1,0))</f>
        <v/>
      </c>
      <c r="K2154" s="16" t="str">
        <f aca="false">IF(B2154="","",IF(AND(D2154="Formalização",E2154="Concluído"),IF(COUNTIFS($B$2:$B$5001,B2154,$E$2:$E$5001,"Em ajustes",$A$2:$A$5001,"&lt;"&amp;I2154)&gt;0,1,0),0))</f>
        <v/>
      </c>
      <c r="L2154" s="16" t="str">
        <f aca="false">IF(B2154="","",IF(A2154=_xlfn.MAXIFS($A$2:$A$5001,$B$2:$B$5001,B2154,$I$2:$I$5001,I2154),1,0))</f>
        <v/>
      </c>
    </row>
    <row r="2155" customFormat="false" ht="15" hidden="false" customHeight="false" outlineLevel="0" collapsed="false">
      <c r="I2155" s="15" t="str">
        <f aca="false">IF(A2155="","",INT(A2155))</f>
        <v/>
      </c>
      <c r="J2155" s="16" t="str">
        <f aca="false">IF(B2155="","",IF(A2155=_xlfn.MINIFS($A$2:$A$5001,$B$2:$B$5001,B2155),1,0))</f>
        <v/>
      </c>
      <c r="K2155" s="16" t="str">
        <f aca="false">IF(B2155="","",IF(AND(D2155="Formalização",E2155="Concluído"),IF(COUNTIFS($B$2:$B$5001,B2155,$E$2:$E$5001,"Em ajustes",$A$2:$A$5001,"&lt;"&amp;I2155)&gt;0,1,0),0))</f>
        <v/>
      </c>
      <c r="L2155" s="16" t="str">
        <f aca="false">IF(B2155="","",IF(A2155=_xlfn.MAXIFS($A$2:$A$5001,$B$2:$B$5001,B2155,$I$2:$I$5001,I2155),1,0))</f>
        <v/>
      </c>
    </row>
    <row r="2156" customFormat="false" ht="15" hidden="false" customHeight="false" outlineLevel="0" collapsed="false">
      <c r="I2156" s="15" t="str">
        <f aca="false">IF(A2156="","",INT(A2156))</f>
        <v/>
      </c>
      <c r="J2156" s="16" t="str">
        <f aca="false">IF(B2156="","",IF(A2156=_xlfn.MINIFS($A$2:$A$5001,$B$2:$B$5001,B2156),1,0))</f>
        <v/>
      </c>
      <c r="K2156" s="16" t="str">
        <f aca="false">IF(B2156="","",IF(AND(D2156="Formalização",E2156="Concluído"),IF(COUNTIFS($B$2:$B$5001,B2156,$E$2:$E$5001,"Em ajustes",$A$2:$A$5001,"&lt;"&amp;I2156)&gt;0,1,0),0))</f>
        <v/>
      </c>
      <c r="L2156" s="16" t="str">
        <f aca="false">IF(B2156="","",IF(A2156=_xlfn.MAXIFS($A$2:$A$5001,$B$2:$B$5001,B2156,$I$2:$I$5001,I2156),1,0))</f>
        <v/>
      </c>
    </row>
    <row r="2157" customFormat="false" ht="15" hidden="false" customHeight="false" outlineLevel="0" collapsed="false">
      <c r="I2157" s="15" t="str">
        <f aca="false">IF(A2157="","",INT(A2157))</f>
        <v/>
      </c>
      <c r="J2157" s="16" t="str">
        <f aca="false">IF(B2157="","",IF(A2157=_xlfn.MINIFS($A$2:$A$5001,$B$2:$B$5001,B2157),1,0))</f>
        <v/>
      </c>
      <c r="K2157" s="16" t="str">
        <f aca="false">IF(B2157="","",IF(AND(D2157="Formalização",E2157="Concluído"),IF(COUNTIFS($B$2:$B$5001,B2157,$E$2:$E$5001,"Em ajustes",$A$2:$A$5001,"&lt;"&amp;I2157)&gt;0,1,0),0))</f>
        <v/>
      </c>
      <c r="L2157" s="16" t="str">
        <f aca="false">IF(B2157="","",IF(A2157=_xlfn.MAXIFS($A$2:$A$5001,$B$2:$B$5001,B2157,$I$2:$I$5001,I2157),1,0))</f>
        <v/>
      </c>
    </row>
    <row r="2158" customFormat="false" ht="15" hidden="false" customHeight="false" outlineLevel="0" collapsed="false">
      <c r="I2158" s="15" t="str">
        <f aca="false">IF(A2158="","",INT(A2158))</f>
        <v/>
      </c>
      <c r="J2158" s="16" t="str">
        <f aca="false">IF(B2158="","",IF(A2158=_xlfn.MINIFS($A$2:$A$5001,$B$2:$B$5001,B2158),1,0))</f>
        <v/>
      </c>
      <c r="K2158" s="16" t="str">
        <f aca="false">IF(B2158="","",IF(AND(D2158="Formalização",E2158="Concluído"),IF(COUNTIFS($B$2:$B$5001,B2158,$E$2:$E$5001,"Em ajustes",$A$2:$A$5001,"&lt;"&amp;I2158)&gt;0,1,0),0))</f>
        <v/>
      </c>
      <c r="L2158" s="16" t="str">
        <f aca="false">IF(B2158="","",IF(A2158=_xlfn.MAXIFS($A$2:$A$5001,$B$2:$B$5001,B2158,$I$2:$I$5001,I2158),1,0))</f>
        <v/>
      </c>
    </row>
    <row r="2159" customFormat="false" ht="15" hidden="false" customHeight="false" outlineLevel="0" collapsed="false">
      <c r="I2159" s="15" t="str">
        <f aca="false">IF(A2159="","",INT(A2159))</f>
        <v/>
      </c>
      <c r="J2159" s="16" t="str">
        <f aca="false">IF(B2159="","",IF(A2159=_xlfn.MINIFS($A$2:$A$5001,$B$2:$B$5001,B2159),1,0))</f>
        <v/>
      </c>
      <c r="K2159" s="16" t="str">
        <f aca="false">IF(B2159="","",IF(AND(D2159="Formalização",E2159="Concluído"),IF(COUNTIFS($B$2:$B$5001,B2159,$E$2:$E$5001,"Em ajustes",$A$2:$A$5001,"&lt;"&amp;I2159)&gt;0,1,0),0))</f>
        <v/>
      </c>
      <c r="L2159" s="16" t="str">
        <f aca="false">IF(B2159="","",IF(A2159=_xlfn.MAXIFS($A$2:$A$5001,$B$2:$B$5001,B2159,$I$2:$I$5001,I2159),1,0))</f>
        <v/>
      </c>
    </row>
    <row r="2160" customFormat="false" ht="15" hidden="false" customHeight="false" outlineLevel="0" collapsed="false">
      <c r="I2160" s="15" t="str">
        <f aca="false">IF(A2160="","",INT(A2160))</f>
        <v/>
      </c>
      <c r="J2160" s="16" t="str">
        <f aca="false">IF(B2160="","",IF(A2160=_xlfn.MINIFS($A$2:$A$5001,$B$2:$B$5001,B2160),1,0))</f>
        <v/>
      </c>
      <c r="K2160" s="16" t="str">
        <f aca="false">IF(B2160="","",IF(AND(D2160="Formalização",E2160="Concluído"),IF(COUNTIFS($B$2:$B$5001,B2160,$E$2:$E$5001,"Em ajustes",$A$2:$A$5001,"&lt;"&amp;I2160)&gt;0,1,0),0))</f>
        <v/>
      </c>
      <c r="L2160" s="16" t="str">
        <f aca="false">IF(B2160="","",IF(A2160=_xlfn.MAXIFS($A$2:$A$5001,$B$2:$B$5001,B2160,$I$2:$I$5001,I2160),1,0))</f>
        <v/>
      </c>
    </row>
    <row r="2161" customFormat="false" ht="15" hidden="false" customHeight="false" outlineLevel="0" collapsed="false">
      <c r="I2161" s="15" t="str">
        <f aca="false">IF(A2161="","",INT(A2161))</f>
        <v/>
      </c>
      <c r="J2161" s="16" t="str">
        <f aca="false">IF(B2161="","",IF(A2161=_xlfn.MINIFS($A$2:$A$5001,$B$2:$B$5001,B2161),1,0))</f>
        <v/>
      </c>
      <c r="K2161" s="16" t="str">
        <f aca="false">IF(B2161="","",IF(AND(D2161="Formalização",E2161="Concluído"),IF(COUNTIFS($B$2:$B$5001,B2161,$E$2:$E$5001,"Em ajustes",$A$2:$A$5001,"&lt;"&amp;I2161)&gt;0,1,0),0))</f>
        <v/>
      </c>
      <c r="L2161" s="16" t="str">
        <f aca="false">IF(B2161="","",IF(A2161=_xlfn.MAXIFS($A$2:$A$5001,$B$2:$B$5001,B2161,$I$2:$I$5001,I2161),1,0))</f>
        <v/>
      </c>
    </row>
    <row r="2162" customFormat="false" ht="15" hidden="false" customHeight="false" outlineLevel="0" collapsed="false">
      <c r="I2162" s="15" t="str">
        <f aca="false">IF(A2162="","",INT(A2162))</f>
        <v/>
      </c>
      <c r="J2162" s="16" t="str">
        <f aca="false">IF(B2162="","",IF(A2162=_xlfn.MINIFS($A$2:$A$5001,$B$2:$B$5001,B2162),1,0))</f>
        <v/>
      </c>
      <c r="K2162" s="16" t="str">
        <f aca="false">IF(B2162="","",IF(AND(D2162="Formalização",E2162="Concluído"),IF(COUNTIFS($B$2:$B$5001,B2162,$E$2:$E$5001,"Em ajustes",$A$2:$A$5001,"&lt;"&amp;I2162)&gt;0,1,0),0))</f>
        <v/>
      </c>
      <c r="L2162" s="16" t="str">
        <f aca="false">IF(B2162="","",IF(A2162=_xlfn.MAXIFS($A$2:$A$5001,$B$2:$B$5001,B2162,$I$2:$I$5001,I2162),1,0))</f>
        <v/>
      </c>
    </row>
    <row r="2163" customFormat="false" ht="15" hidden="false" customHeight="false" outlineLevel="0" collapsed="false">
      <c r="I2163" s="15" t="str">
        <f aca="false">IF(A2163="","",INT(A2163))</f>
        <v/>
      </c>
      <c r="J2163" s="16" t="str">
        <f aca="false">IF(B2163="","",IF(A2163=_xlfn.MINIFS($A$2:$A$5001,$B$2:$B$5001,B2163),1,0))</f>
        <v/>
      </c>
      <c r="K2163" s="16" t="str">
        <f aca="false">IF(B2163="","",IF(AND(D2163="Formalização",E2163="Concluído"),IF(COUNTIFS($B$2:$B$5001,B2163,$E$2:$E$5001,"Em ajustes",$A$2:$A$5001,"&lt;"&amp;I2163)&gt;0,1,0),0))</f>
        <v/>
      </c>
      <c r="L2163" s="16" t="str">
        <f aca="false">IF(B2163="","",IF(A2163=_xlfn.MAXIFS($A$2:$A$5001,$B$2:$B$5001,B2163,$I$2:$I$5001,I2163),1,0))</f>
        <v/>
      </c>
    </row>
    <row r="2164" customFormat="false" ht="15" hidden="false" customHeight="false" outlineLevel="0" collapsed="false">
      <c r="I2164" s="15" t="str">
        <f aca="false">IF(A2164="","",INT(A2164))</f>
        <v/>
      </c>
      <c r="J2164" s="16" t="str">
        <f aca="false">IF(B2164="","",IF(A2164=_xlfn.MINIFS($A$2:$A$5001,$B$2:$B$5001,B2164),1,0))</f>
        <v/>
      </c>
      <c r="K2164" s="16" t="str">
        <f aca="false">IF(B2164="","",IF(AND(D2164="Formalização",E2164="Concluído"),IF(COUNTIFS($B$2:$B$5001,B2164,$E$2:$E$5001,"Em ajustes",$A$2:$A$5001,"&lt;"&amp;I2164)&gt;0,1,0),0))</f>
        <v/>
      </c>
      <c r="L2164" s="16" t="str">
        <f aca="false">IF(B2164="","",IF(A2164=_xlfn.MAXIFS($A$2:$A$5001,$B$2:$B$5001,B2164,$I$2:$I$5001,I2164),1,0))</f>
        <v/>
      </c>
    </row>
    <row r="2165" customFormat="false" ht="15" hidden="false" customHeight="false" outlineLevel="0" collapsed="false">
      <c r="I2165" s="15" t="str">
        <f aca="false">IF(A2165="","",INT(A2165))</f>
        <v/>
      </c>
      <c r="J2165" s="16" t="str">
        <f aca="false">IF(B2165="","",IF(A2165=_xlfn.MINIFS($A$2:$A$5001,$B$2:$B$5001,B2165),1,0))</f>
        <v/>
      </c>
      <c r="K2165" s="16" t="str">
        <f aca="false">IF(B2165="","",IF(AND(D2165="Formalização",E2165="Concluído"),IF(COUNTIFS($B$2:$B$5001,B2165,$E$2:$E$5001,"Em ajustes",$A$2:$A$5001,"&lt;"&amp;I2165)&gt;0,1,0),0))</f>
        <v/>
      </c>
      <c r="L2165" s="16" t="str">
        <f aca="false">IF(B2165="","",IF(A2165=_xlfn.MAXIFS($A$2:$A$5001,$B$2:$B$5001,B2165,$I$2:$I$5001,I2165),1,0))</f>
        <v/>
      </c>
    </row>
    <row r="2166" customFormat="false" ht="15" hidden="false" customHeight="false" outlineLevel="0" collapsed="false">
      <c r="I2166" s="15" t="str">
        <f aca="false">IF(A2166="","",INT(A2166))</f>
        <v/>
      </c>
      <c r="J2166" s="16" t="str">
        <f aca="false">IF(B2166="","",IF(A2166=_xlfn.MINIFS($A$2:$A$5001,$B$2:$B$5001,B2166),1,0))</f>
        <v/>
      </c>
      <c r="K2166" s="16" t="str">
        <f aca="false">IF(B2166="","",IF(AND(D2166="Formalização",E2166="Concluído"),IF(COUNTIFS($B$2:$B$5001,B2166,$E$2:$E$5001,"Em ajustes",$A$2:$A$5001,"&lt;"&amp;I2166)&gt;0,1,0),0))</f>
        <v/>
      </c>
      <c r="L2166" s="16" t="str">
        <f aca="false">IF(B2166="","",IF(A2166=_xlfn.MAXIFS($A$2:$A$5001,$B$2:$B$5001,B2166,$I$2:$I$5001,I2166),1,0))</f>
        <v/>
      </c>
    </row>
    <row r="2167" customFormat="false" ht="15" hidden="false" customHeight="false" outlineLevel="0" collapsed="false">
      <c r="I2167" s="15" t="str">
        <f aca="false">IF(A2167="","",INT(A2167))</f>
        <v/>
      </c>
      <c r="J2167" s="16" t="str">
        <f aca="false">IF(B2167="","",IF(A2167=_xlfn.MINIFS($A$2:$A$5001,$B$2:$B$5001,B2167),1,0))</f>
        <v/>
      </c>
      <c r="K2167" s="16" t="str">
        <f aca="false">IF(B2167="","",IF(AND(D2167="Formalização",E2167="Concluído"),IF(COUNTIFS($B$2:$B$5001,B2167,$E$2:$E$5001,"Em ajustes",$A$2:$A$5001,"&lt;"&amp;I2167)&gt;0,1,0),0))</f>
        <v/>
      </c>
      <c r="L2167" s="16" t="str">
        <f aca="false">IF(B2167="","",IF(A2167=_xlfn.MAXIFS($A$2:$A$5001,$B$2:$B$5001,B2167,$I$2:$I$5001,I2167),1,0))</f>
        <v/>
      </c>
    </row>
    <row r="2168" customFormat="false" ht="15" hidden="false" customHeight="false" outlineLevel="0" collapsed="false">
      <c r="I2168" s="15" t="str">
        <f aca="false">IF(A2168="","",INT(A2168))</f>
        <v/>
      </c>
      <c r="J2168" s="16" t="str">
        <f aca="false">IF(B2168="","",IF(A2168=_xlfn.MINIFS($A$2:$A$5001,$B$2:$B$5001,B2168),1,0))</f>
        <v/>
      </c>
      <c r="K2168" s="16" t="str">
        <f aca="false">IF(B2168="","",IF(AND(D2168="Formalização",E2168="Concluído"),IF(COUNTIFS($B$2:$B$5001,B2168,$E$2:$E$5001,"Em ajustes",$A$2:$A$5001,"&lt;"&amp;I2168)&gt;0,1,0),0))</f>
        <v/>
      </c>
      <c r="L2168" s="16" t="str">
        <f aca="false">IF(B2168="","",IF(A2168=_xlfn.MAXIFS($A$2:$A$5001,$B$2:$B$5001,B2168,$I$2:$I$5001,I2168),1,0))</f>
        <v/>
      </c>
    </row>
    <row r="2169" customFormat="false" ht="15" hidden="false" customHeight="false" outlineLevel="0" collapsed="false">
      <c r="I2169" s="15" t="str">
        <f aca="false">IF(A2169="","",INT(A2169))</f>
        <v/>
      </c>
      <c r="J2169" s="16" t="str">
        <f aca="false">IF(B2169="","",IF(A2169=_xlfn.MINIFS($A$2:$A$5001,$B$2:$B$5001,B2169),1,0))</f>
        <v/>
      </c>
      <c r="K2169" s="16" t="str">
        <f aca="false">IF(B2169="","",IF(AND(D2169="Formalização",E2169="Concluído"),IF(COUNTIFS($B$2:$B$5001,B2169,$E$2:$E$5001,"Em ajustes",$A$2:$A$5001,"&lt;"&amp;I2169)&gt;0,1,0),0))</f>
        <v/>
      </c>
      <c r="L2169" s="16" t="str">
        <f aca="false">IF(B2169="","",IF(A2169=_xlfn.MAXIFS($A$2:$A$5001,$B$2:$B$5001,B2169,$I$2:$I$5001,I2169),1,0))</f>
        <v/>
      </c>
    </row>
    <row r="2170" customFormat="false" ht="15" hidden="false" customHeight="false" outlineLevel="0" collapsed="false">
      <c r="I2170" s="15" t="str">
        <f aca="false">IF(A2170="","",INT(A2170))</f>
        <v/>
      </c>
      <c r="J2170" s="16" t="str">
        <f aca="false">IF(B2170="","",IF(A2170=_xlfn.MINIFS($A$2:$A$5001,$B$2:$B$5001,B2170),1,0))</f>
        <v/>
      </c>
      <c r="K2170" s="16" t="str">
        <f aca="false">IF(B2170="","",IF(AND(D2170="Formalização",E2170="Concluído"),IF(COUNTIFS($B$2:$B$5001,B2170,$E$2:$E$5001,"Em ajustes",$A$2:$A$5001,"&lt;"&amp;I2170)&gt;0,1,0),0))</f>
        <v/>
      </c>
      <c r="L2170" s="16" t="str">
        <f aca="false">IF(B2170="","",IF(A2170=_xlfn.MAXIFS($A$2:$A$5001,$B$2:$B$5001,B2170,$I$2:$I$5001,I2170),1,0))</f>
        <v/>
      </c>
    </row>
    <row r="2171" customFormat="false" ht="15" hidden="false" customHeight="false" outlineLevel="0" collapsed="false">
      <c r="I2171" s="15" t="str">
        <f aca="false">IF(A2171="","",INT(A2171))</f>
        <v/>
      </c>
      <c r="J2171" s="16" t="str">
        <f aca="false">IF(B2171="","",IF(A2171=_xlfn.MINIFS($A$2:$A$5001,$B$2:$B$5001,B2171),1,0))</f>
        <v/>
      </c>
      <c r="K2171" s="16" t="str">
        <f aca="false">IF(B2171="","",IF(AND(D2171="Formalização",E2171="Concluído"),IF(COUNTIFS($B$2:$B$5001,B2171,$E$2:$E$5001,"Em ajustes",$A$2:$A$5001,"&lt;"&amp;I2171)&gt;0,1,0),0))</f>
        <v/>
      </c>
      <c r="L2171" s="16" t="str">
        <f aca="false">IF(B2171="","",IF(A2171=_xlfn.MAXIFS($A$2:$A$5001,$B$2:$B$5001,B2171,$I$2:$I$5001,I2171),1,0))</f>
        <v/>
      </c>
    </row>
    <row r="2172" customFormat="false" ht="15" hidden="false" customHeight="false" outlineLevel="0" collapsed="false">
      <c r="I2172" s="15" t="str">
        <f aca="false">IF(A2172="","",INT(A2172))</f>
        <v/>
      </c>
      <c r="J2172" s="16" t="str">
        <f aca="false">IF(B2172="","",IF(A2172=_xlfn.MINIFS($A$2:$A$5001,$B$2:$B$5001,B2172),1,0))</f>
        <v/>
      </c>
      <c r="K2172" s="16" t="str">
        <f aca="false">IF(B2172="","",IF(AND(D2172="Formalização",E2172="Concluído"),IF(COUNTIFS($B$2:$B$5001,B2172,$E$2:$E$5001,"Em ajustes",$A$2:$A$5001,"&lt;"&amp;I2172)&gt;0,1,0),0))</f>
        <v/>
      </c>
      <c r="L2172" s="16" t="str">
        <f aca="false">IF(B2172="","",IF(A2172=_xlfn.MAXIFS($A$2:$A$5001,$B$2:$B$5001,B2172,$I$2:$I$5001,I2172),1,0))</f>
        <v/>
      </c>
    </row>
    <row r="2173" customFormat="false" ht="15" hidden="false" customHeight="false" outlineLevel="0" collapsed="false">
      <c r="I2173" s="15" t="str">
        <f aca="false">IF(A2173="","",INT(A2173))</f>
        <v/>
      </c>
      <c r="J2173" s="16" t="str">
        <f aca="false">IF(B2173="","",IF(A2173=_xlfn.MINIFS($A$2:$A$5001,$B$2:$B$5001,B2173),1,0))</f>
        <v/>
      </c>
      <c r="K2173" s="16" t="str">
        <f aca="false">IF(B2173="","",IF(AND(D2173="Formalização",E2173="Concluído"),IF(COUNTIFS($B$2:$B$5001,B2173,$E$2:$E$5001,"Em ajustes",$A$2:$A$5001,"&lt;"&amp;I2173)&gt;0,1,0),0))</f>
        <v/>
      </c>
      <c r="L2173" s="16" t="str">
        <f aca="false">IF(B2173="","",IF(A2173=_xlfn.MAXIFS($A$2:$A$5001,$B$2:$B$5001,B2173,$I$2:$I$5001,I2173),1,0))</f>
        <v/>
      </c>
    </row>
    <row r="2174" customFormat="false" ht="15" hidden="false" customHeight="false" outlineLevel="0" collapsed="false">
      <c r="I2174" s="15" t="str">
        <f aca="false">IF(A2174="","",INT(A2174))</f>
        <v/>
      </c>
      <c r="J2174" s="16" t="str">
        <f aca="false">IF(B2174="","",IF(A2174=_xlfn.MINIFS($A$2:$A$5001,$B$2:$B$5001,B2174),1,0))</f>
        <v/>
      </c>
      <c r="K2174" s="16" t="str">
        <f aca="false">IF(B2174="","",IF(AND(D2174="Formalização",E2174="Concluído"),IF(COUNTIFS($B$2:$B$5001,B2174,$E$2:$E$5001,"Em ajustes",$A$2:$A$5001,"&lt;"&amp;I2174)&gt;0,1,0),0))</f>
        <v/>
      </c>
      <c r="L2174" s="16" t="str">
        <f aca="false">IF(B2174="","",IF(A2174=_xlfn.MAXIFS($A$2:$A$5001,$B$2:$B$5001,B2174,$I$2:$I$5001,I2174),1,0))</f>
        <v/>
      </c>
    </row>
    <row r="2175" customFormat="false" ht="15" hidden="false" customHeight="false" outlineLevel="0" collapsed="false">
      <c r="I2175" s="15" t="str">
        <f aca="false">IF(A2175="","",INT(A2175))</f>
        <v/>
      </c>
      <c r="J2175" s="16" t="str">
        <f aca="false">IF(B2175="","",IF(A2175=_xlfn.MINIFS($A$2:$A$5001,$B$2:$B$5001,B2175),1,0))</f>
        <v/>
      </c>
      <c r="K2175" s="16" t="str">
        <f aca="false">IF(B2175="","",IF(AND(D2175="Formalização",E2175="Concluído"),IF(COUNTIFS($B$2:$B$5001,B2175,$E$2:$E$5001,"Em ajustes",$A$2:$A$5001,"&lt;"&amp;I2175)&gt;0,1,0),0))</f>
        <v/>
      </c>
      <c r="L2175" s="16" t="str">
        <f aca="false">IF(B2175="","",IF(A2175=_xlfn.MAXIFS($A$2:$A$5001,$B$2:$B$5001,B2175,$I$2:$I$5001,I2175),1,0))</f>
        <v/>
      </c>
    </row>
    <row r="2176" customFormat="false" ht="15" hidden="false" customHeight="false" outlineLevel="0" collapsed="false">
      <c r="I2176" s="15" t="str">
        <f aca="false">IF(A2176="","",INT(A2176))</f>
        <v/>
      </c>
      <c r="J2176" s="16" t="str">
        <f aca="false">IF(B2176="","",IF(A2176=_xlfn.MINIFS($A$2:$A$5001,$B$2:$B$5001,B2176),1,0))</f>
        <v/>
      </c>
      <c r="K2176" s="16" t="str">
        <f aca="false">IF(B2176="","",IF(AND(D2176="Formalização",E2176="Concluído"),IF(COUNTIFS($B$2:$B$5001,B2176,$E$2:$E$5001,"Em ajustes",$A$2:$A$5001,"&lt;"&amp;I2176)&gt;0,1,0),0))</f>
        <v/>
      </c>
      <c r="L2176" s="16" t="str">
        <f aca="false">IF(B2176="","",IF(A2176=_xlfn.MAXIFS($A$2:$A$5001,$B$2:$B$5001,B2176,$I$2:$I$5001,I2176),1,0))</f>
        <v/>
      </c>
    </row>
    <row r="2177" customFormat="false" ht="15" hidden="false" customHeight="false" outlineLevel="0" collapsed="false">
      <c r="I2177" s="15" t="str">
        <f aca="false">IF(A2177="","",INT(A2177))</f>
        <v/>
      </c>
      <c r="J2177" s="16" t="str">
        <f aca="false">IF(B2177="","",IF(A2177=_xlfn.MINIFS($A$2:$A$5001,$B$2:$B$5001,B2177),1,0))</f>
        <v/>
      </c>
      <c r="K2177" s="16" t="str">
        <f aca="false">IF(B2177="","",IF(AND(D2177="Formalização",E2177="Concluído"),IF(COUNTIFS($B$2:$B$5001,B2177,$E$2:$E$5001,"Em ajustes",$A$2:$A$5001,"&lt;"&amp;I2177)&gt;0,1,0),0))</f>
        <v/>
      </c>
      <c r="L2177" s="16" t="str">
        <f aca="false">IF(B2177="","",IF(A2177=_xlfn.MAXIFS($A$2:$A$5001,$B$2:$B$5001,B2177,$I$2:$I$5001,I2177),1,0))</f>
        <v/>
      </c>
    </row>
    <row r="2178" customFormat="false" ht="15" hidden="false" customHeight="false" outlineLevel="0" collapsed="false">
      <c r="I2178" s="15" t="str">
        <f aca="false">IF(A2178="","",INT(A2178))</f>
        <v/>
      </c>
      <c r="J2178" s="16" t="str">
        <f aca="false">IF(B2178="","",IF(A2178=_xlfn.MINIFS($A$2:$A$5001,$B$2:$B$5001,B2178),1,0))</f>
        <v/>
      </c>
      <c r="K2178" s="16" t="str">
        <f aca="false">IF(B2178="","",IF(AND(D2178="Formalização",E2178="Concluído"),IF(COUNTIFS($B$2:$B$5001,B2178,$E$2:$E$5001,"Em ajustes",$A$2:$A$5001,"&lt;"&amp;I2178)&gt;0,1,0),0))</f>
        <v/>
      </c>
      <c r="L2178" s="16" t="str">
        <f aca="false">IF(B2178="","",IF(A2178=_xlfn.MAXIFS($A$2:$A$5001,$B$2:$B$5001,B2178,$I$2:$I$5001,I2178),1,0))</f>
        <v/>
      </c>
    </row>
    <row r="2179" customFormat="false" ht="15" hidden="false" customHeight="false" outlineLevel="0" collapsed="false">
      <c r="I2179" s="15" t="str">
        <f aca="false">IF(A2179="","",INT(A2179))</f>
        <v/>
      </c>
      <c r="J2179" s="16" t="str">
        <f aca="false">IF(B2179="","",IF(A2179=_xlfn.MINIFS($A$2:$A$5001,$B$2:$B$5001,B2179),1,0))</f>
        <v/>
      </c>
      <c r="K2179" s="16" t="str">
        <f aca="false">IF(B2179="","",IF(AND(D2179="Formalização",E2179="Concluído"),IF(COUNTIFS($B$2:$B$5001,B2179,$E$2:$E$5001,"Em ajustes",$A$2:$A$5001,"&lt;"&amp;I2179)&gt;0,1,0),0))</f>
        <v/>
      </c>
      <c r="L2179" s="16" t="str">
        <f aca="false">IF(B2179="","",IF(A2179=_xlfn.MAXIFS($A$2:$A$5001,$B$2:$B$5001,B2179,$I$2:$I$5001,I2179),1,0))</f>
        <v/>
      </c>
    </row>
    <row r="2180" customFormat="false" ht="15" hidden="false" customHeight="false" outlineLevel="0" collapsed="false">
      <c r="I2180" s="15" t="str">
        <f aca="false">IF(A2180="","",INT(A2180))</f>
        <v/>
      </c>
      <c r="J2180" s="16" t="str">
        <f aca="false">IF(B2180="","",IF(A2180=_xlfn.MINIFS($A$2:$A$5001,$B$2:$B$5001,B2180),1,0))</f>
        <v/>
      </c>
      <c r="K2180" s="16" t="str">
        <f aca="false">IF(B2180="","",IF(AND(D2180="Formalização",E2180="Concluído"),IF(COUNTIFS($B$2:$B$5001,B2180,$E$2:$E$5001,"Em ajustes",$A$2:$A$5001,"&lt;"&amp;I2180)&gt;0,1,0),0))</f>
        <v/>
      </c>
      <c r="L2180" s="16" t="str">
        <f aca="false">IF(B2180="","",IF(A2180=_xlfn.MAXIFS($A$2:$A$5001,$B$2:$B$5001,B2180,$I$2:$I$5001,I2180),1,0))</f>
        <v/>
      </c>
    </row>
    <row r="2181" customFormat="false" ht="15" hidden="false" customHeight="false" outlineLevel="0" collapsed="false">
      <c r="I2181" s="15" t="str">
        <f aca="false">IF(A2181="","",INT(A2181))</f>
        <v/>
      </c>
      <c r="J2181" s="16" t="str">
        <f aca="false">IF(B2181="","",IF(A2181=_xlfn.MINIFS($A$2:$A$5001,$B$2:$B$5001,B2181),1,0))</f>
        <v/>
      </c>
      <c r="K2181" s="16" t="str">
        <f aca="false">IF(B2181="","",IF(AND(D2181="Formalização",E2181="Concluído"),IF(COUNTIFS($B$2:$B$5001,B2181,$E$2:$E$5001,"Em ajustes",$A$2:$A$5001,"&lt;"&amp;I2181)&gt;0,1,0),0))</f>
        <v/>
      </c>
      <c r="L2181" s="16" t="str">
        <f aca="false">IF(B2181="","",IF(A2181=_xlfn.MAXIFS($A$2:$A$5001,$B$2:$B$5001,B2181,$I$2:$I$5001,I2181),1,0))</f>
        <v/>
      </c>
    </row>
    <row r="2182" customFormat="false" ht="15" hidden="false" customHeight="false" outlineLevel="0" collapsed="false">
      <c r="I2182" s="15" t="str">
        <f aca="false">IF(A2182="","",INT(A2182))</f>
        <v/>
      </c>
      <c r="J2182" s="16" t="str">
        <f aca="false">IF(B2182="","",IF(A2182=_xlfn.MINIFS($A$2:$A$5001,$B$2:$B$5001,B2182),1,0))</f>
        <v/>
      </c>
      <c r="K2182" s="16" t="str">
        <f aca="false">IF(B2182="","",IF(AND(D2182="Formalização",E2182="Concluído"),IF(COUNTIFS($B$2:$B$5001,B2182,$E$2:$E$5001,"Em ajustes",$A$2:$A$5001,"&lt;"&amp;I2182)&gt;0,1,0),0))</f>
        <v/>
      </c>
      <c r="L2182" s="16" t="str">
        <f aca="false">IF(B2182="","",IF(A2182=_xlfn.MAXIFS($A$2:$A$5001,$B$2:$B$5001,B2182,$I$2:$I$5001,I2182),1,0))</f>
        <v/>
      </c>
    </row>
    <row r="2183" customFormat="false" ht="15" hidden="false" customHeight="false" outlineLevel="0" collapsed="false">
      <c r="I2183" s="15" t="str">
        <f aca="false">IF(A2183="","",INT(A2183))</f>
        <v/>
      </c>
      <c r="J2183" s="16" t="str">
        <f aca="false">IF(B2183="","",IF(A2183=_xlfn.MINIFS($A$2:$A$5001,$B$2:$B$5001,B2183),1,0))</f>
        <v/>
      </c>
      <c r="K2183" s="16" t="str">
        <f aca="false">IF(B2183="","",IF(AND(D2183="Formalização",E2183="Concluído"),IF(COUNTIFS($B$2:$B$5001,B2183,$E$2:$E$5001,"Em ajustes",$A$2:$A$5001,"&lt;"&amp;I2183)&gt;0,1,0),0))</f>
        <v/>
      </c>
      <c r="L2183" s="16" t="str">
        <f aca="false">IF(B2183="","",IF(A2183=_xlfn.MAXIFS($A$2:$A$5001,$B$2:$B$5001,B2183,$I$2:$I$5001,I2183),1,0))</f>
        <v/>
      </c>
    </row>
    <row r="2184" customFormat="false" ht="15" hidden="false" customHeight="false" outlineLevel="0" collapsed="false">
      <c r="I2184" s="15" t="str">
        <f aca="false">IF(A2184="","",INT(A2184))</f>
        <v/>
      </c>
      <c r="J2184" s="16" t="str">
        <f aca="false">IF(B2184="","",IF(A2184=_xlfn.MINIFS($A$2:$A$5001,$B$2:$B$5001,B2184),1,0))</f>
        <v/>
      </c>
      <c r="K2184" s="16" t="str">
        <f aca="false">IF(B2184="","",IF(AND(D2184="Formalização",E2184="Concluído"),IF(COUNTIFS($B$2:$B$5001,B2184,$E$2:$E$5001,"Em ajustes",$A$2:$A$5001,"&lt;"&amp;I2184)&gt;0,1,0),0))</f>
        <v/>
      </c>
      <c r="L2184" s="16" t="str">
        <f aca="false">IF(B2184="","",IF(A2184=_xlfn.MAXIFS($A$2:$A$5001,$B$2:$B$5001,B2184,$I$2:$I$5001,I2184),1,0))</f>
        <v/>
      </c>
    </row>
    <row r="2185" customFormat="false" ht="15" hidden="false" customHeight="false" outlineLevel="0" collapsed="false">
      <c r="I2185" s="15" t="str">
        <f aca="false">IF(A2185="","",INT(A2185))</f>
        <v/>
      </c>
      <c r="J2185" s="16" t="str">
        <f aca="false">IF(B2185="","",IF(A2185=_xlfn.MINIFS($A$2:$A$5001,$B$2:$B$5001,B2185),1,0))</f>
        <v/>
      </c>
      <c r="K2185" s="16" t="str">
        <f aca="false">IF(B2185="","",IF(AND(D2185="Formalização",E2185="Concluído"),IF(COUNTIFS($B$2:$B$5001,B2185,$E$2:$E$5001,"Em ajustes",$A$2:$A$5001,"&lt;"&amp;I2185)&gt;0,1,0),0))</f>
        <v/>
      </c>
      <c r="L2185" s="16" t="str">
        <f aca="false">IF(B2185="","",IF(A2185=_xlfn.MAXIFS($A$2:$A$5001,$B$2:$B$5001,B2185,$I$2:$I$5001,I2185),1,0))</f>
        <v/>
      </c>
    </row>
    <row r="2186" customFormat="false" ht="15" hidden="false" customHeight="false" outlineLevel="0" collapsed="false">
      <c r="I2186" s="15" t="str">
        <f aca="false">IF(A2186="","",INT(A2186))</f>
        <v/>
      </c>
      <c r="J2186" s="16" t="str">
        <f aca="false">IF(B2186="","",IF(A2186=_xlfn.MINIFS($A$2:$A$5001,$B$2:$B$5001,B2186),1,0))</f>
        <v/>
      </c>
      <c r="K2186" s="16" t="str">
        <f aca="false">IF(B2186="","",IF(AND(D2186="Formalização",E2186="Concluído"),IF(COUNTIFS($B$2:$B$5001,B2186,$E$2:$E$5001,"Em ajustes",$A$2:$A$5001,"&lt;"&amp;I2186)&gt;0,1,0),0))</f>
        <v/>
      </c>
      <c r="L2186" s="16" t="str">
        <f aca="false">IF(B2186="","",IF(A2186=_xlfn.MAXIFS($A$2:$A$5001,$B$2:$B$5001,B2186,$I$2:$I$5001,I2186),1,0))</f>
        <v/>
      </c>
    </row>
    <row r="2187" customFormat="false" ht="15" hidden="false" customHeight="false" outlineLevel="0" collapsed="false">
      <c r="I2187" s="15" t="str">
        <f aca="false">IF(A2187="","",INT(A2187))</f>
        <v/>
      </c>
      <c r="J2187" s="16" t="str">
        <f aca="false">IF(B2187="","",IF(A2187=_xlfn.MINIFS($A$2:$A$5001,$B$2:$B$5001,B2187),1,0))</f>
        <v/>
      </c>
      <c r="K2187" s="16" t="str">
        <f aca="false">IF(B2187="","",IF(AND(D2187="Formalização",E2187="Concluído"),IF(COUNTIFS($B$2:$B$5001,B2187,$E$2:$E$5001,"Em ajustes",$A$2:$A$5001,"&lt;"&amp;I2187)&gt;0,1,0),0))</f>
        <v/>
      </c>
      <c r="L2187" s="16" t="str">
        <f aca="false">IF(B2187="","",IF(A2187=_xlfn.MAXIFS($A$2:$A$5001,$B$2:$B$5001,B2187,$I$2:$I$5001,I2187),1,0))</f>
        <v/>
      </c>
    </row>
    <row r="2188" customFormat="false" ht="15" hidden="false" customHeight="false" outlineLevel="0" collapsed="false">
      <c r="I2188" s="15" t="str">
        <f aca="false">IF(A2188="","",INT(A2188))</f>
        <v/>
      </c>
      <c r="J2188" s="16" t="str">
        <f aca="false">IF(B2188="","",IF(A2188=_xlfn.MINIFS($A$2:$A$5001,$B$2:$B$5001,B2188),1,0))</f>
        <v/>
      </c>
      <c r="K2188" s="16" t="str">
        <f aca="false">IF(B2188="","",IF(AND(D2188="Formalização",E2188="Concluído"),IF(COUNTIFS($B$2:$B$5001,B2188,$E$2:$E$5001,"Em ajustes",$A$2:$A$5001,"&lt;"&amp;I2188)&gt;0,1,0),0))</f>
        <v/>
      </c>
      <c r="L2188" s="16" t="str">
        <f aca="false">IF(B2188="","",IF(A2188=_xlfn.MAXIFS($A$2:$A$5001,$B$2:$B$5001,B2188,$I$2:$I$5001,I2188),1,0))</f>
        <v/>
      </c>
    </row>
    <row r="2189" customFormat="false" ht="15" hidden="false" customHeight="false" outlineLevel="0" collapsed="false">
      <c r="I2189" s="15" t="str">
        <f aca="false">IF(A2189="","",INT(A2189))</f>
        <v/>
      </c>
      <c r="J2189" s="16" t="str">
        <f aca="false">IF(B2189="","",IF(A2189=_xlfn.MINIFS($A$2:$A$5001,$B$2:$B$5001,B2189),1,0))</f>
        <v/>
      </c>
      <c r="K2189" s="16" t="str">
        <f aca="false">IF(B2189="","",IF(AND(D2189="Formalização",E2189="Concluído"),IF(COUNTIFS($B$2:$B$5001,B2189,$E$2:$E$5001,"Em ajustes",$A$2:$A$5001,"&lt;"&amp;I2189)&gt;0,1,0),0))</f>
        <v/>
      </c>
      <c r="L2189" s="16" t="str">
        <f aca="false">IF(B2189="","",IF(A2189=_xlfn.MAXIFS($A$2:$A$5001,$B$2:$B$5001,B2189,$I$2:$I$5001,I2189),1,0))</f>
        <v/>
      </c>
    </row>
    <row r="2190" customFormat="false" ht="15" hidden="false" customHeight="false" outlineLevel="0" collapsed="false">
      <c r="I2190" s="15" t="str">
        <f aca="false">IF(A2190="","",INT(A2190))</f>
        <v/>
      </c>
      <c r="J2190" s="16" t="str">
        <f aca="false">IF(B2190="","",IF(A2190=_xlfn.MINIFS($A$2:$A$5001,$B$2:$B$5001,B2190),1,0))</f>
        <v/>
      </c>
      <c r="K2190" s="16" t="str">
        <f aca="false">IF(B2190="","",IF(AND(D2190="Formalização",E2190="Concluído"),IF(COUNTIFS($B$2:$B$5001,B2190,$E$2:$E$5001,"Em ajustes",$A$2:$A$5001,"&lt;"&amp;I2190)&gt;0,1,0),0))</f>
        <v/>
      </c>
      <c r="L2190" s="16" t="str">
        <f aca="false">IF(B2190="","",IF(A2190=_xlfn.MAXIFS($A$2:$A$5001,$B$2:$B$5001,B2190,$I$2:$I$5001,I2190),1,0))</f>
        <v/>
      </c>
    </row>
    <row r="2191" customFormat="false" ht="15" hidden="false" customHeight="false" outlineLevel="0" collapsed="false">
      <c r="I2191" s="15" t="str">
        <f aca="false">IF(A2191="","",INT(A2191))</f>
        <v/>
      </c>
      <c r="J2191" s="16" t="str">
        <f aca="false">IF(B2191="","",IF(A2191=_xlfn.MINIFS($A$2:$A$5001,$B$2:$B$5001,B2191),1,0))</f>
        <v/>
      </c>
      <c r="K2191" s="16" t="str">
        <f aca="false">IF(B2191="","",IF(AND(D2191="Formalização",E2191="Concluído"),IF(COUNTIFS($B$2:$B$5001,B2191,$E$2:$E$5001,"Em ajustes",$A$2:$A$5001,"&lt;"&amp;I2191)&gt;0,1,0),0))</f>
        <v/>
      </c>
      <c r="L2191" s="16" t="str">
        <f aca="false">IF(B2191="","",IF(A2191=_xlfn.MAXIFS($A$2:$A$5001,$B$2:$B$5001,B2191,$I$2:$I$5001,I2191),1,0))</f>
        <v/>
      </c>
    </row>
    <row r="2192" customFormat="false" ht="15" hidden="false" customHeight="false" outlineLevel="0" collapsed="false">
      <c r="I2192" s="15" t="str">
        <f aca="false">IF(A2192="","",INT(A2192))</f>
        <v/>
      </c>
      <c r="J2192" s="16" t="str">
        <f aca="false">IF(B2192="","",IF(A2192=_xlfn.MINIFS($A$2:$A$5001,$B$2:$B$5001,B2192),1,0))</f>
        <v/>
      </c>
      <c r="K2192" s="16" t="str">
        <f aca="false">IF(B2192="","",IF(AND(D2192="Formalização",E2192="Concluído"),IF(COUNTIFS($B$2:$B$5001,B2192,$E$2:$E$5001,"Em ajustes",$A$2:$A$5001,"&lt;"&amp;I2192)&gt;0,1,0),0))</f>
        <v/>
      </c>
      <c r="L2192" s="16" t="str">
        <f aca="false">IF(B2192="","",IF(A2192=_xlfn.MAXIFS($A$2:$A$5001,$B$2:$B$5001,B2192,$I$2:$I$5001,I2192),1,0))</f>
        <v/>
      </c>
    </row>
    <row r="2193" customFormat="false" ht="15" hidden="false" customHeight="false" outlineLevel="0" collapsed="false">
      <c r="I2193" s="15" t="str">
        <f aca="false">IF(A2193="","",INT(A2193))</f>
        <v/>
      </c>
      <c r="J2193" s="16" t="str">
        <f aca="false">IF(B2193="","",IF(A2193=_xlfn.MINIFS($A$2:$A$5001,$B$2:$B$5001,B2193),1,0))</f>
        <v/>
      </c>
      <c r="K2193" s="16" t="str">
        <f aca="false">IF(B2193="","",IF(AND(D2193="Formalização",E2193="Concluído"),IF(COUNTIFS($B$2:$B$5001,B2193,$E$2:$E$5001,"Em ajustes",$A$2:$A$5001,"&lt;"&amp;I2193)&gt;0,1,0),0))</f>
        <v/>
      </c>
      <c r="L2193" s="16" t="str">
        <f aca="false">IF(B2193="","",IF(A2193=_xlfn.MAXIFS($A$2:$A$5001,$B$2:$B$5001,B2193,$I$2:$I$5001,I2193),1,0))</f>
        <v/>
      </c>
    </row>
    <row r="2194" customFormat="false" ht="15" hidden="false" customHeight="false" outlineLevel="0" collapsed="false">
      <c r="I2194" s="15" t="str">
        <f aca="false">IF(A2194="","",INT(A2194))</f>
        <v/>
      </c>
      <c r="J2194" s="16" t="str">
        <f aca="false">IF(B2194="","",IF(A2194=_xlfn.MINIFS($A$2:$A$5001,$B$2:$B$5001,B2194),1,0))</f>
        <v/>
      </c>
      <c r="K2194" s="16" t="str">
        <f aca="false">IF(B2194="","",IF(AND(D2194="Formalização",E2194="Concluído"),IF(COUNTIFS($B$2:$B$5001,B2194,$E$2:$E$5001,"Em ajustes",$A$2:$A$5001,"&lt;"&amp;I2194)&gt;0,1,0),0))</f>
        <v/>
      </c>
      <c r="L2194" s="16" t="str">
        <f aca="false">IF(B2194="","",IF(A2194=_xlfn.MAXIFS($A$2:$A$5001,$B$2:$B$5001,B2194,$I$2:$I$5001,I2194),1,0))</f>
        <v/>
      </c>
    </row>
    <row r="2195" customFormat="false" ht="15" hidden="false" customHeight="false" outlineLevel="0" collapsed="false">
      <c r="I2195" s="15" t="str">
        <f aca="false">IF(A2195="","",INT(A2195))</f>
        <v/>
      </c>
      <c r="J2195" s="16" t="str">
        <f aca="false">IF(B2195="","",IF(A2195=_xlfn.MINIFS($A$2:$A$5001,$B$2:$B$5001,B2195),1,0))</f>
        <v/>
      </c>
      <c r="K2195" s="16" t="str">
        <f aca="false">IF(B2195="","",IF(AND(D2195="Formalização",E2195="Concluído"),IF(COUNTIFS($B$2:$B$5001,B2195,$E$2:$E$5001,"Em ajustes",$A$2:$A$5001,"&lt;"&amp;I2195)&gt;0,1,0),0))</f>
        <v/>
      </c>
      <c r="L2195" s="16" t="str">
        <f aca="false">IF(B2195="","",IF(A2195=_xlfn.MAXIFS($A$2:$A$5001,$B$2:$B$5001,B2195,$I$2:$I$5001,I2195),1,0))</f>
        <v/>
      </c>
    </row>
    <row r="2196" customFormat="false" ht="15" hidden="false" customHeight="false" outlineLevel="0" collapsed="false">
      <c r="I2196" s="15" t="str">
        <f aca="false">IF(A2196="","",INT(A2196))</f>
        <v/>
      </c>
      <c r="J2196" s="16" t="str">
        <f aca="false">IF(B2196="","",IF(A2196=_xlfn.MINIFS($A$2:$A$5001,$B$2:$B$5001,B2196),1,0))</f>
        <v/>
      </c>
      <c r="K2196" s="16" t="str">
        <f aca="false">IF(B2196="","",IF(AND(D2196="Formalização",E2196="Concluído"),IF(COUNTIFS($B$2:$B$5001,B2196,$E$2:$E$5001,"Em ajustes",$A$2:$A$5001,"&lt;"&amp;I2196)&gt;0,1,0),0))</f>
        <v/>
      </c>
      <c r="L2196" s="16" t="str">
        <f aca="false">IF(B2196="","",IF(A2196=_xlfn.MAXIFS($A$2:$A$5001,$B$2:$B$5001,B2196,$I$2:$I$5001,I2196),1,0))</f>
        <v/>
      </c>
    </row>
    <row r="2197" customFormat="false" ht="15" hidden="false" customHeight="false" outlineLevel="0" collapsed="false">
      <c r="I2197" s="15" t="str">
        <f aca="false">IF(A2197="","",INT(A2197))</f>
        <v/>
      </c>
      <c r="J2197" s="16" t="str">
        <f aca="false">IF(B2197="","",IF(A2197=_xlfn.MINIFS($A$2:$A$5001,$B$2:$B$5001,B2197),1,0))</f>
        <v/>
      </c>
      <c r="K2197" s="16" t="str">
        <f aca="false">IF(B2197="","",IF(AND(D2197="Formalização",E2197="Concluído"),IF(COUNTIFS($B$2:$B$5001,B2197,$E$2:$E$5001,"Em ajustes",$A$2:$A$5001,"&lt;"&amp;I2197)&gt;0,1,0),0))</f>
        <v/>
      </c>
      <c r="L2197" s="16" t="str">
        <f aca="false">IF(B2197="","",IF(A2197=_xlfn.MAXIFS($A$2:$A$5001,$B$2:$B$5001,B2197,$I$2:$I$5001,I2197),1,0))</f>
        <v/>
      </c>
    </row>
    <row r="2198" customFormat="false" ht="15" hidden="false" customHeight="false" outlineLevel="0" collapsed="false">
      <c r="I2198" s="15" t="str">
        <f aca="false">IF(A2198="","",INT(A2198))</f>
        <v/>
      </c>
      <c r="J2198" s="16" t="str">
        <f aca="false">IF(B2198="","",IF(A2198=_xlfn.MINIFS($A$2:$A$5001,$B$2:$B$5001,B2198),1,0))</f>
        <v/>
      </c>
      <c r="K2198" s="16" t="str">
        <f aca="false">IF(B2198="","",IF(AND(D2198="Formalização",E2198="Concluído"),IF(COUNTIFS($B$2:$B$5001,B2198,$E$2:$E$5001,"Em ajustes",$A$2:$A$5001,"&lt;"&amp;I2198)&gt;0,1,0),0))</f>
        <v/>
      </c>
      <c r="L2198" s="16" t="str">
        <f aca="false">IF(B2198="","",IF(A2198=_xlfn.MAXIFS($A$2:$A$5001,$B$2:$B$5001,B2198,$I$2:$I$5001,I2198),1,0))</f>
        <v/>
      </c>
    </row>
    <row r="2199" customFormat="false" ht="15" hidden="false" customHeight="false" outlineLevel="0" collapsed="false">
      <c r="I2199" s="15" t="str">
        <f aca="false">IF(A2199="","",INT(A2199))</f>
        <v/>
      </c>
      <c r="J2199" s="16" t="str">
        <f aca="false">IF(B2199="","",IF(A2199=_xlfn.MINIFS($A$2:$A$5001,$B$2:$B$5001,B2199),1,0))</f>
        <v/>
      </c>
      <c r="K2199" s="16" t="str">
        <f aca="false">IF(B2199="","",IF(AND(D2199="Formalização",E2199="Concluído"),IF(COUNTIFS($B$2:$B$5001,B2199,$E$2:$E$5001,"Em ajustes",$A$2:$A$5001,"&lt;"&amp;I2199)&gt;0,1,0),0))</f>
        <v/>
      </c>
      <c r="L2199" s="16" t="str">
        <f aca="false">IF(B2199="","",IF(A2199=_xlfn.MAXIFS($A$2:$A$5001,$B$2:$B$5001,B2199,$I$2:$I$5001,I2199),1,0))</f>
        <v/>
      </c>
    </row>
    <row r="2200" customFormat="false" ht="15" hidden="false" customHeight="false" outlineLevel="0" collapsed="false">
      <c r="I2200" s="15" t="str">
        <f aca="false">IF(A2200="","",INT(A2200))</f>
        <v/>
      </c>
      <c r="J2200" s="16" t="str">
        <f aca="false">IF(B2200="","",IF(A2200=_xlfn.MINIFS($A$2:$A$5001,$B$2:$B$5001,B2200),1,0))</f>
        <v/>
      </c>
      <c r="K2200" s="16" t="str">
        <f aca="false">IF(B2200="","",IF(AND(D2200="Formalização",E2200="Concluído"),IF(COUNTIFS($B$2:$B$5001,B2200,$E$2:$E$5001,"Em ajustes",$A$2:$A$5001,"&lt;"&amp;I2200)&gt;0,1,0),0))</f>
        <v/>
      </c>
      <c r="L2200" s="16" t="str">
        <f aca="false">IF(B2200="","",IF(A2200=_xlfn.MAXIFS($A$2:$A$5001,$B$2:$B$5001,B2200,$I$2:$I$5001,I2200),1,0))</f>
        <v/>
      </c>
    </row>
    <row r="2201" customFormat="false" ht="15" hidden="false" customHeight="false" outlineLevel="0" collapsed="false">
      <c r="I2201" s="15" t="str">
        <f aca="false">IF(A2201="","",INT(A2201))</f>
        <v/>
      </c>
      <c r="J2201" s="16" t="str">
        <f aca="false">IF(B2201="","",IF(A2201=_xlfn.MINIFS($A$2:$A$5001,$B$2:$B$5001,B2201),1,0))</f>
        <v/>
      </c>
      <c r="K2201" s="16" t="str">
        <f aca="false">IF(B2201="","",IF(AND(D2201="Formalização",E2201="Concluído"),IF(COUNTIFS($B$2:$B$5001,B2201,$E$2:$E$5001,"Em ajustes",$A$2:$A$5001,"&lt;"&amp;I2201)&gt;0,1,0),0))</f>
        <v/>
      </c>
      <c r="L2201" s="16" t="str">
        <f aca="false">IF(B2201="","",IF(A2201=_xlfn.MAXIFS($A$2:$A$5001,$B$2:$B$5001,B2201,$I$2:$I$5001,I2201),1,0))</f>
        <v/>
      </c>
    </row>
    <row r="2202" customFormat="false" ht="15" hidden="false" customHeight="false" outlineLevel="0" collapsed="false">
      <c r="I2202" s="15" t="str">
        <f aca="false">IF(A2202="","",INT(A2202))</f>
        <v/>
      </c>
      <c r="J2202" s="16" t="str">
        <f aca="false">IF(B2202="","",IF(A2202=_xlfn.MINIFS($A$2:$A$5001,$B$2:$B$5001,B2202),1,0))</f>
        <v/>
      </c>
      <c r="K2202" s="16" t="str">
        <f aca="false">IF(B2202="","",IF(AND(D2202="Formalização",E2202="Concluído"),IF(COUNTIFS($B$2:$B$5001,B2202,$E$2:$E$5001,"Em ajustes",$A$2:$A$5001,"&lt;"&amp;I2202)&gt;0,1,0),0))</f>
        <v/>
      </c>
      <c r="L2202" s="16" t="str">
        <f aca="false">IF(B2202="","",IF(A2202=_xlfn.MAXIFS($A$2:$A$5001,$B$2:$B$5001,B2202,$I$2:$I$5001,I2202),1,0))</f>
        <v/>
      </c>
    </row>
    <row r="2203" customFormat="false" ht="15" hidden="false" customHeight="false" outlineLevel="0" collapsed="false">
      <c r="I2203" s="15" t="str">
        <f aca="false">IF(A2203="","",INT(A2203))</f>
        <v/>
      </c>
      <c r="J2203" s="16" t="str">
        <f aca="false">IF(B2203="","",IF(A2203=_xlfn.MINIFS($A$2:$A$5001,$B$2:$B$5001,B2203),1,0))</f>
        <v/>
      </c>
      <c r="K2203" s="16" t="str">
        <f aca="false">IF(B2203="","",IF(AND(D2203="Formalização",E2203="Concluído"),IF(COUNTIFS($B$2:$B$5001,B2203,$E$2:$E$5001,"Em ajustes",$A$2:$A$5001,"&lt;"&amp;I2203)&gt;0,1,0),0))</f>
        <v/>
      </c>
      <c r="L2203" s="16" t="str">
        <f aca="false">IF(B2203="","",IF(A2203=_xlfn.MAXIFS($A$2:$A$5001,$B$2:$B$5001,B2203,$I$2:$I$5001,I2203),1,0))</f>
        <v/>
      </c>
    </row>
    <row r="2204" customFormat="false" ht="15" hidden="false" customHeight="false" outlineLevel="0" collapsed="false">
      <c r="I2204" s="15" t="str">
        <f aca="false">IF(A2204="","",INT(A2204))</f>
        <v/>
      </c>
      <c r="J2204" s="16" t="str">
        <f aca="false">IF(B2204="","",IF(A2204=_xlfn.MINIFS($A$2:$A$5001,$B$2:$B$5001,B2204),1,0))</f>
        <v/>
      </c>
      <c r="K2204" s="16" t="str">
        <f aca="false">IF(B2204="","",IF(AND(D2204="Formalização",E2204="Concluído"),IF(COUNTIFS($B$2:$B$5001,B2204,$E$2:$E$5001,"Em ajustes",$A$2:$A$5001,"&lt;"&amp;I2204)&gt;0,1,0),0))</f>
        <v/>
      </c>
      <c r="L2204" s="16" t="str">
        <f aca="false">IF(B2204="","",IF(A2204=_xlfn.MAXIFS($A$2:$A$5001,$B$2:$B$5001,B2204,$I$2:$I$5001,I2204),1,0))</f>
        <v/>
      </c>
    </row>
    <row r="2205" customFormat="false" ht="15" hidden="false" customHeight="false" outlineLevel="0" collapsed="false">
      <c r="I2205" s="15" t="str">
        <f aca="false">IF(A2205="","",INT(A2205))</f>
        <v/>
      </c>
      <c r="J2205" s="16" t="str">
        <f aca="false">IF(B2205="","",IF(A2205=_xlfn.MINIFS($A$2:$A$5001,$B$2:$B$5001,B2205),1,0))</f>
        <v/>
      </c>
      <c r="K2205" s="16" t="str">
        <f aca="false">IF(B2205="","",IF(AND(D2205="Formalização",E2205="Concluído"),IF(COUNTIFS($B$2:$B$5001,B2205,$E$2:$E$5001,"Em ajustes",$A$2:$A$5001,"&lt;"&amp;I2205)&gt;0,1,0),0))</f>
        <v/>
      </c>
      <c r="L2205" s="16" t="str">
        <f aca="false">IF(B2205="","",IF(A2205=_xlfn.MAXIFS($A$2:$A$5001,$B$2:$B$5001,B2205,$I$2:$I$5001,I2205),1,0))</f>
        <v/>
      </c>
    </row>
    <row r="2206" customFormat="false" ht="15" hidden="false" customHeight="false" outlineLevel="0" collapsed="false">
      <c r="I2206" s="15" t="str">
        <f aca="false">IF(A2206="","",INT(A2206))</f>
        <v/>
      </c>
      <c r="J2206" s="16" t="str">
        <f aca="false">IF(B2206="","",IF(A2206=_xlfn.MINIFS($A$2:$A$5001,$B$2:$B$5001,B2206),1,0))</f>
        <v/>
      </c>
      <c r="K2206" s="16" t="str">
        <f aca="false">IF(B2206="","",IF(AND(D2206="Formalização",E2206="Concluído"),IF(COUNTIFS($B$2:$B$5001,B2206,$E$2:$E$5001,"Em ajustes",$A$2:$A$5001,"&lt;"&amp;I2206)&gt;0,1,0),0))</f>
        <v/>
      </c>
      <c r="L2206" s="16" t="str">
        <f aca="false">IF(B2206="","",IF(A2206=_xlfn.MAXIFS($A$2:$A$5001,$B$2:$B$5001,B2206,$I$2:$I$5001,I2206),1,0))</f>
        <v/>
      </c>
    </row>
    <row r="2207" customFormat="false" ht="15" hidden="false" customHeight="false" outlineLevel="0" collapsed="false">
      <c r="I2207" s="15" t="str">
        <f aca="false">IF(A2207="","",INT(A2207))</f>
        <v/>
      </c>
      <c r="J2207" s="16" t="str">
        <f aca="false">IF(B2207="","",IF(A2207=_xlfn.MINIFS($A$2:$A$5001,$B$2:$B$5001,B2207),1,0))</f>
        <v/>
      </c>
      <c r="K2207" s="16" t="str">
        <f aca="false">IF(B2207="","",IF(AND(D2207="Formalização",E2207="Concluído"),IF(COUNTIFS($B$2:$B$5001,B2207,$E$2:$E$5001,"Em ajustes",$A$2:$A$5001,"&lt;"&amp;I2207)&gt;0,1,0),0))</f>
        <v/>
      </c>
      <c r="L2207" s="16" t="str">
        <f aca="false">IF(B2207="","",IF(A2207=_xlfn.MAXIFS($A$2:$A$5001,$B$2:$B$5001,B2207,$I$2:$I$5001,I2207),1,0))</f>
        <v/>
      </c>
    </row>
    <row r="2208" customFormat="false" ht="15" hidden="false" customHeight="false" outlineLevel="0" collapsed="false">
      <c r="I2208" s="15" t="str">
        <f aca="false">IF(A2208="","",INT(A2208))</f>
        <v/>
      </c>
      <c r="J2208" s="16" t="str">
        <f aca="false">IF(B2208="","",IF(A2208=_xlfn.MINIFS($A$2:$A$5001,$B$2:$B$5001,B2208),1,0))</f>
        <v/>
      </c>
      <c r="K2208" s="16" t="str">
        <f aca="false">IF(B2208="","",IF(AND(D2208="Formalização",E2208="Concluído"),IF(COUNTIFS($B$2:$B$5001,B2208,$E$2:$E$5001,"Em ajustes",$A$2:$A$5001,"&lt;"&amp;I2208)&gt;0,1,0),0))</f>
        <v/>
      </c>
      <c r="L2208" s="16" t="str">
        <f aca="false">IF(B2208="","",IF(A2208=_xlfn.MAXIFS($A$2:$A$5001,$B$2:$B$5001,B2208,$I$2:$I$5001,I2208),1,0))</f>
        <v/>
      </c>
    </row>
    <row r="2209" customFormat="false" ht="15" hidden="false" customHeight="false" outlineLevel="0" collapsed="false">
      <c r="I2209" s="15" t="str">
        <f aca="false">IF(A2209="","",INT(A2209))</f>
        <v/>
      </c>
      <c r="J2209" s="16" t="str">
        <f aca="false">IF(B2209="","",IF(A2209=_xlfn.MINIFS($A$2:$A$5001,$B$2:$B$5001,B2209),1,0))</f>
        <v/>
      </c>
      <c r="K2209" s="16" t="str">
        <f aca="false">IF(B2209="","",IF(AND(D2209="Formalização",E2209="Concluído"),IF(COUNTIFS($B$2:$B$5001,B2209,$E$2:$E$5001,"Em ajustes",$A$2:$A$5001,"&lt;"&amp;I2209)&gt;0,1,0),0))</f>
        <v/>
      </c>
      <c r="L2209" s="16" t="str">
        <f aca="false">IF(B2209="","",IF(A2209=_xlfn.MAXIFS($A$2:$A$5001,$B$2:$B$5001,B2209,$I$2:$I$5001,I2209),1,0))</f>
        <v/>
      </c>
    </row>
    <row r="2210" customFormat="false" ht="15" hidden="false" customHeight="false" outlineLevel="0" collapsed="false">
      <c r="I2210" s="15" t="str">
        <f aca="false">IF(A2210="","",INT(A2210))</f>
        <v/>
      </c>
      <c r="J2210" s="16" t="str">
        <f aca="false">IF(B2210="","",IF(A2210=_xlfn.MINIFS($A$2:$A$5001,$B$2:$B$5001,B2210),1,0))</f>
        <v/>
      </c>
      <c r="K2210" s="16" t="str">
        <f aca="false">IF(B2210="","",IF(AND(D2210="Formalização",E2210="Concluído"),IF(COUNTIFS($B$2:$B$5001,B2210,$E$2:$E$5001,"Em ajustes",$A$2:$A$5001,"&lt;"&amp;I2210)&gt;0,1,0),0))</f>
        <v/>
      </c>
      <c r="L2210" s="16" t="str">
        <f aca="false">IF(B2210="","",IF(A2210=_xlfn.MAXIFS($A$2:$A$5001,$B$2:$B$5001,B2210,$I$2:$I$5001,I2210),1,0))</f>
        <v/>
      </c>
    </row>
    <row r="2211" customFormat="false" ht="15" hidden="false" customHeight="false" outlineLevel="0" collapsed="false">
      <c r="I2211" s="15" t="str">
        <f aca="false">IF(A2211="","",INT(A2211))</f>
        <v/>
      </c>
      <c r="J2211" s="16" t="str">
        <f aca="false">IF(B2211="","",IF(A2211=_xlfn.MINIFS($A$2:$A$5001,$B$2:$B$5001,B2211),1,0))</f>
        <v/>
      </c>
      <c r="K2211" s="16" t="str">
        <f aca="false">IF(B2211="","",IF(AND(D2211="Formalização",E2211="Concluído"),IF(COUNTIFS($B$2:$B$5001,B2211,$E$2:$E$5001,"Em ajustes",$A$2:$A$5001,"&lt;"&amp;I2211)&gt;0,1,0),0))</f>
        <v/>
      </c>
      <c r="L2211" s="16" t="str">
        <f aca="false">IF(B2211="","",IF(A2211=_xlfn.MAXIFS($A$2:$A$5001,$B$2:$B$5001,B2211,$I$2:$I$5001,I2211),1,0))</f>
        <v/>
      </c>
    </row>
    <row r="2212" customFormat="false" ht="15" hidden="false" customHeight="false" outlineLevel="0" collapsed="false">
      <c r="I2212" s="15" t="str">
        <f aca="false">IF(A2212="","",INT(A2212))</f>
        <v/>
      </c>
      <c r="J2212" s="16" t="str">
        <f aca="false">IF(B2212="","",IF(A2212=_xlfn.MINIFS($A$2:$A$5001,$B$2:$B$5001,B2212),1,0))</f>
        <v/>
      </c>
      <c r="K2212" s="16" t="str">
        <f aca="false">IF(B2212="","",IF(AND(D2212="Formalização",E2212="Concluído"),IF(COUNTIFS($B$2:$B$5001,B2212,$E$2:$E$5001,"Em ajustes",$A$2:$A$5001,"&lt;"&amp;I2212)&gt;0,1,0),0))</f>
        <v/>
      </c>
      <c r="L2212" s="16" t="str">
        <f aca="false">IF(B2212="","",IF(A2212=_xlfn.MAXIFS($A$2:$A$5001,$B$2:$B$5001,B2212,$I$2:$I$5001,I2212),1,0))</f>
        <v/>
      </c>
    </row>
    <row r="2213" customFormat="false" ht="15" hidden="false" customHeight="false" outlineLevel="0" collapsed="false">
      <c r="I2213" s="15" t="str">
        <f aca="false">IF(A2213="","",INT(A2213))</f>
        <v/>
      </c>
      <c r="J2213" s="16" t="str">
        <f aca="false">IF(B2213="","",IF(A2213=_xlfn.MINIFS($A$2:$A$5001,$B$2:$B$5001,B2213),1,0))</f>
        <v/>
      </c>
      <c r="K2213" s="16" t="str">
        <f aca="false">IF(B2213="","",IF(AND(D2213="Formalização",E2213="Concluído"),IF(COUNTIFS($B$2:$B$5001,B2213,$E$2:$E$5001,"Em ajustes",$A$2:$A$5001,"&lt;"&amp;I2213)&gt;0,1,0),0))</f>
        <v/>
      </c>
      <c r="L2213" s="16" t="str">
        <f aca="false">IF(B2213="","",IF(A2213=_xlfn.MAXIFS($A$2:$A$5001,$B$2:$B$5001,B2213,$I$2:$I$5001,I2213),1,0))</f>
        <v/>
      </c>
    </row>
    <row r="2214" customFormat="false" ht="15" hidden="false" customHeight="false" outlineLevel="0" collapsed="false">
      <c r="I2214" s="15" t="str">
        <f aca="false">IF(A2214="","",INT(A2214))</f>
        <v/>
      </c>
      <c r="J2214" s="16" t="str">
        <f aca="false">IF(B2214="","",IF(A2214=_xlfn.MINIFS($A$2:$A$5001,$B$2:$B$5001,B2214),1,0))</f>
        <v/>
      </c>
      <c r="K2214" s="16" t="str">
        <f aca="false">IF(B2214="","",IF(AND(D2214="Formalização",E2214="Concluído"),IF(COUNTIFS($B$2:$B$5001,B2214,$E$2:$E$5001,"Em ajustes",$A$2:$A$5001,"&lt;"&amp;I2214)&gt;0,1,0),0))</f>
        <v/>
      </c>
      <c r="L2214" s="16" t="str">
        <f aca="false">IF(B2214="","",IF(A2214=_xlfn.MAXIFS($A$2:$A$5001,$B$2:$B$5001,B2214,$I$2:$I$5001,I2214),1,0))</f>
        <v/>
      </c>
    </row>
    <row r="2215" customFormat="false" ht="15" hidden="false" customHeight="false" outlineLevel="0" collapsed="false">
      <c r="I2215" s="15" t="str">
        <f aca="false">IF(A2215="","",INT(A2215))</f>
        <v/>
      </c>
      <c r="J2215" s="16" t="str">
        <f aca="false">IF(B2215="","",IF(A2215=_xlfn.MINIFS($A$2:$A$5001,$B$2:$B$5001,B2215),1,0))</f>
        <v/>
      </c>
      <c r="K2215" s="16" t="str">
        <f aca="false">IF(B2215="","",IF(AND(D2215="Formalização",E2215="Concluído"),IF(COUNTIFS($B$2:$B$5001,B2215,$E$2:$E$5001,"Em ajustes",$A$2:$A$5001,"&lt;"&amp;I2215)&gt;0,1,0),0))</f>
        <v/>
      </c>
      <c r="L2215" s="16" t="str">
        <f aca="false">IF(B2215="","",IF(A2215=_xlfn.MAXIFS($A$2:$A$5001,$B$2:$B$5001,B2215,$I$2:$I$5001,I2215),1,0))</f>
        <v/>
      </c>
    </row>
    <row r="2216" customFormat="false" ht="15" hidden="false" customHeight="false" outlineLevel="0" collapsed="false">
      <c r="I2216" s="15" t="str">
        <f aca="false">IF(A2216="","",INT(A2216))</f>
        <v/>
      </c>
      <c r="J2216" s="16" t="str">
        <f aca="false">IF(B2216="","",IF(A2216=_xlfn.MINIFS($A$2:$A$5001,$B$2:$B$5001,B2216),1,0))</f>
        <v/>
      </c>
      <c r="K2216" s="16" t="str">
        <f aca="false">IF(B2216="","",IF(AND(D2216="Formalização",E2216="Concluído"),IF(COUNTIFS($B$2:$B$5001,B2216,$E$2:$E$5001,"Em ajustes",$A$2:$A$5001,"&lt;"&amp;I2216)&gt;0,1,0),0))</f>
        <v/>
      </c>
      <c r="L2216" s="16" t="str">
        <f aca="false">IF(B2216="","",IF(A2216=_xlfn.MAXIFS($A$2:$A$5001,$B$2:$B$5001,B2216,$I$2:$I$5001,I2216),1,0))</f>
        <v/>
      </c>
    </row>
    <row r="2217" customFormat="false" ht="15" hidden="false" customHeight="false" outlineLevel="0" collapsed="false">
      <c r="I2217" s="15" t="str">
        <f aca="false">IF(A2217="","",INT(A2217))</f>
        <v/>
      </c>
      <c r="J2217" s="16" t="str">
        <f aca="false">IF(B2217="","",IF(A2217=_xlfn.MINIFS($A$2:$A$5001,$B$2:$B$5001,B2217),1,0))</f>
        <v/>
      </c>
      <c r="K2217" s="16" t="str">
        <f aca="false">IF(B2217="","",IF(AND(D2217="Formalização",E2217="Concluído"),IF(COUNTIFS($B$2:$B$5001,B2217,$E$2:$E$5001,"Em ajustes",$A$2:$A$5001,"&lt;"&amp;I2217)&gt;0,1,0),0))</f>
        <v/>
      </c>
      <c r="L2217" s="16" t="str">
        <f aca="false">IF(B2217="","",IF(A2217=_xlfn.MAXIFS($A$2:$A$5001,$B$2:$B$5001,B2217,$I$2:$I$5001,I2217),1,0))</f>
        <v/>
      </c>
    </row>
    <row r="2218" customFormat="false" ht="15" hidden="false" customHeight="false" outlineLevel="0" collapsed="false">
      <c r="I2218" s="15" t="str">
        <f aca="false">IF(A2218="","",INT(A2218))</f>
        <v/>
      </c>
      <c r="J2218" s="16" t="str">
        <f aca="false">IF(B2218="","",IF(A2218=_xlfn.MINIFS($A$2:$A$5001,$B$2:$B$5001,B2218),1,0))</f>
        <v/>
      </c>
      <c r="K2218" s="16" t="str">
        <f aca="false">IF(B2218="","",IF(AND(D2218="Formalização",E2218="Concluído"),IF(COUNTIFS($B$2:$B$5001,B2218,$E$2:$E$5001,"Em ajustes",$A$2:$A$5001,"&lt;"&amp;I2218)&gt;0,1,0),0))</f>
        <v/>
      </c>
      <c r="L2218" s="16" t="str">
        <f aca="false">IF(B2218="","",IF(A2218=_xlfn.MAXIFS($A$2:$A$5001,$B$2:$B$5001,B2218,$I$2:$I$5001,I2218),1,0))</f>
        <v/>
      </c>
    </row>
    <row r="2219" customFormat="false" ht="15" hidden="false" customHeight="false" outlineLevel="0" collapsed="false">
      <c r="I2219" s="15" t="str">
        <f aca="false">IF(A2219="","",INT(A2219))</f>
        <v/>
      </c>
      <c r="J2219" s="16" t="str">
        <f aca="false">IF(B2219="","",IF(A2219=_xlfn.MINIFS($A$2:$A$5001,$B$2:$B$5001,B2219),1,0))</f>
        <v/>
      </c>
      <c r="K2219" s="16" t="str">
        <f aca="false">IF(B2219="","",IF(AND(D2219="Formalização",E2219="Concluído"),IF(COUNTIFS($B$2:$B$5001,B2219,$E$2:$E$5001,"Em ajustes",$A$2:$A$5001,"&lt;"&amp;I2219)&gt;0,1,0),0))</f>
        <v/>
      </c>
      <c r="L2219" s="16" t="str">
        <f aca="false">IF(B2219="","",IF(A2219=_xlfn.MAXIFS($A$2:$A$5001,$B$2:$B$5001,B2219,$I$2:$I$5001,I2219),1,0))</f>
        <v/>
      </c>
    </row>
    <row r="2220" customFormat="false" ht="15" hidden="false" customHeight="false" outlineLevel="0" collapsed="false">
      <c r="I2220" s="15" t="str">
        <f aca="false">IF(A2220="","",INT(A2220))</f>
        <v/>
      </c>
      <c r="J2220" s="16" t="str">
        <f aca="false">IF(B2220="","",IF(A2220=_xlfn.MINIFS($A$2:$A$5001,$B$2:$B$5001,B2220),1,0))</f>
        <v/>
      </c>
      <c r="K2220" s="16" t="str">
        <f aca="false">IF(B2220="","",IF(AND(D2220="Formalização",E2220="Concluído"),IF(COUNTIFS($B$2:$B$5001,B2220,$E$2:$E$5001,"Em ajustes",$A$2:$A$5001,"&lt;"&amp;I2220)&gt;0,1,0),0))</f>
        <v/>
      </c>
      <c r="L2220" s="16" t="str">
        <f aca="false">IF(B2220="","",IF(A2220=_xlfn.MAXIFS($A$2:$A$5001,$B$2:$B$5001,B2220,$I$2:$I$5001,I2220),1,0))</f>
        <v/>
      </c>
    </row>
    <row r="2221" customFormat="false" ht="15" hidden="false" customHeight="false" outlineLevel="0" collapsed="false">
      <c r="I2221" s="15" t="str">
        <f aca="false">IF(A2221="","",INT(A2221))</f>
        <v/>
      </c>
      <c r="J2221" s="16" t="str">
        <f aca="false">IF(B2221="","",IF(A2221=_xlfn.MINIFS($A$2:$A$5001,$B$2:$B$5001,B2221),1,0))</f>
        <v/>
      </c>
      <c r="K2221" s="16" t="str">
        <f aca="false">IF(B2221="","",IF(AND(D2221="Formalização",E2221="Concluído"),IF(COUNTIFS($B$2:$B$5001,B2221,$E$2:$E$5001,"Em ajustes",$A$2:$A$5001,"&lt;"&amp;I2221)&gt;0,1,0),0))</f>
        <v/>
      </c>
      <c r="L2221" s="16" t="str">
        <f aca="false">IF(B2221="","",IF(A2221=_xlfn.MAXIFS($A$2:$A$5001,$B$2:$B$5001,B2221,$I$2:$I$5001,I2221),1,0))</f>
        <v/>
      </c>
    </row>
    <row r="2222" customFormat="false" ht="15" hidden="false" customHeight="false" outlineLevel="0" collapsed="false">
      <c r="I2222" s="15" t="str">
        <f aca="false">IF(A2222="","",INT(A2222))</f>
        <v/>
      </c>
      <c r="J2222" s="16" t="str">
        <f aca="false">IF(B2222="","",IF(A2222=_xlfn.MINIFS($A$2:$A$5001,$B$2:$B$5001,B2222),1,0))</f>
        <v/>
      </c>
      <c r="K2222" s="16" t="str">
        <f aca="false">IF(B2222="","",IF(AND(D2222="Formalização",E2222="Concluído"),IF(COUNTIFS($B$2:$B$5001,B2222,$E$2:$E$5001,"Em ajustes",$A$2:$A$5001,"&lt;"&amp;I2222)&gt;0,1,0),0))</f>
        <v/>
      </c>
      <c r="L2222" s="16" t="str">
        <f aca="false">IF(B2222="","",IF(A2222=_xlfn.MAXIFS($A$2:$A$5001,$B$2:$B$5001,B2222,$I$2:$I$5001,I2222),1,0))</f>
        <v/>
      </c>
    </row>
    <row r="2223" customFormat="false" ht="15" hidden="false" customHeight="false" outlineLevel="0" collapsed="false">
      <c r="I2223" s="15" t="str">
        <f aca="false">IF(A2223="","",INT(A2223))</f>
        <v/>
      </c>
      <c r="J2223" s="16" t="str">
        <f aca="false">IF(B2223="","",IF(A2223=_xlfn.MINIFS($A$2:$A$5001,$B$2:$B$5001,B2223),1,0))</f>
        <v/>
      </c>
      <c r="K2223" s="16" t="str">
        <f aca="false">IF(B2223="","",IF(AND(D2223="Formalização",E2223="Concluído"),IF(COUNTIFS($B$2:$B$5001,B2223,$E$2:$E$5001,"Em ajustes",$A$2:$A$5001,"&lt;"&amp;I2223)&gt;0,1,0),0))</f>
        <v/>
      </c>
      <c r="L2223" s="16" t="str">
        <f aca="false">IF(B2223="","",IF(A2223=_xlfn.MAXIFS($A$2:$A$5001,$B$2:$B$5001,B2223,$I$2:$I$5001,I2223),1,0))</f>
        <v/>
      </c>
    </row>
    <row r="2224" customFormat="false" ht="15" hidden="false" customHeight="false" outlineLevel="0" collapsed="false">
      <c r="I2224" s="15" t="str">
        <f aca="false">IF(A2224="","",INT(A2224))</f>
        <v/>
      </c>
      <c r="J2224" s="16" t="str">
        <f aca="false">IF(B2224="","",IF(A2224=_xlfn.MINIFS($A$2:$A$5001,$B$2:$B$5001,B2224),1,0))</f>
        <v/>
      </c>
      <c r="K2224" s="16" t="str">
        <f aca="false">IF(B2224="","",IF(AND(D2224="Formalização",E2224="Concluído"),IF(COUNTIFS($B$2:$B$5001,B2224,$E$2:$E$5001,"Em ajustes",$A$2:$A$5001,"&lt;"&amp;I2224)&gt;0,1,0),0))</f>
        <v/>
      </c>
      <c r="L2224" s="16" t="str">
        <f aca="false">IF(B2224="","",IF(A2224=_xlfn.MAXIFS($A$2:$A$5001,$B$2:$B$5001,B2224,$I$2:$I$5001,I2224),1,0))</f>
        <v/>
      </c>
    </row>
    <row r="2225" customFormat="false" ht="15" hidden="false" customHeight="false" outlineLevel="0" collapsed="false">
      <c r="I2225" s="15" t="str">
        <f aca="false">IF(A2225="","",INT(A2225))</f>
        <v/>
      </c>
      <c r="J2225" s="16" t="str">
        <f aca="false">IF(B2225="","",IF(A2225=_xlfn.MINIFS($A$2:$A$5001,$B$2:$B$5001,B2225),1,0))</f>
        <v/>
      </c>
      <c r="K2225" s="16" t="str">
        <f aca="false">IF(B2225="","",IF(AND(D2225="Formalização",E2225="Concluído"),IF(COUNTIFS($B$2:$B$5001,B2225,$E$2:$E$5001,"Em ajustes",$A$2:$A$5001,"&lt;"&amp;I2225)&gt;0,1,0),0))</f>
        <v/>
      </c>
      <c r="L2225" s="16" t="str">
        <f aca="false">IF(B2225="","",IF(A2225=_xlfn.MAXIFS($A$2:$A$5001,$B$2:$B$5001,B2225,$I$2:$I$5001,I2225),1,0))</f>
        <v/>
      </c>
    </row>
    <row r="2226" customFormat="false" ht="15" hidden="false" customHeight="false" outlineLevel="0" collapsed="false">
      <c r="I2226" s="15" t="str">
        <f aca="false">IF(A2226="","",INT(A2226))</f>
        <v/>
      </c>
      <c r="J2226" s="16" t="str">
        <f aca="false">IF(B2226="","",IF(A2226=_xlfn.MINIFS($A$2:$A$5001,$B$2:$B$5001,B2226),1,0))</f>
        <v/>
      </c>
      <c r="K2226" s="16" t="str">
        <f aca="false">IF(B2226="","",IF(AND(D2226="Formalização",E2226="Concluído"),IF(COUNTIFS($B$2:$B$5001,B2226,$E$2:$E$5001,"Em ajustes",$A$2:$A$5001,"&lt;"&amp;I2226)&gt;0,1,0),0))</f>
        <v/>
      </c>
      <c r="L2226" s="16" t="str">
        <f aca="false">IF(B2226="","",IF(A2226=_xlfn.MAXIFS($A$2:$A$5001,$B$2:$B$5001,B2226,$I$2:$I$5001,I2226),1,0))</f>
        <v/>
      </c>
    </row>
    <row r="2227" customFormat="false" ht="15" hidden="false" customHeight="false" outlineLevel="0" collapsed="false">
      <c r="I2227" s="15" t="str">
        <f aca="false">IF(A2227="","",INT(A2227))</f>
        <v/>
      </c>
      <c r="J2227" s="16" t="str">
        <f aca="false">IF(B2227="","",IF(A2227=_xlfn.MINIFS($A$2:$A$5001,$B$2:$B$5001,B2227),1,0))</f>
        <v/>
      </c>
      <c r="K2227" s="16" t="str">
        <f aca="false">IF(B2227="","",IF(AND(D2227="Formalização",E2227="Concluído"),IF(COUNTIFS($B$2:$B$5001,B2227,$E$2:$E$5001,"Em ajustes",$A$2:$A$5001,"&lt;"&amp;I2227)&gt;0,1,0),0))</f>
        <v/>
      </c>
      <c r="L2227" s="16" t="str">
        <f aca="false">IF(B2227="","",IF(A2227=_xlfn.MAXIFS($A$2:$A$5001,$B$2:$B$5001,B2227,$I$2:$I$5001,I2227),1,0))</f>
        <v/>
      </c>
    </row>
    <row r="2228" customFormat="false" ht="15" hidden="false" customHeight="false" outlineLevel="0" collapsed="false">
      <c r="I2228" s="15" t="str">
        <f aca="false">IF(A2228="","",INT(A2228))</f>
        <v/>
      </c>
      <c r="J2228" s="16" t="str">
        <f aca="false">IF(B2228="","",IF(A2228=_xlfn.MINIFS($A$2:$A$5001,$B$2:$B$5001,B2228),1,0))</f>
        <v/>
      </c>
      <c r="K2228" s="16" t="str">
        <f aca="false">IF(B2228="","",IF(AND(D2228="Formalização",E2228="Concluído"),IF(COUNTIFS($B$2:$B$5001,B2228,$E$2:$E$5001,"Em ajustes",$A$2:$A$5001,"&lt;"&amp;I2228)&gt;0,1,0),0))</f>
        <v/>
      </c>
      <c r="L2228" s="16" t="str">
        <f aca="false">IF(B2228="","",IF(A2228=_xlfn.MAXIFS($A$2:$A$5001,$B$2:$B$5001,B2228,$I$2:$I$5001,I2228),1,0))</f>
        <v/>
      </c>
    </row>
    <row r="2229" customFormat="false" ht="15" hidden="false" customHeight="false" outlineLevel="0" collapsed="false">
      <c r="I2229" s="15" t="str">
        <f aca="false">IF(A2229="","",INT(A2229))</f>
        <v/>
      </c>
      <c r="J2229" s="16" t="str">
        <f aca="false">IF(B2229="","",IF(A2229=_xlfn.MINIFS($A$2:$A$5001,$B$2:$B$5001,B2229),1,0))</f>
        <v/>
      </c>
      <c r="K2229" s="16" t="str">
        <f aca="false">IF(B2229="","",IF(AND(D2229="Formalização",E2229="Concluído"),IF(COUNTIFS($B$2:$B$5001,B2229,$E$2:$E$5001,"Em ajustes",$A$2:$A$5001,"&lt;"&amp;I2229)&gt;0,1,0),0))</f>
        <v/>
      </c>
      <c r="L2229" s="16" t="str">
        <f aca="false">IF(B2229="","",IF(A2229=_xlfn.MAXIFS($A$2:$A$5001,$B$2:$B$5001,B2229,$I$2:$I$5001,I2229),1,0))</f>
        <v/>
      </c>
    </row>
    <row r="2230" customFormat="false" ht="15" hidden="false" customHeight="false" outlineLevel="0" collapsed="false">
      <c r="I2230" s="15" t="str">
        <f aca="false">IF(A2230="","",INT(A2230))</f>
        <v/>
      </c>
      <c r="J2230" s="16" t="str">
        <f aca="false">IF(B2230="","",IF(A2230=_xlfn.MINIFS($A$2:$A$5001,$B$2:$B$5001,B2230),1,0))</f>
        <v/>
      </c>
      <c r="K2230" s="16" t="str">
        <f aca="false">IF(B2230="","",IF(AND(D2230="Formalização",E2230="Concluído"),IF(COUNTIFS($B$2:$B$5001,B2230,$E$2:$E$5001,"Em ajustes",$A$2:$A$5001,"&lt;"&amp;I2230)&gt;0,1,0),0))</f>
        <v/>
      </c>
      <c r="L2230" s="16" t="str">
        <f aca="false">IF(B2230="","",IF(A2230=_xlfn.MAXIFS($A$2:$A$5001,$B$2:$B$5001,B2230,$I$2:$I$5001,I2230),1,0))</f>
        <v/>
      </c>
    </row>
    <row r="2231" customFormat="false" ht="15" hidden="false" customHeight="false" outlineLevel="0" collapsed="false">
      <c r="I2231" s="15" t="str">
        <f aca="false">IF(A2231="","",INT(A2231))</f>
        <v/>
      </c>
      <c r="J2231" s="16" t="str">
        <f aca="false">IF(B2231="","",IF(A2231=_xlfn.MINIFS($A$2:$A$5001,$B$2:$B$5001,B2231),1,0))</f>
        <v/>
      </c>
      <c r="K2231" s="16" t="str">
        <f aca="false">IF(B2231="","",IF(AND(D2231="Formalização",E2231="Concluído"),IF(COUNTIFS($B$2:$B$5001,B2231,$E$2:$E$5001,"Em ajustes",$A$2:$A$5001,"&lt;"&amp;I2231)&gt;0,1,0),0))</f>
        <v/>
      </c>
      <c r="L2231" s="16" t="str">
        <f aca="false">IF(B2231="","",IF(A2231=_xlfn.MAXIFS($A$2:$A$5001,$B$2:$B$5001,B2231,$I$2:$I$5001,I2231),1,0))</f>
        <v/>
      </c>
    </row>
    <row r="2232" customFormat="false" ht="15" hidden="false" customHeight="false" outlineLevel="0" collapsed="false">
      <c r="I2232" s="15" t="str">
        <f aca="false">IF(A2232="","",INT(A2232))</f>
        <v/>
      </c>
      <c r="J2232" s="16" t="str">
        <f aca="false">IF(B2232="","",IF(A2232=_xlfn.MINIFS($A$2:$A$5001,$B$2:$B$5001,B2232),1,0))</f>
        <v/>
      </c>
      <c r="K2232" s="16" t="str">
        <f aca="false">IF(B2232="","",IF(AND(D2232="Formalização",E2232="Concluído"),IF(COUNTIFS($B$2:$B$5001,B2232,$E$2:$E$5001,"Em ajustes",$A$2:$A$5001,"&lt;"&amp;I2232)&gt;0,1,0),0))</f>
        <v/>
      </c>
      <c r="L2232" s="16" t="str">
        <f aca="false">IF(B2232="","",IF(A2232=_xlfn.MAXIFS($A$2:$A$5001,$B$2:$B$5001,B2232,$I$2:$I$5001,I2232),1,0))</f>
        <v/>
      </c>
    </row>
    <row r="2233" customFormat="false" ht="15" hidden="false" customHeight="false" outlineLevel="0" collapsed="false">
      <c r="I2233" s="15" t="str">
        <f aca="false">IF(A2233="","",INT(A2233))</f>
        <v/>
      </c>
      <c r="J2233" s="16" t="str">
        <f aca="false">IF(B2233="","",IF(A2233=_xlfn.MINIFS($A$2:$A$5001,$B$2:$B$5001,B2233),1,0))</f>
        <v/>
      </c>
      <c r="K2233" s="16" t="str">
        <f aca="false">IF(B2233="","",IF(AND(D2233="Formalização",E2233="Concluído"),IF(COUNTIFS($B$2:$B$5001,B2233,$E$2:$E$5001,"Em ajustes",$A$2:$A$5001,"&lt;"&amp;I2233)&gt;0,1,0),0))</f>
        <v/>
      </c>
      <c r="L2233" s="16" t="str">
        <f aca="false">IF(B2233="","",IF(A2233=_xlfn.MAXIFS($A$2:$A$5001,$B$2:$B$5001,B2233,$I$2:$I$5001,I2233),1,0))</f>
        <v/>
      </c>
    </row>
    <row r="2234" customFormat="false" ht="15" hidden="false" customHeight="false" outlineLevel="0" collapsed="false">
      <c r="I2234" s="15" t="str">
        <f aca="false">IF(A2234="","",INT(A2234))</f>
        <v/>
      </c>
      <c r="J2234" s="16" t="str">
        <f aca="false">IF(B2234="","",IF(A2234=_xlfn.MINIFS($A$2:$A$5001,$B$2:$B$5001,B2234),1,0))</f>
        <v/>
      </c>
      <c r="K2234" s="16" t="str">
        <f aca="false">IF(B2234="","",IF(AND(D2234="Formalização",E2234="Concluído"),IF(COUNTIFS($B$2:$B$5001,B2234,$E$2:$E$5001,"Em ajustes",$A$2:$A$5001,"&lt;"&amp;I2234)&gt;0,1,0),0))</f>
        <v/>
      </c>
      <c r="L2234" s="16" t="str">
        <f aca="false">IF(B2234="","",IF(A2234=_xlfn.MAXIFS($A$2:$A$5001,$B$2:$B$5001,B2234,$I$2:$I$5001,I2234),1,0))</f>
        <v/>
      </c>
    </row>
    <row r="2235" customFormat="false" ht="15" hidden="false" customHeight="false" outlineLevel="0" collapsed="false">
      <c r="I2235" s="15" t="str">
        <f aca="false">IF(A2235="","",INT(A2235))</f>
        <v/>
      </c>
      <c r="J2235" s="16" t="str">
        <f aca="false">IF(B2235="","",IF(A2235=_xlfn.MINIFS($A$2:$A$5001,$B$2:$B$5001,B2235),1,0))</f>
        <v/>
      </c>
      <c r="K2235" s="16" t="str">
        <f aca="false">IF(B2235="","",IF(AND(D2235="Formalização",E2235="Concluído"),IF(COUNTIFS($B$2:$B$5001,B2235,$E$2:$E$5001,"Em ajustes",$A$2:$A$5001,"&lt;"&amp;I2235)&gt;0,1,0),0))</f>
        <v/>
      </c>
      <c r="L2235" s="16" t="str">
        <f aca="false">IF(B2235="","",IF(A2235=_xlfn.MAXIFS($A$2:$A$5001,$B$2:$B$5001,B2235,$I$2:$I$5001,I2235),1,0))</f>
        <v/>
      </c>
    </row>
    <row r="2236" customFormat="false" ht="15" hidden="false" customHeight="false" outlineLevel="0" collapsed="false">
      <c r="I2236" s="15" t="str">
        <f aca="false">IF(A2236="","",INT(A2236))</f>
        <v/>
      </c>
      <c r="J2236" s="16" t="str">
        <f aca="false">IF(B2236="","",IF(A2236=_xlfn.MINIFS($A$2:$A$5001,$B$2:$B$5001,B2236),1,0))</f>
        <v/>
      </c>
      <c r="K2236" s="16" t="str">
        <f aca="false">IF(B2236="","",IF(AND(D2236="Formalização",E2236="Concluído"),IF(COUNTIFS($B$2:$B$5001,B2236,$E$2:$E$5001,"Em ajustes",$A$2:$A$5001,"&lt;"&amp;I2236)&gt;0,1,0),0))</f>
        <v/>
      </c>
      <c r="L2236" s="16" t="str">
        <f aca="false">IF(B2236="","",IF(A2236=_xlfn.MAXIFS($A$2:$A$5001,$B$2:$B$5001,B2236,$I$2:$I$5001,I2236),1,0))</f>
        <v/>
      </c>
    </row>
    <row r="2237" customFormat="false" ht="15" hidden="false" customHeight="false" outlineLevel="0" collapsed="false">
      <c r="I2237" s="15" t="str">
        <f aca="false">IF(A2237="","",INT(A2237))</f>
        <v/>
      </c>
      <c r="J2237" s="16" t="str">
        <f aca="false">IF(B2237="","",IF(A2237=_xlfn.MINIFS($A$2:$A$5001,$B$2:$B$5001,B2237),1,0))</f>
        <v/>
      </c>
      <c r="K2237" s="16" t="str">
        <f aca="false">IF(B2237="","",IF(AND(D2237="Formalização",E2237="Concluído"),IF(COUNTIFS($B$2:$B$5001,B2237,$E$2:$E$5001,"Em ajustes",$A$2:$A$5001,"&lt;"&amp;I2237)&gt;0,1,0),0))</f>
        <v/>
      </c>
      <c r="L2237" s="16" t="str">
        <f aca="false">IF(B2237="","",IF(A2237=_xlfn.MAXIFS($A$2:$A$5001,$B$2:$B$5001,B2237,$I$2:$I$5001,I2237),1,0))</f>
        <v/>
      </c>
    </row>
    <row r="2238" customFormat="false" ht="15" hidden="false" customHeight="false" outlineLevel="0" collapsed="false">
      <c r="I2238" s="15" t="str">
        <f aca="false">IF(A2238="","",INT(A2238))</f>
        <v/>
      </c>
      <c r="J2238" s="16" t="str">
        <f aca="false">IF(B2238="","",IF(A2238=_xlfn.MINIFS($A$2:$A$5001,$B$2:$B$5001,B2238),1,0))</f>
        <v/>
      </c>
      <c r="K2238" s="16" t="str">
        <f aca="false">IF(B2238="","",IF(AND(D2238="Formalização",E2238="Concluído"),IF(COUNTIFS($B$2:$B$5001,B2238,$E$2:$E$5001,"Em ajustes",$A$2:$A$5001,"&lt;"&amp;I2238)&gt;0,1,0),0))</f>
        <v/>
      </c>
      <c r="L2238" s="16" t="str">
        <f aca="false">IF(B2238="","",IF(A2238=_xlfn.MAXIFS($A$2:$A$5001,$B$2:$B$5001,B2238,$I$2:$I$5001,I2238),1,0))</f>
        <v/>
      </c>
    </row>
    <row r="2239" customFormat="false" ht="15" hidden="false" customHeight="false" outlineLevel="0" collapsed="false">
      <c r="I2239" s="15" t="str">
        <f aca="false">IF(A2239="","",INT(A2239))</f>
        <v/>
      </c>
      <c r="J2239" s="16" t="str">
        <f aca="false">IF(B2239="","",IF(A2239=_xlfn.MINIFS($A$2:$A$5001,$B$2:$B$5001,B2239),1,0))</f>
        <v/>
      </c>
      <c r="K2239" s="16" t="str">
        <f aca="false">IF(B2239="","",IF(AND(D2239="Formalização",E2239="Concluído"),IF(COUNTIFS($B$2:$B$5001,B2239,$E$2:$E$5001,"Em ajustes",$A$2:$A$5001,"&lt;"&amp;I2239)&gt;0,1,0),0))</f>
        <v/>
      </c>
      <c r="L2239" s="16" t="str">
        <f aca="false">IF(B2239="","",IF(A2239=_xlfn.MAXIFS($A$2:$A$5001,$B$2:$B$5001,B2239,$I$2:$I$5001,I2239),1,0))</f>
        <v/>
      </c>
    </row>
    <row r="2240" customFormat="false" ht="15" hidden="false" customHeight="false" outlineLevel="0" collapsed="false">
      <c r="I2240" s="15" t="str">
        <f aca="false">IF(A2240="","",INT(A2240))</f>
        <v/>
      </c>
      <c r="J2240" s="16" t="str">
        <f aca="false">IF(B2240="","",IF(A2240=_xlfn.MINIFS($A$2:$A$5001,$B$2:$B$5001,B2240),1,0))</f>
        <v/>
      </c>
      <c r="K2240" s="16" t="str">
        <f aca="false">IF(B2240="","",IF(AND(D2240="Formalização",E2240="Concluído"),IF(COUNTIFS($B$2:$B$5001,B2240,$E$2:$E$5001,"Em ajustes",$A$2:$A$5001,"&lt;"&amp;I2240)&gt;0,1,0),0))</f>
        <v/>
      </c>
      <c r="L2240" s="16" t="str">
        <f aca="false">IF(B2240="","",IF(A2240=_xlfn.MAXIFS($A$2:$A$5001,$B$2:$B$5001,B2240,$I$2:$I$5001,I2240),1,0))</f>
        <v/>
      </c>
    </row>
    <row r="2241" customFormat="false" ht="15" hidden="false" customHeight="false" outlineLevel="0" collapsed="false">
      <c r="I2241" s="15" t="str">
        <f aca="false">IF(A2241="","",INT(A2241))</f>
        <v/>
      </c>
      <c r="J2241" s="16" t="str">
        <f aca="false">IF(B2241="","",IF(A2241=_xlfn.MINIFS($A$2:$A$5001,$B$2:$B$5001,B2241),1,0))</f>
        <v/>
      </c>
      <c r="K2241" s="16" t="str">
        <f aca="false">IF(B2241="","",IF(AND(D2241="Formalização",E2241="Concluído"),IF(COUNTIFS($B$2:$B$5001,B2241,$E$2:$E$5001,"Em ajustes",$A$2:$A$5001,"&lt;"&amp;I2241)&gt;0,1,0),0))</f>
        <v/>
      </c>
      <c r="L2241" s="16" t="str">
        <f aca="false">IF(B2241="","",IF(A2241=_xlfn.MAXIFS($A$2:$A$5001,$B$2:$B$5001,B2241,$I$2:$I$5001,I2241),1,0))</f>
        <v/>
      </c>
    </row>
    <row r="2242" customFormat="false" ht="15" hidden="false" customHeight="false" outlineLevel="0" collapsed="false">
      <c r="I2242" s="15" t="str">
        <f aca="false">IF(A2242="","",INT(A2242))</f>
        <v/>
      </c>
      <c r="J2242" s="16" t="str">
        <f aca="false">IF(B2242="","",IF(A2242=_xlfn.MINIFS($A$2:$A$5001,$B$2:$B$5001,B2242),1,0))</f>
        <v/>
      </c>
      <c r="K2242" s="16" t="str">
        <f aca="false">IF(B2242="","",IF(AND(D2242="Formalização",E2242="Concluído"),IF(COUNTIFS($B$2:$B$5001,B2242,$E$2:$E$5001,"Em ajustes",$A$2:$A$5001,"&lt;"&amp;I2242)&gt;0,1,0),0))</f>
        <v/>
      </c>
      <c r="L2242" s="16" t="str">
        <f aca="false">IF(B2242="","",IF(A2242=_xlfn.MAXIFS($A$2:$A$5001,$B$2:$B$5001,B2242,$I$2:$I$5001,I2242),1,0))</f>
        <v/>
      </c>
    </row>
    <row r="2243" customFormat="false" ht="15" hidden="false" customHeight="false" outlineLevel="0" collapsed="false">
      <c r="I2243" s="15" t="str">
        <f aca="false">IF(A2243="","",INT(A2243))</f>
        <v/>
      </c>
      <c r="J2243" s="16" t="str">
        <f aca="false">IF(B2243="","",IF(A2243=_xlfn.MINIFS($A$2:$A$5001,$B$2:$B$5001,B2243),1,0))</f>
        <v/>
      </c>
      <c r="K2243" s="16" t="str">
        <f aca="false">IF(B2243="","",IF(AND(D2243="Formalização",E2243="Concluído"),IF(COUNTIFS($B$2:$B$5001,B2243,$E$2:$E$5001,"Em ajustes",$A$2:$A$5001,"&lt;"&amp;I2243)&gt;0,1,0),0))</f>
        <v/>
      </c>
      <c r="L2243" s="16" t="str">
        <f aca="false">IF(B2243="","",IF(A2243=_xlfn.MAXIFS($A$2:$A$5001,$B$2:$B$5001,B2243,$I$2:$I$5001,I2243),1,0))</f>
        <v/>
      </c>
    </row>
    <row r="2244" customFormat="false" ht="15" hidden="false" customHeight="false" outlineLevel="0" collapsed="false">
      <c r="I2244" s="15" t="str">
        <f aca="false">IF(A2244="","",INT(A2244))</f>
        <v/>
      </c>
      <c r="J2244" s="16" t="str">
        <f aca="false">IF(B2244="","",IF(A2244=_xlfn.MINIFS($A$2:$A$5001,$B$2:$B$5001,B2244),1,0))</f>
        <v/>
      </c>
      <c r="K2244" s="16" t="str">
        <f aca="false">IF(B2244="","",IF(AND(D2244="Formalização",E2244="Concluído"),IF(COUNTIFS($B$2:$B$5001,B2244,$E$2:$E$5001,"Em ajustes",$A$2:$A$5001,"&lt;"&amp;I2244)&gt;0,1,0),0))</f>
        <v/>
      </c>
      <c r="L2244" s="16" t="str">
        <f aca="false">IF(B2244="","",IF(A2244=_xlfn.MAXIFS($A$2:$A$5001,$B$2:$B$5001,B2244,$I$2:$I$5001,I2244),1,0))</f>
        <v/>
      </c>
    </row>
    <row r="2245" customFormat="false" ht="15" hidden="false" customHeight="false" outlineLevel="0" collapsed="false">
      <c r="I2245" s="15" t="str">
        <f aca="false">IF(A2245="","",INT(A2245))</f>
        <v/>
      </c>
      <c r="J2245" s="16" t="str">
        <f aca="false">IF(B2245="","",IF(A2245=_xlfn.MINIFS($A$2:$A$5001,$B$2:$B$5001,B2245),1,0))</f>
        <v/>
      </c>
      <c r="K2245" s="16" t="str">
        <f aca="false">IF(B2245="","",IF(AND(D2245="Formalização",E2245="Concluído"),IF(COUNTIFS($B$2:$B$5001,B2245,$E$2:$E$5001,"Em ajustes",$A$2:$A$5001,"&lt;"&amp;I2245)&gt;0,1,0),0))</f>
        <v/>
      </c>
      <c r="L2245" s="16" t="str">
        <f aca="false">IF(B2245="","",IF(A2245=_xlfn.MAXIFS($A$2:$A$5001,$B$2:$B$5001,B2245,$I$2:$I$5001,I2245),1,0))</f>
        <v/>
      </c>
    </row>
    <row r="2246" customFormat="false" ht="15" hidden="false" customHeight="false" outlineLevel="0" collapsed="false">
      <c r="I2246" s="15" t="str">
        <f aca="false">IF(A2246="","",INT(A2246))</f>
        <v/>
      </c>
      <c r="J2246" s="16" t="str">
        <f aca="false">IF(B2246="","",IF(A2246=_xlfn.MINIFS($A$2:$A$5001,$B$2:$B$5001,B2246),1,0))</f>
        <v/>
      </c>
      <c r="K2246" s="16" t="str">
        <f aca="false">IF(B2246="","",IF(AND(D2246="Formalização",E2246="Concluído"),IF(COUNTIFS($B$2:$B$5001,B2246,$E$2:$E$5001,"Em ajustes",$A$2:$A$5001,"&lt;"&amp;I2246)&gt;0,1,0),0))</f>
        <v/>
      </c>
      <c r="L2246" s="16" t="str">
        <f aca="false">IF(B2246="","",IF(A2246=_xlfn.MAXIFS($A$2:$A$5001,$B$2:$B$5001,B2246,$I$2:$I$5001,I2246),1,0))</f>
        <v/>
      </c>
    </row>
    <row r="2247" customFormat="false" ht="15" hidden="false" customHeight="false" outlineLevel="0" collapsed="false">
      <c r="I2247" s="15" t="str">
        <f aca="false">IF(A2247="","",INT(A2247))</f>
        <v/>
      </c>
      <c r="J2247" s="16" t="str">
        <f aca="false">IF(B2247="","",IF(A2247=_xlfn.MINIFS($A$2:$A$5001,$B$2:$B$5001,B2247),1,0))</f>
        <v/>
      </c>
      <c r="K2247" s="16" t="str">
        <f aca="false">IF(B2247="","",IF(AND(D2247="Formalização",E2247="Concluído"),IF(COUNTIFS($B$2:$B$5001,B2247,$E$2:$E$5001,"Em ajustes",$A$2:$A$5001,"&lt;"&amp;I2247)&gt;0,1,0),0))</f>
        <v/>
      </c>
      <c r="L2247" s="16" t="str">
        <f aca="false">IF(B2247="","",IF(A2247=_xlfn.MAXIFS($A$2:$A$5001,$B$2:$B$5001,B2247,$I$2:$I$5001,I2247),1,0))</f>
        <v/>
      </c>
    </row>
    <row r="2248" customFormat="false" ht="15" hidden="false" customHeight="false" outlineLevel="0" collapsed="false">
      <c r="I2248" s="15" t="str">
        <f aca="false">IF(A2248="","",INT(A2248))</f>
        <v/>
      </c>
      <c r="J2248" s="16" t="str">
        <f aca="false">IF(B2248="","",IF(A2248=_xlfn.MINIFS($A$2:$A$5001,$B$2:$B$5001,B2248),1,0))</f>
        <v/>
      </c>
      <c r="K2248" s="16" t="str">
        <f aca="false">IF(B2248="","",IF(AND(D2248="Formalização",E2248="Concluído"),IF(COUNTIFS($B$2:$B$5001,B2248,$E$2:$E$5001,"Em ajustes",$A$2:$A$5001,"&lt;"&amp;I2248)&gt;0,1,0),0))</f>
        <v/>
      </c>
      <c r="L2248" s="16" t="str">
        <f aca="false">IF(B2248="","",IF(A2248=_xlfn.MAXIFS($A$2:$A$5001,$B$2:$B$5001,B2248,$I$2:$I$5001,I2248),1,0))</f>
        <v/>
      </c>
    </row>
    <row r="2249" customFormat="false" ht="15" hidden="false" customHeight="false" outlineLevel="0" collapsed="false">
      <c r="I2249" s="15" t="str">
        <f aca="false">IF(A2249="","",INT(A2249))</f>
        <v/>
      </c>
      <c r="J2249" s="16" t="str">
        <f aca="false">IF(B2249="","",IF(A2249=_xlfn.MINIFS($A$2:$A$5001,$B$2:$B$5001,B2249),1,0))</f>
        <v/>
      </c>
      <c r="K2249" s="16" t="str">
        <f aca="false">IF(B2249="","",IF(AND(D2249="Formalização",E2249="Concluído"),IF(COUNTIFS($B$2:$B$5001,B2249,$E$2:$E$5001,"Em ajustes",$A$2:$A$5001,"&lt;"&amp;I2249)&gt;0,1,0),0))</f>
        <v/>
      </c>
      <c r="L2249" s="16" t="str">
        <f aca="false">IF(B2249="","",IF(A2249=_xlfn.MAXIFS($A$2:$A$5001,$B$2:$B$5001,B2249,$I$2:$I$5001,I2249),1,0))</f>
        <v/>
      </c>
    </row>
    <row r="2250" customFormat="false" ht="15" hidden="false" customHeight="false" outlineLevel="0" collapsed="false">
      <c r="I2250" s="15" t="str">
        <f aca="false">IF(A2250="","",INT(A2250))</f>
        <v/>
      </c>
      <c r="J2250" s="16" t="str">
        <f aca="false">IF(B2250="","",IF(A2250=_xlfn.MINIFS($A$2:$A$5001,$B$2:$B$5001,B2250),1,0))</f>
        <v/>
      </c>
      <c r="K2250" s="16" t="str">
        <f aca="false">IF(B2250="","",IF(AND(D2250="Formalização",E2250="Concluído"),IF(COUNTIFS($B$2:$B$5001,B2250,$E$2:$E$5001,"Em ajustes",$A$2:$A$5001,"&lt;"&amp;I2250)&gt;0,1,0),0))</f>
        <v/>
      </c>
      <c r="L2250" s="16" t="str">
        <f aca="false">IF(B2250="","",IF(A2250=_xlfn.MAXIFS($A$2:$A$5001,$B$2:$B$5001,B2250,$I$2:$I$5001,I2250),1,0))</f>
        <v/>
      </c>
    </row>
    <row r="2251" customFormat="false" ht="15" hidden="false" customHeight="false" outlineLevel="0" collapsed="false">
      <c r="I2251" s="15" t="str">
        <f aca="false">IF(A2251="","",INT(A2251))</f>
        <v/>
      </c>
      <c r="J2251" s="16" t="str">
        <f aca="false">IF(B2251="","",IF(A2251=_xlfn.MINIFS($A$2:$A$5001,$B$2:$B$5001,B2251),1,0))</f>
        <v/>
      </c>
      <c r="K2251" s="16" t="str">
        <f aca="false">IF(B2251="","",IF(AND(D2251="Formalização",E2251="Concluído"),IF(COUNTIFS($B$2:$B$5001,B2251,$E$2:$E$5001,"Em ajustes",$A$2:$A$5001,"&lt;"&amp;I2251)&gt;0,1,0),0))</f>
        <v/>
      </c>
      <c r="L2251" s="16" t="str">
        <f aca="false">IF(B2251="","",IF(A2251=_xlfn.MAXIFS($A$2:$A$5001,$B$2:$B$5001,B2251,$I$2:$I$5001,I2251),1,0))</f>
        <v/>
      </c>
    </row>
    <row r="2252" customFormat="false" ht="15" hidden="false" customHeight="false" outlineLevel="0" collapsed="false">
      <c r="I2252" s="15" t="str">
        <f aca="false">IF(A2252="","",INT(A2252))</f>
        <v/>
      </c>
      <c r="J2252" s="16" t="str">
        <f aca="false">IF(B2252="","",IF(A2252=_xlfn.MINIFS($A$2:$A$5001,$B$2:$B$5001,B2252),1,0))</f>
        <v/>
      </c>
      <c r="K2252" s="16" t="str">
        <f aca="false">IF(B2252="","",IF(AND(D2252="Formalização",E2252="Concluído"),IF(COUNTIFS($B$2:$B$5001,B2252,$E$2:$E$5001,"Em ajustes",$A$2:$A$5001,"&lt;"&amp;I2252)&gt;0,1,0),0))</f>
        <v/>
      </c>
      <c r="L2252" s="16" t="str">
        <f aca="false">IF(B2252="","",IF(A2252=_xlfn.MAXIFS($A$2:$A$5001,$B$2:$B$5001,B2252,$I$2:$I$5001,I2252),1,0))</f>
        <v/>
      </c>
    </row>
    <row r="2253" customFormat="false" ht="15" hidden="false" customHeight="false" outlineLevel="0" collapsed="false">
      <c r="I2253" s="15" t="str">
        <f aca="false">IF(A2253="","",INT(A2253))</f>
        <v/>
      </c>
      <c r="J2253" s="16" t="str">
        <f aca="false">IF(B2253="","",IF(A2253=_xlfn.MINIFS($A$2:$A$5001,$B$2:$B$5001,B2253),1,0))</f>
        <v/>
      </c>
      <c r="K2253" s="16" t="str">
        <f aca="false">IF(B2253="","",IF(AND(D2253="Formalização",E2253="Concluído"),IF(COUNTIFS($B$2:$B$5001,B2253,$E$2:$E$5001,"Em ajustes",$A$2:$A$5001,"&lt;"&amp;I2253)&gt;0,1,0),0))</f>
        <v/>
      </c>
      <c r="L2253" s="16" t="str">
        <f aca="false">IF(B2253="","",IF(A2253=_xlfn.MAXIFS($A$2:$A$5001,$B$2:$B$5001,B2253,$I$2:$I$5001,I2253),1,0))</f>
        <v/>
      </c>
    </row>
    <row r="2254" customFormat="false" ht="15" hidden="false" customHeight="false" outlineLevel="0" collapsed="false">
      <c r="I2254" s="15" t="str">
        <f aca="false">IF(A2254="","",INT(A2254))</f>
        <v/>
      </c>
      <c r="J2254" s="16" t="str">
        <f aca="false">IF(B2254="","",IF(A2254=_xlfn.MINIFS($A$2:$A$5001,$B$2:$B$5001,B2254),1,0))</f>
        <v/>
      </c>
      <c r="K2254" s="16" t="str">
        <f aca="false">IF(B2254="","",IF(AND(D2254="Formalização",E2254="Concluído"),IF(COUNTIFS($B$2:$B$5001,B2254,$E$2:$E$5001,"Em ajustes",$A$2:$A$5001,"&lt;"&amp;I2254)&gt;0,1,0),0))</f>
        <v/>
      </c>
      <c r="L2254" s="16" t="str">
        <f aca="false">IF(B2254="","",IF(A2254=_xlfn.MAXIFS($A$2:$A$5001,$B$2:$B$5001,B2254,$I$2:$I$5001,I2254),1,0))</f>
        <v/>
      </c>
    </row>
    <row r="2255" customFormat="false" ht="15" hidden="false" customHeight="false" outlineLevel="0" collapsed="false">
      <c r="I2255" s="15" t="str">
        <f aca="false">IF(A2255="","",INT(A2255))</f>
        <v/>
      </c>
      <c r="J2255" s="16" t="str">
        <f aca="false">IF(B2255="","",IF(A2255=_xlfn.MINIFS($A$2:$A$5001,$B$2:$B$5001,B2255),1,0))</f>
        <v/>
      </c>
      <c r="K2255" s="16" t="str">
        <f aca="false">IF(B2255="","",IF(AND(D2255="Formalização",E2255="Concluído"),IF(COUNTIFS($B$2:$B$5001,B2255,$E$2:$E$5001,"Em ajustes",$A$2:$A$5001,"&lt;"&amp;I2255)&gt;0,1,0),0))</f>
        <v/>
      </c>
      <c r="L2255" s="16" t="str">
        <f aca="false">IF(B2255="","",IF(A2255=_xlfn.MAXIFS($A$2:$A$5001,$B$2:$B$5001,B2255,$I$2:$I$5001,I2255),1,0))</f>
        <v/>
      </c>
    </row>
    <row r="2256" customFormat="false" ht="15" hidden="false" customHeight="false" outlineLevel="0" collapsed="false">
      <c r="I2256" s="15" t="str">
        <f aca="false">IF(A2256="","",INT(A2256))</f>
        <v/>
      </c>
      <c r="J2256" s="16" t="str">
        <f aca="false">IF(B2256="","",IF(A2256=_xlfn.MINIFS($A$2:$A$5001,$B$2:$B$5001,B2256),1,0))</f>
        <v/>
      </c>
      <c r="K2256" s="16" t="str">
        <f aca="false">IF(B2256="","",IF(AND(D2256="Formalização",E2256="Concluído"),IF(COUNTIFS($B$2:$B$5001,B2256,$E$2:$E$5001,"Em ajustes",$A$2:$A$5001,"&lt;"&amp;I2256)&gt;0,1,0),0))</f>
        <v/>
      </c>
      <c r="L2256" s="16" t="str">
        <f aca="false">IF(B2256="","",IF(A2256=_xlfn.MAXIFS($A$2:$A$5001,$B$2:$B$5001,B2256,$I$2:$I$5001,I2256),1,0))</f>
        <v/>
      </c>
    </row>
    <row r="2257" customFormat="false" ht="15" hidden="false" customHeight="false" outlineLevel="0" collapsed="false">
      <c r="I2257" s="15" t="str">
        <f aca="false">IF(A2257="","",INT(A2257))</f>
        <v/>
      </c>
      <c r="J2257" s="16" t="str">
        <f aca="false">IF(B2257="","",IF(A2257=_xlfn.MINIFS($A$2:$A$5001,$B$2:$B$5001,B2257),1,0))</f>
        <v/>
      </c>
      <c r="K2257" s="16" t="str">
        <f aca="false">IF(B2257="","",IF(AND(D2257="Formalização",E2257="Concluído"),IF(COUNTIFS($B$2:$B$5001,B2257,$E$2:$E$5001,"Em ajustes",$A$2:$A$5001,"&lt;"&amp;I2257)&gt;0,1,0),0))</f>
        <v/>
      </c>
      <c r="L2257" s="16" t="str">
        <f aca="false">IF(B2257="","",IF(A2257=_xlfn.MAXIFS($A$2:$A$5001,$B$2:$B$5001,B2257,$I$2:$I$5001,I2257),1,0))</f>
        <v/>
      </c>
    </row>
    <row r="2258" customFormat="false" ht="15" hidden="false" customHeight="false" outlineLevel="0" collapsed="false">
      <c r="I2258" s="15" t="str">
        <f aca="false">IF(A2258="","",INT(A2258))</f>
        <v/>
      </c>
      <c r="J2258" s="16" t="str">
        <f aca="false">IF(B2258="","",IF(A2258=_xlfn.MINIFS($A$2:$A$5001,$B$2:$B$5001,B2258),1,0))</f>
        <v/>
      </c>
      <c r="K2258" s="16" t="str">
        <f aca="false">IF(B2258="","",IF(AND(D2258="Formalização",E2258="Concluído"),IF(COUNTIFS($B$2:$B$5001,B2258,$E$2:$E$5001,"Em ajustes",$A$2:$A$5001,"&lt;"&amp;I2258)&gt;0,1,0),0))</f>
        <v/>
      </c>
      <c r="L2258" s="16" t="str">
        <f aca="false">IF(B2258="","",IF(A2258=_xlfn.MAXIFS($A$2:$A$5001,$B$2:$B$5001,B2258,$I$2:$I$5001,I2258),1,0))</f>
        <v/>
      </c>
    </row>
    <row r="2259" customFormat="false" ht="15" hidden="false" customHeight="false" outlineLevel="0" collapsed="false">
      <c r="I2259" s="15" t="str">
        <f aca="false">IF(A2259="","",INT(A2259))</f>
        <v/>
      </c>
      <c r="J2259" s="16" t="str">
        <f aca="false">IF(B2259="","",IF(A2259=_xlfn.MINIFS($A$2:$A$5001,$B$2:$B$5001,B2259),1,0))</f>
        <v/>
      </c>
      <c r="K2259" s="16" t="str">
        <f aca="false">IF(B2259="","",IF(AND(D2259="Formalização",E2259="Concluído"),IF(COUNTIFS($B$2:$B$5001,B2259,$E$2:$E$5001,"Em ajustes",$A$2:$A$5001,"&lt;"&amp;I2259)&gt;0,1,0),0))</f>
        <v/>
      </c>
      <c r="L2259" s="16" t="str">
        <f aca="false">IF(B2259="","",IF(A2259=_xlfn.MAXIFS($A$2:$A$5001,$B$2:$B$5001,B2259,$I$2:$I$5001,I2259),1,0))</f>
        <v/>
      </c>
    </row>
    <row r="2260" customFormat="false" ht="15" hidden="false" customHeight="false" outlineLevel="0" collapsed="false">
      <c r="I2260" s="15" t="str">
        <f aca="false">IF(A2260="","",INT(A2260))</f>
        <v/>
      </c>
      <c r="J2260" s="16" t="str">
        <f aca="false">IF(B2260="","",IF(A2260=_xlfn.MINIFS($A$2:$A$5001,$B$2:$B$5001,B2260),1,0))</f>
        <v/>
      </c>
      <c r="K2260" s="16" t="str">
        <f aca="false">IF(B2260="","",IF(AND(D2260="Formalização",E2260="Concluído"),IF(COUNTIFS($B$2:$B$5001,B2260,$E$2:$E$5001,"Em ajustes",$A$2:$A$5001,"&lt;"&amp;I2260)&gt;0,1,0),0))</f>
        <v/>
      </c>
      <c r="L2260" s="16" t="str">
        <f aca="false">IF(B2260="","",IF(A2260=_xlfn.MAXIFS($A$2:$A$5001,$B$2:$B$5001,B2260,$I$2:$I$5001,I2260),1,0))</f>
        <v/>
      </c>
    </row>
    <row r="2261" customFormat="false" ht="15" hidden="false" customHeight="false" outlineLevel="0" collapsed="false">
      <c r="I2261" s="15" t="str">
        <f aca="false">IF(A2261="","",INT(A2261))</f>
        <v/>
      </c>
      <c r="J2261" s="16" t="str">
        <f aca="false">IF(B2261="","",IF(A2261=_xlfn.MINIFS($A$2:$A$5001,$B$2:$B$5001,B2261),1,0))</f>
        <v/>
      </c>
      <c r="K2261" s="16" t="str">
        <f aca="false">IF(B2261="","",IF(AND(D2261="Formalização",E2261="Concluído"),IF(COUNTIFS($B$2:$B$5001,B2261,$E$2:$E$5001,"Em ajustes",$A$2:$A$5001,"&lt;"&amp;I2261)&gt;0,1,0),0))</f>
        <v/>
      </c>
      <c r="L2261" s="16" t="str">
        <f aca="false">IF(B2261="","",IF(A2261=_xlfn.MAXIFS($A$2:$A$5001,$B$2:$B$5001,B2261,$I$2:$I$5001,I2261),1,0))</f>
        <v/>
      </c>
    </row>
    <row r="2262" customFormat="false" ht="15" hidden="false" customHeight="false" outlineLevel="0" collapsed="false">
      <c r="I2262" s="15" t="str">
        <f aca="false">IF(A2262="","",INT(A2262))</f>
        <v/>
      </c>
      <c r="J2262" s="16" t="str">
        <f aca="false">IF(B2262="","",IF(A2262=_xlfn.MINIFS($A$2:$A$5001,$B$2:$B$5001,B2262),1,0))</f>
        <v/>
      </c>
      <c r="K2262" s="16" t="str">
        <f aca="false">IF(B2262="","",IF(AND(D2262="Formalização",E2262="Concluído"),IF(COUNTIFS($B$2:$B$5001,B2262,$E$2:$E$5001,"Em ajustes",$A$2:$A$5001,"&lt;"&amp;I2262)&gt;0,1,0),0))</f>
        <v/>
      </c>
      <c r="L2262" s="16" t="str">
        <f aca="false">IF(B2262="","",IF(A2262=_xlfn.MAXIFS($A$2:$A$5001,$B$2:$B$5001,B2262,$I$2:$I$5001,I2262),1,0))</f>
        <v/>
      </c>
    </row>
    <row r="2263" customFormat="false" ht="15" hidden="false" customHeight="false" outlineLevel="0" collapsed="false">
      <c r="I2263" s="15" t="str">
        <f aca="false">IF(A2263="","",INT(A2263))</f>
        <v/>
      </c>
      <c r="J2263" s="16" t="str">
        <f aca="false">IF(B2263="","",IF(A2263=_xlfn.MINIFS($A$2:$A$5001,$B$2:$B$5001,B2263),1,0))</f>
        <v/>
      </c>
      <c r="K2263" s="16" t="str">
        <f aca="false">IF(B2263="","",IF(AND(D2263="Formalização",E2263="Concluído"),IF(COUNTIFS($B$2:$B$5001,B2263,$E$2:$E$5001,"Em ajustes",$A$2:$A$5001,"&lt;"&amp;I2263)&gt;0,1,0),0))</f>
        <v/>
      </c>
      <c r="L2263" s="16" t="str">
        <f aca="false">IF(B2263="","",IF(A2263=_xlfn.MAXIFS($A$2:$A$5001,$B$2:$B$5001,B2263,$I$2:$I$5001,I2263),1,0))</f>
        <v/>
      </c>
    </row>
    <row r="2264" customFormat="false" ht="15" hidden="false" customHeight="false" outlineLevel="0" collapsed="false">
      <c r="I2264" s="15" t="str">
        <f aca="false">IF(A2264="","",INT(A2264))</f>
        <v/>
      </c>
      <c r="J2264" s="16" t="str">
        <f aca="false">IF(B2264="","",IF(A2264=_xlfn.MINIFS($A$2:$A$5001,$B$2:$B$5001,B2264),1,0))</f>
        <v/>
      </c>
      <c r="K2264" s="16" t="str">
        <f aca="false">IF(B2264="","",IF(AND(D2264="Formalização",E2264="Concluído"),IF(COUNTIFS($B$2:$B$5001,B2264,$E$2:$E$5001,"Em ajustes",$A$2:$A$5001,"&lt;"&amp;I2264)&gt;0,1,0),0))</f>
        <v/>
      </c>
      <c r="L2264" s="16" t="str">
        <f aca="false">IF(B2264="","",IF(A2264=_xlfn.MAXIFS($A$2:$A$5001,$B$2:$B$5001,B2264,$I$2:$I$5001,I2264),1,0))</f>
        <v/>
      </c>
    </row>
    <row r="2265" customFormat="false" ht="15" hidden="false" customHeight="false" outlineLevel="0" collapsed="false">
      <c r="I2265" s="15" t="str">
        <f aca="false">IF(A2265="","",INT(A2265))</f>
        <v/>
      </c>
      <c r="J2265" s="16" t="str">
        <f aca="false">IF(B2265="","",IF(A2265=_xlfn.MINIFS($A$2:$A$5001,$B$2:$B$5001,B2265),1,0))</f>
        <v/>
      </c>
      <c r="K2265" s="16" t="str">
        <f aca="false">IF(B2265="","",IF(AND(D2265="Formalização",E2265="Concluído"),IF(COUNTIFS($B$2:$B$5001,B2265,$E$2:$E$5001,"Em ajustes",$A$2:$A$5001,"&lt;"&amp;I2265)&gt;0,1,0),0))</f>
        <v/>
      </c>
      <c r="L2265" s="16" t="str">
        <f aca="false">IF(B2265="","",IF(A2265=_xlfn.MAXIFS($A$2:$A$5001,$B$2:$B$5001,B2265,$I$2:$I$5001,I2265),1,0))</f>
        <v/>
      </c>
    </row>
    <row r="2266" customFormat="false" ht="15" hidden="false" customHeight="false" outlineLevel="0" collapsed="false">
      <c r="I2266" s="15" t="str">
        <f aca="false">IF(A2266="","",INT(A2266))</f>
        <v/>
      </c>
      <c r="J2266" s="16" t="str">
        <f aca="false">IF(B2266="","",IF(A2266=_xlfn.MINIFS($A$2:$A$5001,$B$2:$B$5001,B2266),1,0))</f>
        <v/>
      </c>
      <c r="K2266" s="16" t="str">
        <f aca="false">IF(B2266="","",IF(AND(D2266="Formalização",E2266="Concluído"),IF(COUNTIFS($B$2:$B$5001,B2266,$E$2:$E$5001,"Em ajustes",$A$2:$A$5001,"&lt;"&amp;I2266)&gt;0,1,0),0))</f>
        <v/>
      </c>
      <c r="L2266" s="16" t="str">
        <f aca="false">IF(B2266="","",IF(A2266=_xlfn.MAXIFS($A$2:$A$5001,$B$2:$B$5001,B2266,$I$2:$I$5001,I2266),1,0))</f>
        <v/>
      </c>
    </row>
    <row r="2267" customFormat="false" ht="15" hidden="false" customHeight="false" outlineLevel="0" collapsed="false">
      <c r="I2267" s="15" t="str">
        <f aca="false">IF(A2267="","",INT(A2267))</f>
        <v/>
      </c>
      <c r="J2267" s="16" t="str">
        <f aca="false">IF(B2267="","",IF(A2267=_xlfn.MINIFS($A$2:$A$5001,$B$2:$B$5001,B2267),1,0))</f>
        <v/>
      </c>
      <c r="K2267" s="16" t="str">
        <f aca="false">IF(B2267="","",IF(AND(D2267="Formalização",E2267="Concluído"),IF(COUNTIFS($B$2:$B$5001,B2267,$E$2:$E$5001,"Em ajustes",$A$2:$A$5001,"&lt;"&amp;I2267)&gt;0,1,0),0))</f>
        <v/>
      </c>
      <c r="L2267" s="16" t="str">
        <f aca="false">IF(B2267="","",IF(A2267=_xlfn.MAXIFS($A$2:$A$5001,$B$2:$B$5001,B2267,$I$2:$I$5001,I2267),1,0))</f>
        <v/>
      </c>
    </row>
    <row r="2268" customFormat="false" ht="15" hidden="false" customHeight="false" outlineLevel="0" collapsed="false">
      <c r="I2268" s="15" t="str">
        <f aca="false">IF(A2268="","",INT(A2268))</f>
        <v/>
      </c>
      <c r="J2268" s="16" t="str">
        <f aca="false">IF(B2268="","",IF(A2268=_xlfn.MINIFS($A$2:$A$5001,$B$2:$B$5001,B2268),1,0))</f>
        <v/>
      </c>
      <c r="K2268" s="16" t="str">
        <f aca="false">IF(B2268="","",IF(AND(D2268="Formalização",E2268="Concluído"),IF(COUNTIFS($B$2:$B$5001,B2268,$E$2:$E$5001,"Em ajustes",$A$2:$A$5001,"&lt;"&amp;I2268)&gt;0,1,0),0))</f>
        <v/>
      </c>
      <c r="L2268" s="16" t="str">
        <f aca="false">IF(B2268="","",IF(A2268=_xlfn.MAXIFS($A$2:$A$5001,$B$2:$B$5001,B2268,$I$2:$I$5001,I2268),1,0))</f>
        <v/>
      </c>
    </row>
    <row r="2269" customFormat="false" ht="15" hidden="false" customHeight="false" outlineLevel="0" collapsed="false">
      <c r="I2269" s="15" t="str">
        <f aca="false">IF(A2269="","",INT(A2269))</f>
        <v/>
      </c>
      <c r="J2269" s="16" t="str">
        <f aca="false">IF(B2269="","",IF(A2269=_xlfn.MINIFS($A$2:$A$5001,$B$2:$B$5001,B2269),1,0))</f>
        <v/>
      </c>
      <c r="K2269" s="16" t="str">
        <f aca="false">IF(B2269="","",IF(AND(D2269="Formalização",E2269="Concluído"),IF(COUNTIFS($B$2:$B$5001,B2269,$E$2:$E$5001,"Em ajustes",$A$2:$A$5001,"&lt;"&amp;I2269)&gt;0,1,0),0))</f>
        <v/>
      </c>
      <c r="L2269" s="16" t="str">
        <f aca="false">IF(B2269="","",IF(A2269=_xlfn.MAXIFS($A$2:$A$5001,$B$2:$B$5001,B2269,$I$2:$I$5001,I2269),1,0))</f>
        <v/>
      </c>
    </row>
    <row r="2270" customFormat="false" ht="15" hidden="false" customHeight="false" outlineLevel="0" collapsed="false">
      <c r="I2270" s="15" t="str">
        <f aca="false">IF(A2270="","",INT(A2270))</f>
        <v/>
      </c>
      <c r="J2270" s="16" t="str">
        <f aca="false">IF(B2270="","",IF(A2270=_xlfn.MINIFS($A$2:$A$5001,$B$2:$B$5001,B2270),1,0))</f>
        <v/>
      </c>
      <c r="K2270" s="16" t="str">
        <f aca="false">IF(B2270="","",IF(AND(D2270="Formalização",E2270="Concluído"),IF(COUNTIFS($B$2:$B$5001,B2270,$E$2:$E$5001,"Em ajustes",$A$2:$A$5001,"&lt;"&amp;I2270)&gt;0,1,0),0))</f>
        <v/>
      </c>
      <c r="L2270" s="16" t="str">
        <f aca="false">IF(B2270="","",IF(A2270=_xlfn.MAXIFS($A$2:$A$5001,$B$2:$B$5001,B2270,$I$2:$I$5001,I2270),1,0))</f>
        <v/>
      </c>
    </row>
    <row r="2271" customFormat="false" ht="15" hidden="false" customHeight="false" outlineLevel="0" collapsed="false">
      <c r="I2271" s="15" t="str">
        <f aca="false">IF(A2271="","",INT(A2271))</f>
        <v/>
      </c>
      <c r="J2271" s="16" t="str">
        <f aca="false">IF(B2271="","",IF(A2271=_xlfn.MINIFS($A$2:$A$5001,$B$2:$B$5001,B2271),1,0))</f>
        <v/>
      </c>
      <c r="K2271" s="16" t="str">
        <f aca="false">IF(B2271="","",IF(AND(D2271="Formalização",E2271="Concluído"),IF(COUNTIFS($B$2:$B$5001,B2271,$E$2:$E$5001,"Em ajustes",$A$2:$A$5001,"&lt;"&amp;I2271)&gt;0,1,0),0))</f>
        <v/>
      </c>
      <c r="L2271" s="16" t="str">
        <f aca="false">IF(B2271="","",IF(A2271=_xlfn.MAXIFS($A$2:$A$5001,$B$2:$B$5001,B2271,$I$2:$I$5001,I2271),1,0))</f>
        <v/>
      </c>
    </row>
    <row r="2272" customFormat="false" ht="15" hidden="false" customHeight="false" outlineLevel="0" collapsed="false">
      <c r="I2272" s="15" t="str">
        <f aca="false">IF(A2272="","",INT(A2272))</f>
        <v/>
      </c>
      <c r="J2272" s="16" t="str">
        <f aca="false">IF(B2272="","",IF(A2272=_xlfn.MINIFS($A$2:$A$5001,$B$2:$B$5001,B2272),1,0))</f>
        <v/>
      </c>
      <c r="K2272" s="16" t="str">
        <f aca="false">IF(B2272="","",IF(AND(D2272="Formalização",E2272="Concluído"),IF(COUNTIFS($B$2:$B$5001,B2272,$E$2:$E$5001,"Em ajustes",$A$2:$A$5001,"&lt;"&amp;I2272)&gt;0,1,0),0))</f>
        <v/>
      </c>
      <c r="L2272" s="16" t="str">
        <f aca="false">IF(B2272="","",IF(A2272=_xlfn.MAXIFS($A$2:$A$5001,$B$2:$B$5001,B2272,$I$2:$I$5001,I2272),1,0))</f>
        <v/>
      </c>
    </row>
    <row r="2273" customFormat="false" ht="15" hidden="false" customHeight="false" outlineLevel="0" collapsed="false">
      <c r="I2273" s="15" t="str">
        <f aca="false">IF(A2273="","",INT(A2273))</f>
        <v/>
      </c>
      <c r="J2273" s="16" t="str">
        <f aca="false">IF(B2273="","",IF(A2273=_xlfn.MINIFS($A$2:$A$5001,$B$2:$B$5001,B2273),1,0))</f>
        <v/>
      </c>
      <c r="K2273" s="16" t="str">
        <f aca="false">IF(B2273="","",IF(AND(D2273="Formalização",E2273="Concluído"),IF(COUNTIFS($B$2:$B$5001,B2273,$E$2:$E$5001,"Em ajustes",$A$2:$A$5001,"&lt;"&amp;I2273)&gt;0,1,0),0))</f>
        <v/>
      </c>
      <c r="L2273" s="16" t="str">
        <f aca="false">IF(B2273="","",IF(A2273=_xlfn.MAXIFS($A$2:$A$5001,$B$2:$B$5001,B2273,$I$2:$I$5001,I2273),1,0))</f>
        <v/>
      </c>
    </row>
    <row r="2274" customFormat="false" ht="15" hidden="false" customHeight="false" outlineLevel="0" collapsed="false">
      <c r="I2274" s="15" t="str">
        <f aca="false">IF(A2274="","",INT(A2274))</f>
        <v/>
      </c>
      <c r="J2274" s="16" t="str">
        <f aca="false">IF(B2274="","",IF(A2274=_xlfn.MINIFS($A$2:$A$5001,$B$2:$B$5001,B2274),1,0))</f>
        <v/>
      </c>
      <c r="K2274" s="16" t="str">
        <f aca="false">IF(B2274="","",IF(AND(D2274="Formalização",E2274="Concluído"),IF(COUNTIFS($B$2:$B$5001,B2274,$E$2:$E$5001,"Em ajustes",$A$2:$A$5001,"&lt;"&amp;I2274)&gt;0,1,0),0))</f>
        <v/>
      </c>
      <c r="L2274" s="16" t="str">
        <f aca="false">IF(B2274="","",IF(A2274=_xlfn.MAXIFS($A$2:$A$5001,$B$2:$B$5001,B2274,$I$2:$I$5001,I2274),1,0))</f>
        <v/>
      </c>
    </row>
    <row r="2275" customFormat="false" ht="15" hidden="false" customHeight="false" outlineLevel="0" collapsed="false">
      <c r="I2275" s="15" t="str">
        <f aca="false">IF(A2275="","",INT(A2275))</f>
        <v/>
      </c>
      <c r="J2275" s="16" t="str">
        <f aca="false">IF(B2275="","",IF(A2275=_xlfn.MINIFS($A$2:$A$5001,$B$2:$B$5001,B2275),1,0))</f>
        <v/>
      </c>
      <c r="K2275" s="16" t="str">
        <f aca="false">IF(B2275="","",IF(AND(D2275="Formalização",E2275="Concluído"),IF(COUNTIFS($B$2:$B$5001,B2275,$E$2:$E$5001,"Em ajustes",$A$2:$A$5001,"&lt;"&amp;I2275)&gt;0,1,0),0))</f>
        <v/>
      </c>
      <c r="L2275" s="16" t="str">
        <f aca="false">IF(B2275="","",IF(A2275=_xlfn.MAXIFS($A$2:$A$5001,$B$2:$B$5001,B2275,$I$2:$I$5001,I2275),1,0))</f>
        <v/>
      </c>
    </row>
    <row r="2276" customFormat="false" ht="15" hidden="false" customHeight="false" outlineLevel="0" collapsed="false">
      <c r="I2276" s="15" t="str">
        <f aca="false">IF(A2276="","",INT(A2276))</f>
        <v/>
      </c>
      <c r="J2276" s="16" t="str">
        <f aca="false">IF(B2276="","",IF(A2276=_xlfn.MINIFS($A$2:$A$5001,$B$2:$B$5001,B2276),1,0))</f>
        <v/>
      </c>
      <c r="K2276" s="16" t="str">
        <f aca="false">IF(B2276="","",IF(AND(D2276="Formalização",E2276="Concluído"),IF(COUNTIFS($B$2:$B$5001,B2276,$E$2:$E$5001,"Em ajustes",$A$2:$A$5001,"&lt;"&amp;I2276)&gt;0,1,0),0))</f>
        <v/>
      </c>
      <c r="L2276" s="16" t="str">
        <f aca="false">IF(B2276="","",IF(A2276=_xlfn.MAXIFS($A$2:$A$5001,$B$2:$B$5001,B2276,$I$2:$I$5001,I2276),1,0))</f>
        <v/>
      </c>
    </row>
    <row r="2277" customFormat="false" ht="15" hidden="false" customHeight="false" outlineLevel="0" collapsed="false">
      <c r="I2277" s="15" t="str">
        <f aca="false">IF(A2277="","",INT(A2277))</f>
        <v/>
      </c>
      <c r="J2277" s="16" t="str">
        <f aca="false">IF(B2277="","",IF(A2277=_xlfn.MINIFS($A$2:$A$5001,$B$2:$B$5001,B2277),1,0))</f>
        <v/>
      </c>
      <c r="K2277" s="16" t="str">
        <f aca="false">IF(B2277="","",IF(AND(D2277="Formalização",E2277="Concluído"),IF(COUNTIFS($B$2:$B$5001,B2277,$E$2:$E$5001,"Em ajustes",$A$2:$A$5001,"&lt;"&amp;I2277)&gt;0,1,0),0))</f>
        <v/>
      </c>
      <c r="L2277" s="16" t="str">
        <f aca="false">IF(B2277="","",IF(A2277=_xlfn.MAXIFS($A$2:$A$5001,$B$2:$B$5001,B2277,$I$2:$I$5001,I2277),1,0))</f>
        <v/>
      </c>
    </row>
    <row r="2278" customFormat="false" ht="15" hidden="false" customHeight="false" outlineLevel="0" collapsed="false">
      <c r="I2278" s="15" t="str">
        <f aca="false">IF(A2278="","",INT(A2278))</f>
        <v/>
      </c>
      <c r="J2278" s="16" t="str">
        <f aca="false">IF(B2278="","",IF(A2278=_xlfn.MINIFS($A$2:$A$5001,$B$2:$B$5001,B2278),1,0))</f>
        <v/>
      </c>
      <c r="K2278" s="16" t="str">
        <f aca="false">IF(B2278="","",IF(AND(D2278="Formalização",E2278="Concluído"),IF(COUNTIFS($B$2:$B$5001,B2278,$E$2:$E$5001,"Em ajustes",$A$2:$A$5001,"&lt;"&amp;I2278)&gt;0,1,0),0))</f>
        <v/>
      </c>
      <c r="L2278" s="16" t="str">
        <f aca="false">IF(B2278="","",IF(A2278=_xlfn.MAXIFS($A$2:$A$5001,$B$2:$B$5001,B2278,$I$2:$I$5001,I2278),1,0))</f>
        <v/>
      </c>
    </row>
    <row r="2279" customFormat="false" ht="15" hidden="false" customHeight="false" outlineLevel="0" collapsed="false">
      <c r="I2279" s="15" t="str">
        <f aca="false">IF(A2279="","",INT(A2279))</f>
        <v/>
      </c>
      <c r="J2279" s="16" t="str">
        <f aca="false">IF(B2279="","",IF(A2279=_xlfn.MINIFS($A$2:$A$5001,$B$2:$B$5001,B2279),1,0))</f>
        <v/>
      </c>
      <c r="K2279" s="16" t="str">
        <f aca="false">IF(B2279="","",IF(AND(D2279="Formalização",E2279="Concluído"),IF(COUNTIFS($B$2:$B$5001,B2279,$E$2:$E$5001,"Em ajustes",$A$2:$A$5001,"&lt;"&amp;I2279)&gt;0,1,0),0))</f>
        <v/>
      </c>
      <c r="L2279" s="16" t="str">
        <f aca="false">IF(B2279="","",IF(A2279=_xlfn.MAXIFS($A$2:$A$5001,$B$2:$B$5001,B2279,$I$2:$I$5001,I2279),1,0))</f>
        <v/>
      </c>
    </row>
    <row r="2280" customFormat="false" ht="15" hidden="false" customHeight="false" outlineLevel="0" collapsed="false">
      <c r="I2280" s="15" t="str">
        <f aca="false">IF(A2280="","",INT(A2280))</f>
        <v/>
      </c>
      <c r="J2280" s="16" t="str">
        <f aca="false">IF(B2280="","",IF(A2280=_xlfn.MINIFS($A$2:$A$5001,$B$2:$B$5001,B2280),1,0))</f>
        <v/>
      </c>
      <c r="K2280" s="16" t="str">
        <f aca="false">IF(B2280="","",IF(AND(D2280="Formalização",E2280="Concluído"),IF(COUNTIFS($B$2:$B$5001,B2280,$E$2:$E$5001,"Em ajustes",$A$2:$A$5001,"&lt;"&amp;I2280)&gt;0,1,0),0))</f>
        <v/>
      </c>
      <c r="L2280" s="16" t="str">
        <f aca="false">IF(B2280="","",IF(A2280=_xlfn.MAXIFS($A$2:$A$5001,$B$2:$B$5001,B2280,$I$2:$I$5001,I2280),1,0))</f>
        <v/>
      </c>
    </row>
    <row r="2281" customFormat="false" ht="15" hidden="false" customHeight="false" outlineLevel="0" collapsed="false">
      <c r="I2281" s="15" t="str">
        <f aca="false">IF(A2281="","",INT(A2281))</f>
        <v/>
      </c>
      <c r="J2281" s="16" t="str">
        <f aca="false">IF(B2281="","",IF(A2281=_xlfn.MINIFS($A$2:$A$5001,$B$2:$B$5001,B2281),1,0))</f>
        <v/>
      </c>
      <c r="K2281" s="16" t="str">
        <f aca="false">IF(B2281="","",IF(AND(D2281="Formalização",E2281="Concluído"),IF(COUNTIFS($B$2:$B$5001,B2281,$E$2:$E$5001,"Em ajustes",$A$2:$A$5001,"&lt;"&amp;I2281)&gt;0,1,0),0))</f>
        <v/>
      </c>
      <c r="L2281" s="16" t="str">
        <f aca="false">IF(B2281="","",IF(A2281=_xlfn.MAXIFS($A$2:$A$5001,$B$2:$B$5001,B2281,$I$2:$I$5001,I2281),1,0))</f>
        <v/>
      </c>
    </row>
    <row r="2282" customFormat="false" ht="15" hidden="false" customHeight="false" outlineLevel="0" collapsed="false">
      <c r="I2282" s="15" t="str">
        <f aca="false">IF(A2282="","",INT(A2282))</f>
        <v/>
      </c>
      <c r="J2282" s="16" t="str">
        <f aca="false">IF(B2282="","",IF(A2282=_xlfn.MINIFS($A$2:$A$5001,$B$2:$B$5001,B2282),1,0))</f>
        <v/>
      </c>
      <c r="K2282" s="16" t="str">
        <f aca="false">IF(B2282="","",IF(AND(D2282="Formalização",E2282="Concluído"),IF(COUNTIFS($B$2:$B$5001,B2282,$E$2:$E$5001,"Em ajustes",$A$2:$A$5001,"&lt;"&amp;I2282)&gt;0,1,0),0))</f>
        <v/>
      </c>
      <c r="L2282" s="16" t="str">
        <f aca="false">IF(B2282="","",IF(A2282=_xlfn.MAXIFS($A$2:$A$5001,$B$2:$B$5001,B2282,$I$2:$I$5001,I2282),1,0))</f>
        <v/>
      </c>
    </row>
    <row r="2283" customFormat="false" ht="15" hidden="false" customHeight="false" outlineLevel="0" collapsed="false">
      <c r="I2283" s="15" t="str">
        <f aca="false">IF(A2283="","",INT(A2283))</f>
        <v/>
      </c>
      <c r="J2283" s="16" t="str">
        <f aca="false">IF(B2283="","",IF(A2283=_xlfn.MINIFS($A$2:$A$5001,$B$2:$B$5001,B2283),1,0))</f>
        <v/>
      </c>
      <c r="K2283" s="16" t="str">
        <f aca="false">IF(B2283="","",IF(AND(D2283="Formalização",E2283="Concluído"),IF(COUNTIFS($B$2:$B$5001,B2283,$E$2:$E$5001,"Em ajustes",$A$2:$A$5001,"&lt;"&amp;I2283)&gt;0,1,0),0))</f>
        <v/>
      </c>
      <c r="L2283" s="16" t="str">
        <f aca="false">IF(B2283="","",IF(A2283=_xlfn.MAXIFS($A$2:$A$5001,$B$2:$B$5001,B2283,$I$2:$I$5001,I2283),1,0))</f>
        <v/>
      </c>
    </row>
    <row r="2284" customFormat="false" ht="15" hidden="false" customHeight="false" outlineLevel="0" collapsed="false">
      <c r="I2284" s="15" t="str">
        <f aca="false">IF(A2284="","",INT(A2284))</f>
        <v/>
      </c>
      <c r="J2284" s="16" t="str">
        <f aca="false">IF(B2284="","",IF(A2284=_xlfn.MINIFS($A$2:$A$5001,$B$2:$B$5001,B2284),1,0))</f>
        <v/>
      </c>
      <c r="K2284" s="16" t="str">
        <f aca="false">IF(B2284="","",IF(AND(D2284="Formalização",E2284="Concluído"),IF(COUNTIFS($B$2:$B$5001,B2284,$E$2:$E$5001,"Em ajustes",$A$2:$A$5001,"&lt;"&amp;I2284)&gt;0,1,0),0))</f>
        <v/>
      </c>
      <c r="L2284" s="16" t="str">
        <f aca="false">IF(B2284="","",IF(A2284=_xlfn.MAXIFS($A$2:$A$5001,$B$2:$B$5001,B2284,$I$2:$I$5001,I2284),1,0))</f>
        <v/>
      </c>
    </row>
    <row r="2285" customFormat="false" ht="15" hidden="false" customHeight="false" outlineLevel="0" collapsed="false">
      <c r="I2285" s="15" t="str">
        <f aca="false">IF(A2285="","",INT(A2285))</f>
        <v/>
      </c>
      <c r="J2285" s="16" t="str">
        <f aca="false">IF(B2285="","",IF(A2285=_xlfn.MINIFS($A$2:$A$5001,$B$2:$B$5001,B2285),1,0))</f>
        <v/>
      </c>
      <c r="K2285" s="16" t="str">
        <f aca="false">IF(B2285="","",IF(AND(D2285="Formalização",E2285="Concluído"),IF(COUNTIFS($B$2:$B$5001,B2285,$E$2:$E$5001,"Em ajustes",$A$2:$A$5001,"&lt;"&amp;I2285)&gt;0,1,0),0))</f>
        <v/>
      </c>
      <c r="L2285" s="16" t="str">
        <f aca="false">IF(B2285="","",IF(A2285=_xlfn.MAXIFS($A$2:$A$5001,$B$2:$B$5001,B2285,$I$2:$I$5001,I2285),1,0))</f>
        <v/>
      </c>
    </row>
    <row r="2286" customFormat="false" ht="15" hidden="false" customHeight="false" outlineLevel="0" collapsed="false">
      <c r="I2286" s="15" t="str">
        <f aca="false">IF(A2286="","",INT(A2286))</f>
        <v/>
      </c>
      <c r="J2286" s="16" t="str">
        <f aca="false">IF(B2286="","",IF(A2286=_xlfn.MINIFS($A$2:$A$5001,$B$2:$B$5001,B2286),1,0))</f>
        <v/>
      </c>
      <c r="K2286" s="16" t="str">
        <f aca="false">IF(B2286="","",IF(AND(D2286="Formalização",E2286="Concluído"),IF(COUNTIFS($B$2:$B$5001,B2286,$E$2:$E$5001,"Em ajustes",$A$2:$A$5001,"&lt;"&amp;I2286)&gt;0,1,0),0))</f>
        <v/>
      </c>
      <c r="L2286" s="16" t="str">
        <f aca="false">IF(B2286="","",IF(A2286=_xlfn.MAXIFS($A$2:$A$5001,$B$2:$B$5001,B2286,$I$2:$I$5001,I2286),1,0))</f>
        <v/>
      </c>
    </row>
    <row r="2287" customFormat="false" ht="15" hidden="false" customHeight="false" outlineLevel="0" collapsed="false">
      <c r="I2287" s="15" t="str">
        <f aca="false">IF(A2287="","",INT(A2287))</f>
        <v/>
      </c>
      <c r="J2287" s="16" t="str">
        <f aca="false">IF(B2287="","",IF(A2287=_xlfn.MINIFS($A$2:$A$5001,$B$2:$B$5001,B2287),1,0))</f>
        <v/>
      </c>
      <c r="K2287" s="16" t="str">
        <f aca="false">IF(B2287="","",IF(AND(D2287="Formalização",E2287="Concluído"),IF(COUNTIFS($B$2:$B$5001,B2287,$E$2:$E$5001,"Em ajustes",$A$2:$A$5001,"&lt;"&amp;I2287)&gt;0,1,0),0))</f>
        <v/>
      </c>
      <c r="L2287" s="16" t="str">
        <f aca="false">IF(B2287="","",IF(A2287=_xlfn.MAXIFS($A$2:$A$5001,$B$2:$B$5001,B2287,$I$2:$I$5001,I2287),1,0))</f>
        <v/>
      </c>
    </row>
    <row r="2288" customFormat="false" ht="15" hidden="false" customHeight="false" outlineLevel="0" collapsed="false">
      <c r="I2288" s="15" t="str">
        <f aca="false">IF(A2288="","",INT(A2288))</f>
        <v/>
      </c>
      <c r="J2288" s="16" t="str">
        <f aca="false">IF(B2288="","",IF(A2288=_xlfn.MINIFS($A$2:$A$5001,$B$2:$B$5001,B2288),1,0))</f>
        <v/>
      </c>
      <c r="K2288" s="16" t="str">
        <f aca="false">IF(B2288="","",IF(AND(D2288="Formalização",E2288="Concluído"),IF(COUNTIFS($B$2:$B$5001,B2288,$E$2:$E$5001,"Em ajustes",$A$2:$A$5001,"&lt;"&amp;I2288)&gt;0,1,0),0))</f>
        <v/>
      </c>
      <c r="L2288" s="16" t="str">
        <f aca="false">IF(B2288="","",IF(A2288=_xlfn.MAXIFS($A$2:$A$5001,$B$2:$B$5001,B2288,$I$2:$I$5001,I2288),1,0))</f>
        <v/>
      </c>
    </row>
    <row r="2289" customFormat="false" ht="15" hidden="false" customHeight="false" outlineLevel="0" collapsed="false">
      <c r="I2289" s="15" t="str">
        <f aca="false">IF(A2289="","",INT(A2289))</f>
        <v/>
      </c>
      <c r="J2289" s="16" t="str">
        <f aca="false">IF(B2289="","",IF(A2289=_xlfn.MINIFS($A$2:$A$5001,$B$2:$B$5001,B2289),1,0))</f>
        <v/>
      </c>
      <c r="K2289" s="16" t="str">
        <f aca="false">IF(B2289="","",IF(AND(D2289="Formalização",E2289="Concluído"),IF(COUNTIFS($B$2:$B$5001,B2289,$E$2:$E$5001,"Em ajustes",$A$2:$A$5001,"&lt;"&amp;I2289)&gt;0,1,0),0))</f>
        <v/>
      </c>
      <c r="L2289" s="16" t="str">
        <f aca="false">IF(B2289="","",IF(A2289=_xlfn.MAXIFS($A$2:$A$5001,$B$2:$B$5001,B2289,$I$2:$I$5001,I2289),1,0))</f>
        <v/>
      </c>
    </row>
    <row r="2290" customFormat="false" ht="15" hidden="false" customHeight="false" outlineLevel="0" collapsed="false">
      <c r="I2290" s="15" t="str">
        <f aca="false">IF(A2290="","",INT(A2290))</f>
        <v/>
      </c>
      <c r="J2290" s="16" t="str">
        <f aca="false">IF(B2290="","",IF(A2290=_xlfn.MINIFS($A$2:$A$5001,$B$2:$B$5001,B2290),1,0))</f>
        <v/>
      </c>
      <c r="K2290" s="16" t="str">
        <f aca="false">IF(B2290="","",IF(AND(D2290="Formalização",E2290="Concluído"),IF(COUNTIFS($B$2:$B$5001,B2290,$E$2:$E$5001,"Em ajustes",$A$2:$A$5001,"&lt;"&amp;I2290)&gt;0,1,0),0))</f>
        <v/>
      </c>
      <c r="L2290" s="16" t="str">
        <f aca="false">IF(B2290="","",IF(A2290=_xlfn.MAXIFS($A$2:$A$5001,$B$2:$B$5001,B2290,$I$2:$I$5001,I2290),1,0))</f>
        <v/>
      </c>
    </row>
    <row r="2291" customFormat="false" ht="15" hidden="false" customHeight="false" outlineLevel="0" collapsed="false">
      <c r="I2291" s="15" t="str">
        <f aca="false">IF(A2291="","",INT(A2291))</f>
        <v/>
      </c>
      <c r="J2291" s="16" t="str">
        <f aca="false">IF(B2291="","",IF(A2291=_xlfn.MINIFS($A$2:$A$5001,$B$2:$B$5001,B2291),1,0))</f>
        <v/>
      </c>
      <c r="K2291" s="16" t="str">
        <f aca="false">IF(B2291="","",IF(AND(D2291="Formalização",E2291="Concluído"),IF(COUNTIFS($B$2:$B$5001,B2291,$E$2:$E$5001,"Em ajustes",$A$2:$A$5001,"&lt;"&amp;I2291)&gt;0,1,0),0))</f>
        <v/>
      </c>
      <c r="L2291" s="16" t="str">
        <f aca="false">IF(B2291="","",IF(A2291=_xlfn.MAXIFS($A$2:$A$5001,$B$2:$B$5001,B2291,$I$2:$I$5001,I2291),1,0))</f>
        <v/>
      </c>
    </row>
    <row r="2292" customFormat="false" ht="15" hidden="false" customHeight="false" outlineLevel="0" collapsed="false">
      <c r="I2292" s="15" t="str">
        <f aca="false">IF(A2292="","",INT(A2292))</f>
        <v/>
      </c>
      <c r="J2292" s="16" t="str">
        <f aca="false">IF(B2292="","",IF(A2292=_xlfn.MINIFS($A$2:$A$5001,$B$2:$B$5001,B2292),1,0))</f>
        <v/>
      </c>
      <c r="K2292" s="16" t="str">
        <f aca="false">IF(B2292="","",IF(AND(D2292="Formalização",E2292="Concluído"),IF(COUNTIFS($B$2:$B$5001,B2292,$E$2:$E$5001,"Em ajustes",$A$2:$A$5001,"&lt;"&amp;I2292)&gt;0,1,0),0))</f>
        <v/>
      </c>
      <c r="L2292" s="16" t="str">
        <f aca="false">IF(B2292="","",IF(A2292=_xlfn.MAXIFS($A$2:$A$5001,$B$2:$B$5001,B2292,$I$2:$I$5001,I2292),1,0))</f>
        <v/>
      </c>
    </row>
    <row r="2293" customFormat="false" ht="15" hidden="false" customHeight="false" outlineLevel="0" collapsed="false">
      <c r="I2293" s="15" t="str">
        <f aca="false">IF(A2293="","",INT(A2293))</f>
        <v/>
      </c>
      <c r="J2293" s="16" t="str">
        <f aca="false">IF(B2293="","",IF(A2293=_xlfn.MINIFS($A$2:$A$5001,$B$2:$B$5001,B2293),1,0))</f>
        <v/>
      </c>
      <c r="K2293" s="16" t="str">
        <f aca="false">IF(B2293="","",IF(AND(D2293="Formalização",E2293="Concluído"),IF(COUNTIFS($B$2:$B$5001,B2293,$E$2:$E$5001,"Em ajustes",$A$2:$A$5001,"&lt;"&amp;I2293)&gt;0,1,0),0))</f>
        <v/>
      </c>
      <c r="L2293" s="16" t="str">
        <f aca="false">IF(B2293="","",IF(A2293=_xlfn.MAXIFS($A$2:$A$5001,$B$2:$B$5001,B2293,$I$2:$I$5001,I2293),1,0))</f>
        <v/>
      </c>
    </row>
    <row r="2294" customFormat="false" ht="15" hidden="false" customHeight="false" outlineLevel="0" collapsed="false">
      <c r="I2294" s="15" t="str">
        <f aca="false">IF(A2294="","",INT(A2294))</f>
        <v/>
      </c>
      <c r="J2294" s="16" t="str">
        <f aca="false">IF(B2294="","",IF(A2294=_xlfn.MINIFS($A$2:$A$5001,$B$2:$B$5001,B2294),1,0))</f>
        <v/>
      </c>
      <c r="K2294" s="16" t="str">
        <f aca="false">IF(B2294="","",IF(AND(D2294="Formalização",E2294="Concluído"),IF(COUNTIFS($B$2:$B$5001,B2294,$E$2:$E$5001,"Em ajustes",$A$2:$A$5001,"&lt;"&amp;I2294)&gt;0,1,0),0))</f>
        <v/>
      </c>
      <c r="L2294" s="16" t="str">
        <f aca="false">IF(B2294="","",IF(A2294=_xlfn.MAXIFS($A$2:$A$5001,$B$2:$B$5001,B2294,$I$2:$I$5001,I2294),1,0))</f>
        <v/>
      </c>
    </row>
    <row r="2295" customFormat="false" ht="15" hidden="false" customHeight="false" outlineLevel="0" collapsed="false">
      <c r="I2295" s="15" t="str">
        <f aca="false">IF(A2295="","",INT(A2295))</f>
        <v/>
      </c>
      <c r="J2295" s="16" t="str">
        <f aca="false">IF(B2295="","",IF(A2295=_xlfn.MINIFS($A$2:$A$5001,$B$2:$B$5001,B2295),1,0))</f>
        <v/>
      </c>
      <c r="K2295" s="16" t="str">
        <f aca="false">IF(B2295="","",IF(AND(D2295="Formalização",E2295="Concluído"),IF(COUNTIFS($B$2:$B$5001,B2295,$E$2:$E$5001,"Em ajustes",$A$2:$A$5001,"&lt;"&amp;I2295)&gt;0,1,0),0))</f>
        <v/>
      </c>
      <c r="L2295" s="16" t="str">
        <f aca="false">IF(B2295="","",IF(A2295=_xlfn.MAXIFS($A$2:$A$5001,$B$2:$B$5001,B2295,$I$2:$I$5001,I2295),1,0))</f>
        <v/>
      </c>
    </row>
    <row r="2296" customFormat="false" ht="15" hidden="false" customHeight="false" outlineLevel="0" collapsed="false">
      <c r="I2296" s="15" t="str">
        <f aca="false">IF(A2296="","",INT(A2296))</f>
        <v/>
      </c>
      <c r="J2296" s="16" t="str">
        <f aca="false">IF(B2296="","",IF(A2296=_xlfn.MINIFS($A$2:$A$5001,$B$2:$B$5001,B2296),1,0))</f>
        <v/>
      </c>
      <c r="K2296" s="16" t="str">
        <f aca="false">IF(B2296="","",IF(AND(D2296="Formalização",E2296="Concluído"),IF(COUNTIFS($B$2:$B$5001,B2296,$E$2:$E$5001,"Em ajustes",$A$2:$A$5001,"&lt;"&amp;I2296)&gt;0,1,0),0))</f>
        <v/>
      </c>
      <c r="L2296" s="16" t="str">
        <f aca="false">IF(B2296="","",IF(A2296=_xlfn.MAXIFS($A$2:$A$5001,$B$2:$B$5001,B2296,$I$2:$I$5001,I2296),1,0))</f>
        <v/>
      </c>
    </row>
    <row r="2297" customFormat="false" ht="15" hidden="false" customHeight="false" outlineLevel="0" collapsed="false">
      <c r="I2297" s="15" t="str">
        <f aca="false">IF(A2297="","",INT(A2297))</f>
        <v/>
      </c>
      <c r="J2297" s="16" t="str">
        <f aca="false">IF(B2297="","",IF(A2297=_xlfn.MINIFS($A$2:$A$5001,$B$2:$B$5001,B2297),1,0))</f>
        <v/>
      </c>
      <c r="K2297" s="16" t="str">
        <f aca="false">IF(B2297="","",IF(AND(D2297="Formalização",E2297="Concluído"),IF(COUNTIFS($B$2:$B$5001,B2297,$E$2:$E$5001,"Em ajustes",$A$2:$A$5001,"&lt;"&amp;I2297)&gt;0,1,0),0))</f>
        <v/>
      </c>
      <c r="L2297" s="16" t="str">
        <f aca="false">IF(B2297="","",IF(A2297=_xlfn.MAXIFS($A$2:$A$5001,$B$2:$B$5001,B2297,$I$2:$I$5001,I2297),1,0))</f>
        <v/>
      </c>
    </row>
    <row r="2298" customFormat="false" ht="15" hidden="false" customHeight="false" outlineLevel="0" collapsed="false">
      <c r="I2298" s="15" t="str">
        <f aca="false">IF(A2298="","",INT(A2298))</f>
        <v/>
      </c>
      <c r="J2298" s="16" t="str">
        <f aca="false">IF(B2298="","",IF(A2298=_xlfn.MINIFS($A$2:$A$5001,$B$2:$B$5001,B2298),1,0))</f>
        <v/>
      </c>
      <c r="K2298" s="16" t="str">
        <f aca="false">IF(B2298="","",IF(AND(D2298="Formalização",E2298="Concluído"),IF(COUNTIFS($B$2:$B$5001,B2298,$E$2:$E$5001,"Em ajustes",$A$2:$A$5001,"&lt;"&amp;I2298)&gt;0,1,0),0))</f>
        <v/>
      </c>
      <c r="L2298" s="16" t="str">
        <f aca="false">IF(B2298="","",IF(A2298=_xlfn.MAXIFS($A$2:$A$5001,$B$2:$B$5001,B2298,$I$2:$I$5001,I2298),1,0))</f>
        <v/>
      </c>
    </row>
    <row r="2299" customFormat="false" ht="15" hidden="false" customHeight="false" outlineLevel="0" collapsed="false">
      <c r="I2299" s="15" t="str">
        <f aca="false">IF(A2299="","",INT(A2299))</f>
        <v/>
      </c>
      <c r="J2299" s="16" t="str">
        <f aca="false">IF(B2299="","",IF(A2299=_xlfn.MINIFS($A$2:$A$5001,$B$2:$B$5001,B2299),1,0))</f>
        <v/>
      </c>
      <c r="K2299" s="16" t="str">
        <f aca="false">IF(B2299="","",IF(AND(D2299="Formalização",E2299="Concluído"),IF(COUNTIFS($B$2:$B$5001,B2299,$E$2:$E$5001,"Em ajustes",$A$2:$A$5001,"&lt;"&amp;I2299)&gt;0,1,0),0))</f>
        <v/>
      </c>
      <c r="L2299" s="16" t="str">
        <f aca="false">IF(B2299="","",IF(A2299=_xlfn.MAXIFS($A$2:$A$5001,$B$2:$B$5001,B2299,$I$2:$I$5001,I2299),1,0))</f>
        <v/>
      </c>
    </row>
    <row r="2300" customFormat="false" ht="15" hidden="false" customHeight="false" outlineLevel="0" collapsed="false">
      <c r="I2300" s="15" t="str">
        <f aca="false">IF(A2300="","",INT(A2300))</f>
        <v/>
      </c>
      <c r="J2300" s="16" t="str">
        <f aca="false">IF(B2300="","",IF(A2300=_xlfn.MINIFS($A$2:$A$5001,$B$2:$B$5001,B2300),1,0))</f>
        <v/>
      </c>
      <c r="K2300" s="16" t="str">
        <f aca="false">IF(B2300="","",IF(AND(D2300="Formalização",E2300="Concluído"),IF(COUNTIFS($B$2:$B$5001,B2300,$E$2:$E$5001,"Em ajustes",$A$2:$A$5001,"&lt;"&amp;I2300)&gt;0,1,0),0))</f>
        <v/>
      </c>
      <c r="L2300" s="16" t="str">
        <f aca="false">IF(B2300="","",IF(A2300=_xlfn.MAXIFS($A$2:$A$5001,$B$2:$B$5001,B2300,$I$2:$I$5001,I2300),1,0))</f>
        <v/>
      </c>
    </row>
    <row r="2301" customFormat="false" ht="15" hidden="false" customHeight="false" outlineLevel="0" collapsed="false">
      <c r="I2301" s="15" t="str">
        <f aca="false">IF(A2301="","",INT(A2301))</f>
        <v/>
      </c>
      <c r="J2301" s="16" t="str">
        <f aca="false">IF(B2301="","",IF(A2301=_xlfn.MINIFS($A$2:$A$5001,$B$2:$B$5001,B2301),1,0))</f>
        <v/>
      </c>
      <c r="K2301" s="16" t="str">
        <f aca="false">IF(B2301="","",IF(AND(D2301="Formalização",E2301="Concluído"),IF(COUNTIFS($B$2:$B$5001,B2301,$E$2:$E$5001,"Em ajustes",$A$2:$A$5001,"&lt;"&amp;I2301)&gt;0,1,0),0))</f>
        <v/>
      </c>
      <c r="L2301" s="16" t="str">
        <f aca="false">IF(B2301="","",IF(A2301=_xlfn.MAXIFS($A$2:$A$5001,$B$2:$B$5001,B2301,$I$2:$I$5001,I2301),1,0))</f>
        <v/>
      </c>
    </row>
    <row r="2302" customFormat="false" ht="15" hidden="false" customHeight="false" outlineLevel="0" collapsed="false">
      <c r="I2302" s="15" t="str">
        <f aca="false">IF(A2302="","",INT(A2302))</f>
        <v/>
      </c>
      <c r="J2302" s="16" t="str">
        <f aca="false">IF(B2302="","",IF(A2302=_xlfn.MINIFS($A$2:$A$5001,$B$2:$B$5001,B2302),1,0))</f>
        <v/>
      </c>
      <c r="K2302" s="16" t="str">
        <f aca="false">IF(B2302="","",IF(AND(D2302="Formalização",E2302="Concluído"),IF(COUNTIFS($B$2:$B$5001,B2302,$E$2:$E$5001,"Em ajustes",$A$2:$A$5001,"&lt;"&amp;I2302)&gt;0,1,0),0))</f>
        <v/>
      </c>
      <c r="L2302" s="16" t="str">
        <f aca="false">IF(B2302="","",IF(A2302=_xlfn.MAXIFS($A$2:$A$5001,$B$2:$B$5001,B2302,$I$2:$I$5001,I2302),1,0))</f>
        <v/>
      </c>
    </row>
    <row r="2303" customFormat="false" ht="15" hidden="false" customHeight="false" outlineLevel="0" collapsed="false">
      <c r="I2303" s="15" t="str">
        <f aca="false">IF(A2303="","",INT(A2303))</f>
        <v/>
      </c>
      <c r="J2303" s="16" t="str">
        <f aca="false">IF(B2303="","",IF(A2303=_xlfn.MINIFS($A$2:$A$5001,$B$2:$B$5001,B2303),1,0))</f>
        <v/>
      </c>
      <c r="K2303" s="16" t="str">
        <f aca="false">IF(B2303="","",IF(AND(D2303="Formalização",E2303="Concluído"),IF(COUNTIFS($B$2:$B$5001,B2303,$E$2:$E$5001,"Em ajustes",$A$2:$A$5001,"&lt;"&amp;I2303)&gt;0,1,0),0))</f>
        <v/>
      </c>
      <c r="L2303" s="16" t="str">
        <f aca="false">IF(B2303="","",IF(A2303=_xlfn.MAXIFS($A$2:$A$5001,$B$2:$B$5001,B2303,$I$2:$I$5001,I2303),1,0))</f>
        <v/>
      </c>
    </row>
    <row r="2304" customFormat="false" ht="15" hidden="false" customHeight="false" outlineLevel="0" collapsed="false">
      <c r="I2304" s="15" t="str">
        <f aca="false">IF(A2304="","",INT(A2304))</f>
        <v/>
      </c>
      <c r="J2304" s="16" t="str">
        <f aca="false">IF(B2304="","",IF(A2304=_xlfn.MINIFS($A$2:$A$5001,$B$2:$B$5001,B2304),1,0))</f>
        <v/>
      </c>
      <c r="K2304" s="16" t="str">
        <f aca="false">IF(B2304="","",IF(AND(D2304="Formalização",E2304="Concluído"),IF(COUNTIFS($B$2:$B$5001,B2304,$E$2:$E$5001,"Em ajustes",$A$2:$A$5001,"&lt;"&amp;I2304)&gt;0,1,0),0))</f>
        <v/>
      </c>
      <c r="L2304" s="16" t="str">
        <f aca="false">IF(B2304="","",IF(A2304=_xlfn.MAXIFS($A$2:$A$5001,$B$2:$B$5001,B2304,$I$2:$I$5001,I2304),1,0))</f>
        <v/>
      </c>
    </row>
    <row r="2305" customFormat="false" ht="15" hidden="false" customHeight="false" outlineLevel="0" collapsed="false">
      <c r="I2305" s="15" t="str">
        <f aca="false">IF(A2305="","",INT(A2305))</f>
        <v/>
      </c>
      <c r="J2305" s="16" t="str">
        <f aca="false">IF(B2305="","",IF(A2305=_xlfn.MINIFS($A$2:$A$5001,$B$2:$B$5001,B2305),1,0))</f>
        <v/>
      </c>
      <c r="K2305" s="16" t="str">
        <f aca="false">IF(B2305="","",IF(AND(D2305="Formalização",E2305="Concluído"),IF(COUNTIFS($B$2:$B$5001,B2305,$E$2:$E$5001,"Em ajustes",$A$2:$A$5001,"&lt;"&amp;I2305)&gt;0,1,0),0))</f>
        <v/>
      </c>
      <c r="L2305" s="16" t="str">
        <f aca="false">IF(B2305="","",IF(A2305=_xlfn.MAXIFS($A$2:$A$5001,$B$2:$B$5001,B2305,$I$2:$I$5001,I2305),1,0))</f>
        <v/>
      </c>
    </row>
    <row r="2306" customFormat="false" ht="15" hidden="false" customHeight="false" outlineLevel="0" collapsed="false">
      <c r="I2306" s="15" t="str">
        <f aca="false">IF(A2306="","",INT(A2306))</f>
        <v/>
      </c>
      <c r="J2306" s="16" t="str">
        <f aca="false">IF(B2306="","",IF(A2306=_xlfn.MINIFS($A$2:$A$5001,$B$2:$B$5001,B2306),1,0))</f>
        <v/>
      </c>
      <c r="K2306" s="16" t="str">
        <f aca="false">IF(B2306="","",IF(AND(D2306="Formalização",E2306="Concluído"),IF(COUNTIFS($B$2:$B$5001,B2306,$E$2:$E$5001,"Em ajustes",$A$2:$A$5001,"&lt;"&amp;I2306)&gt;0,1,0),0))</f>
        <v/>
      </c>
      <c r="L2306" s="16" t="str">
        <f aca="false">IF(B2306="","",IF(A2306=_xlfn.MAXIFS($A$2:$A$5001,$B$2:$B$5001,B2306,$I$2:$I$5001,I2306),1,0))</f>
        <v/>
      </c>
    </row>
    <row r="2307" customFormat="false" ht="15" hidden="false" customHeight="false" outlineLevel="0" collapsed="false">
      <c r="I2307" s="15" t="str">
        <f aca="false">IF(A2307="","",INT(A2307))</f>
        <v/>
      </c>
      <c r="J2307" s="16" t="str">
        <f aca="false">IF(B2307="","",IF(A2307=_xlfn.MINIFS($A$2:$A$5001,$B$2:$B$5001,B2307),1,0))</f>
        <v/>
      </c>
      <c r="K2307" s="16" t="str">
        <f aca="false">IF(B2307="","",IF(AND(D2307="Formalização",E2307="Concluído"),IF(COUNTIFS($B$2:$B$5001,B2307,$E$2:$E$5001,"Em ajustes",$A$2:$A$5001,"&lt;"&amp;I2307)&gt;0,1,0),0))</f>
        <v/>
      </c>
      <c r="L2307" s="16" t="str">
        <f aca="false">IF(B2307="","",IF(A2307=_xlfn.MAXIFS($A$2:$A$5001,$B$2:$B$5001,B2307,$I$2:$I$5001,I2307),1,0))</f>
        <v/>
      </c>
    </row>
    <row r="2308" customFormat="false" ht="15" hidden="false" customHeight="false" outlineLevel="0" collapsed="false">
      <c r="I2308" s="15" t="str">
        <f aca="false">IF(A2308="","",INT(A2308))</f>
        <v/>
      </c>
      <c r="J2308" s="16" t="str">
        <f aca="false">IF(B2308="","",IF(A2308=_xlfn.MINIFS($A$2:$A$5001,$B$2:$B$5001,B2308),1,0))</f>
        <v/>
      </c>
      <c r="K2308" s="16" t="str">
        <f aca="false">IF(B2308="","",IF(AND(D2308="Formalização",E2308="Concluído"),IF(COUNTIFS($B$2:$B$5001,B2308,$E$2:$E$5001,"Em ajustes",$A$2:$A$5001,"&lt;"&amp;I2308)&gt;0,1,0),0))</f>
        <v/>
      </c>
      <c r="L2308" s="16" t="str">
        <f aca="false">IF(B2308="","",IF(A2308=_xlfn.MAXIFS($A$2:$A$5001,$B$2:$B$5001,B2308,$I$2:$I$5001,I2308),1,0))</f>
        <v/>
      </c>
    </row>
    <row r="2309" customFormat="false" ht="15" hidden="false" customHeight="false" outlineLevel="0" collapsed="false">
      <c r="I2309" s="15" t="str">
        <f aca="false">IF(A2309="","",INT(A2309))</f>
        <v/>
      </c>
      <c r="J2309" s="16" t="str">
        <f aca="false">IF(B2309="","",IF(A2309=_xlfn.MINIFS($A$2:$A$5001,$B$2:$B$5001,B2309),1,0))</f>
        <v/>
      </c>
      <c r="K2309" s="16" t="str">
        <f aca="false">IF(B2309="","",IF(AND(D2309="Formalização",E2309="Concluído"),IF(COUNTIFS($B$2:$B$5001,B2309,$E$2:$E$5001,"Em ajustes",$A$2:$A$5001,"&lt;"&amp;I2309)&gt;0,1,0),0))</f>
        <v/>
      </c>
      <c r="L2309" s="16" t="str">
        <f aca="false">IF(B2309="","",IF(A2309=_xlfn.MAXIFS($A$2:$A$5001,$B$2:$B$5001,B2309,$I$2:$I$5001,I2309),1,0))</f>
        <v/>
      </c>
    </row>
    <row r="2310" customFormat="false" ht="15" hidden="false" customHeight="false" outlineLevel="0" collapsed="false">
      <c r="I2310" s="15" t="str">
        <f aca="false">IF(A2310="","",INT(A2310))</f>
        <v/>
      </c>
      <c r="J2310" s="16" t="str">
        <f aca="false">IF(B2310="","",IF(A2310=_xlfn.MINIFS($A$2:$A$5001,$B$2:$B$5001,B2310),1,0))</f>
        <v/>
      </c>
      <c r="K2310" s="16" t="str">
        <f aca="false">IF(B2310="","",IF(AND(D2310="Formalização",E2310="Concluído"),IF(COUNTIFS($B$2:$B$5001,B2310,$E$2:$E$5001,"Em ajustes",$A$2:$A$5001,"&lt;"&amp;I2310)&gt;0,1,0),0))</f>
        <v/>
      </c>
      <c r="L2310" s="16" t="str">
        <f aca="false">IF(B2310="","",IF(A2310=_xlfn.MAXIFS($A$2:$A$5001,$B$2:$B$5001,B2310,$I$2:$I$5001,I2310),1,0))</f>
        <v/>
      </c>
    </row>
    <row r="2311" customFormat="false" ht="15" hidden="false" customHeight="false" outlineLevel="0" collapsed="false">
      <c r="I2311" s="15" t="str">
        <f aca="false">IF(A2311="","",INT(A2311))</f>
        <v/>
      </c>
      <c r="J2311" s="16" t="str">
        <f aca="false">IF(B2311="","",IF(A2311=_xlfn.MINIFS($A$2:$A$5001,$B$2:$B$5001,B2311),1,0))</f>
        <v/>
      </c>
      <c r="K2311" s="16" t="str">
        <f aca="false">IF(B2311="","",IF(AND(D2311="Formalização",E2311="Concluído"),IF(COUNTIFS($B$2:$B$5001,B2311,$E$2:$E$5001,"Em ajustes",$A$2:$A$5001,"&lt;"&amp;I2311)&gt;0,1,0),0))</f>
        <v/>
      </c>
      <c r="L2311" s="16" t="str">
        <f aca="false">IF(B2311="","",IF(A2311=_xlfn.MAXIFS($A$2:$A$5001,$B$2:$B$5001,B2311,$I$2:$I$5001,I2311),1,0))</f>
        <v/>
      </c>
    </row>
    <row r="2312" customFormat="false" ht="15" hidden="false" customHeight="false" outlineLevel="0" collapsed="false">
      <c r="I2312" s="15" t="str">
        <f aca="false">IF(A2312="","",INT(A2312))</f>
        <v/>
      </c>
      <c r="J2312" s="16" t="str">
        <f aca="false">IF(B2312="","",IF(A2312=_xlfn.MINIFS($A$2:$A$5001,$B$2:$B$5001,B2312),1,0))</f>
        <v/>
      </c>
      <c r="K2312" s="16" t="str">
        <f aca="false">IF(B2312="","",IF(AND(D2312="Formalização",E2312="Concluído"),IF(COUNTIFS($B$2:$B$5001,B2312,$E$2:$E$5001,"Em ajustes",$A$2:$A$5001,"&lt;"&amp;I2312)&gt;0,1,0),0))</f>
        <v/>
      </c>
      <c r="L2312" s="16" t="str">
        <f aca="false">IF(B2312="","",IF(A2312=_xlfn.MAXIFS($A$2:$A$5001,$B$2:$B$5001,B2312,$I$2:$I$5001,I2312),1,0))</f>
        <v/>
      </c>
    </row>
    <row r="2313" customFormat="false" ht="15" hidden="false" customHeight="false" outlineLevel="0" collapsed="false">
      <c r="I2313" s="15" t="str">
        <f aca="false">IF(A2313="","",INT(A2313))</f>
        <v/>
      </c>
      <c r="J2313" s="16" t="str">
        <f aca="false">IF(B2313="","",IF(A2313=_xlfn.MINIFS($A$2:$A$5001,$B$2:$B$5001,B2313),1,0))</f>
        <v/>
      </c>
      <c r="K2313" s="16" t="str">
        <f aca="false">IF(B2313="","",IF(AND(D2313="Formalização",E2313="Concluído"),IF(COUNTIFS($B$2:$B$5001,B2313,$E$2:$E$5001,"Em ajustes",$A$2:$A$5001,"&lt;"&amp;I2313)&gt;0,1,0),0))</f>
        <v/>
      </c>
      <c r="L2313" s="16" t="str">
        <f aca="false">IF(B2313="","",IF(A2313=_xlfn.MAXIFS($A$2:$A$5001,$B$2:$B$5001,B2313,$I$2:$I$5001,I2313),1,0))</f>
        <v/>
      </c>
    </row>
    <row r="2314" customFormat="false" ht="15" hidden="false" customHeight="false" outlineLevel="0" collapsed="false">
      <c r="I2314" s="15" t="str">
        <f aca="false">IF(A2314="","",INT(A2314))</f>
        <v/>
      </c>
      <c r="J2314" s="16" t="str">
        <f aca="false">IF(B2314="","",IF(A2314=_xlfn.MINIFS($A$2:$A$5001,$B$2:$B$5001,B2314),1,0))</f>
        <v/>
      </c>
      <c r="K2314" s="16" t="str">
        <f aca="false">IF(B2314="","",IF(AND(D2314="Formalização",E2314="Concluído"),IF(COUNTIFS($B$2:$B$5001,B2314,$E$2:$E$5001,"Em ajustes",$A$2:$A$5001,"&lt;"&amp;I2314)&gt;0,1,0),0))</f>
        <v/>
      </c>
      <c r="L2314" s="16" t="str">
        <f aca="false">IF(B2314="","",IF(A2314=_xlfn.MAXIFS($A$2:$A$5001,$B$2:$B$5001,B2314,$I$2:$I$5001,I2314),1,0))</f>
        <v/>
      </c>
    </row>
    <row r="2315" customFormat="false" ht="15" hidden="false" customHeight="false" outlineLevel="0" collapsed="false">
      <c r="I2315" s="15" t="str">
        <f aca="false">IF(A2315="","",INT(A2315))</f>
        <v/>
      </c>
      <c r="J2315" s="16" t="str">
        <f aca="false">IF(B2315="","",IF(A2315=_xlfn.MINIFS($A$2:$A$5001,$B$2:$B$5001,B2315),1,0))</f>
        <v/>
      </c>
      <c r="K2315" s="16" t="str">
        <f aca="false">IF(B2315="","",IF(AND(D2315="Formalização",E2315="Concluído"),IF(COUNTIFS($B$2:$B$5001,B2315,$E$2:$E$5001,"Em ajustes",$A$2:$A$5001,"&lt;"&amp;I2315)&gt;0,1,0),0))</f>
        <v/>
      </c>
      <c r="L2315" s="16" t="str">
        <f aca="false">IF(B2315="","",IF(A2315=_xlfn.MAXIFS($A$2:$A$5001,$B$2:$B$5001,B2315,$I$2:$I$5001,I2315),1,0))</f>
        <v/>
      </c>
    </row>
    <row r="2316" customFormat="false" ht="15" hidden="false" customHeight="false" outlineLevel="0" collapsed="false">
      <c r="I2316" s="15" t="str">
        <f aca="false">IF(A2316="","",INT(A2316))</f>
        <v/>
      </c>
      <c r="J2316" s="16" t="str">
        <f aca="false">IF(B2316="","",IF(A2316=_xlfn.MINIFS($A$2:$A$5001,$B$2:$B$5001,B2316),1,0))</f>
        <v/>
      </c>
      <c r="K2316" s="16" t="str">
        <f aca="false">IF(B2316="","",IF(AND(D2316="Formalização",E2316="Concluído"),IF(COUNTIFS($B$2:$B$5001,B2316,$E$2:$E$5001,"Em ajustes",$A$2:$A$5001,"&lt;"&amp;I2316)&gt;0,1,0),0))</f>
        <v/>
      </c>
      <c r="L2316" s="16" t="str">
        <f aca="false">IF(B2316="","",IF(A2316=_xlfn.MAXIFS($A$2:$A$5001,$B$2:$B$5001,B2316,$I$2:$I$5001,I2316),1,0))</f>
        <v/>
      </c>
    </row>
    <row r="2317" customFormat="false" ht="15" hidden="false" customHeight="false" outlineLevel="0" collapsed="false">
      <c r="I2317" s="15" t="str">
        <f aca="false">IF(A2317="","",INT(A2317))</f>
        <v/>
      </c>
      <c r="J2317" s="16" t="str">
        <f aca="false">IF(B2317="","",IF(A2317=_xlfn.MINIFS($A$2:$A$5001,$B$2:$B$5001,B2317),1,0))</f>
        <v/>
      </c>
      <c r="K2317" s="16" t="str">
        <f aca="false">IF(B2317="","",IF(AND(D2317="Formalização",E2317="Concluído"),IF(COUNTIFS($B$2:$B$5001,B2317,$E$2:$E$5001,"Em ajustes",$A$2:$A$5001,"&lt;"&amp;I2317)&gt;0,1,0),0))</f>
        <v/>
      </c>
      <c r="L2317" s="16" t="str">
        <f aca="false">IF(B2317="","",IF(A2317=_xlfn.MAXIFS($A$2:$A$5001,$B$2:$B$5001,B2317,$I$2:$I$5001,I2317),1,0))</f>
        <v/>
      </c>
    </row>
    <row r="2318" customFormat="false" ht="15" hidden="false" customHeight="false" outlineLevel="0" collapsed="false">
      <c r="I2318" s="15" t="str">
        <f aca="false">IF(A2318="","",INT(A2318))</f>
        <v/>
      </c>
      <c r="J2318" s="16" t="str">
        <f aca="false">IF(B2318="","",IF(A2318=_xlfn.MINIFS($A$2:$A$5001,$B$2:$B$5001,B2318),1,0))</f>
        <v/>
      </c>
      <c r="K2318" s="16" t="str">
        <f aca="false">IF(B2318="","",IF(AND(D2318="Formalização",E2318="Concluído"),IF(COUNTIFS($B$2:$B$5001,B2318,$E$2:$E$5001,"Em ajustes",$A$2:$A$5001,"&lt;"&amp;I2318)&gt;0,1,0),0))</f>
        <v/>
      </c>
      <c r="L2318" s="16" t="str">
        <f aca="false">IF(B2318="","",IF(A2318=_xlfn.MAXIFS($A$2:$A$5001,$B$2:$B$5001,B2318,$I$2:$I$5001,I2318),1,0))</f>
        <v/>
      </c>
    </row>
    <row r="2319" customFormat="false" ht="15" hidden="false" customHeight="false" outlineLevel="0" collapsed="false">
      <c r="I2319" s="15" t="str">
        <f aca="false">IF(A2319="","",INT(A2319))</f>
        <v/>
      </c>
      <c r="J2319" s="16" t="str">
        <f aca="false">IF(B2319="","",IF(A2319=_xlfn.MINIFS($A$2:$A$5001,$B$2:$B$5001,B2319),1,0))</f>
        <v/>
      </c>
      <c r="K2319" s="16" t="str">
        <f aca="false">IF(B2319="","",IF(AND(D2319="Formalização",E2319="Concluído"),IF(COUNTIFS($B$2:$B$5001,B2319,$E$2:$E$5001,"Em ajustes",$A$2:$A$5001,"&lt;"&amp;I2319)&gt;0,1,0),0))</f>
        <v/>
      </c>
      <c r="L2319" s="16" t="str">
        <f aca="false">IF(B2319="","",IF(A2319=_xlfn.MAXIFS($A$2:$A$5001,$B$2:$B$5001,B2319,$I$2:$I$5001,I2319),1,0))</f>
        <v/>
      </c>
    </row>
    <row r="2320" customFormat="false" ht="15" hidden="false" customHeight="false" outlineLevel="0" collapsed="false">
      <c r="I2320" s="15" t="str">
        <f aca="false">IF(A2320="","",INT(A2320))</f>
        <v/>
      </c>
      <c r="J2320" s="16" t="str">
        <f aca="false">IF(B2320="","",IF(A2320=_xlfn.MINIFS($A$2:$A$5001,$B$2:$B$5001,B2320),1,0))</f>
        <v/>
      </c>
      <c r="K2320" s="16" t="str">
        <f aca="false">IF(B2320="","",IF(AND(D2320="Formalização",E2320="Concluído"),IF(COUNTIFS($B$2:$B$5001,B2320,$E$2:$E$5001,"Em ajustes",$A$2:$A$5001,"&lt;"&amp;I2320)&gt;0,1,0),0))</f>
        <v/>
      </c>
      <c r="L2320" s="16" t="str">
        <f aca="false">IF(B2320="","",IF(A2320=_xlfn.MAXIFS($A$2:$A$5001,$B$2:$B$5001,B2320,$I$2:$I$5001,I2320),1,0))</f>
        <v/>
      </c>
    </row>
    <row r="2321" customFormat="false" ht="15" hidden="false" customHeight="false" outlineLevel="0" collapsed="false">
      <c r="I2321" s="15" t="str">
        <f aca="false">IF(A2321="","",INT(A2321))</f>
        <v/>
      </c>
      <c r="J2321" s="16" t="str">
        <f aca="false">IF(B2321="","",IF(A2321=_xlfn.MINIFS($A$2:$A$5001,$B$2:$B$5001,B2321),1,0))</f>
        <v/>
      </c>
      <c r="K2321" s="16" t="str">
        <f aca="false">IF(B2321="","",IF(AND(D2321="Formalização",E2321="Concluído"),IF(COUNTIFS($B$2:$B$5001,B2321,$E$2:$E$5001,"Em ajustes",$A$2:$A$5001,"&lt;"&amp;I2321)&gt;0,1,0),0))</f>
        <v/>
      </c>
      <c r="L2321" s="16" t="str">
        <f aca="false">IF(B2321="","",IF(A2321=_xlfn.MAXIFS($A$2:$A$5001,$B$2:$B$5001,B2321,$I$2:$I$5001,I2321),1,0))</f>
        <v/>
      </c>
    </row>
    <row r="2322" customFormat="false" ht="15" hidden="false" customHeight="false" outlineLevel="0" collapsed="false">
      <c r="I2322" s="15" t="str">
        <f aca="false">IF(A2322="","",INT(A2322))</f>
        <v/>
      </c>
      <c r="J2322" s="16" t="str">
        <f aca="false">IF(B2322="","",IF(A2322=_xlfn.MINIFS($A$2:$A$5001,$B$2:$B$5001,B2322),1,0))</f>
        <v/>
      </c>
      <c r="K2322" s="16" t="str">
        <f aca="false">IF(B2322="","",IF(AND(D2322="Formalização",E2322="Concluído"),IF(COUNTIFS($B$2:$B$5001,B2322,$E$2:$E$5001,"Em ajustes",$A$2:$A$5001,"&lt;"&amp;I2322)&gt;0,1,0),0))</f>
        <v/>
      </c>
      <c r="L2322" s="16" t="str">
        <f aca="false">IF(B2322="","",IF(A2322=_xlfn.MAXIFS($A$2:$A$5001,$B$2:$B$5001,B2322,$I$2:$I$5001,I2322),1,0))</f>
        <v/>
      </c>
    </row>
    <row r="2323" customFormat="false" ht="15" hidden="false" customHeight="false" outlineLevel="0" collapsed="false">
      <c r="I2323" s="15" t="str">
        <f aca="false">IF(A2323="","",INT(A2323))</f>
        <v/>
      </c>
      <c r="J2323" s="16" t="str">
        <f aca="false">IF(B2323="","",IF(A2323=_xlfn.MINIFS($A$2:$A$5001,$B$2:$B$5001,B2323),1,0))</f>
        <v/>
      </c>
      <c r="K2323" s="16" t="str">
        <f aca="false">IF(B2323="","",IF(AND(D2323="Formalização",E2323="Concluído"),IF(COUNTIFS($B$2:$B$5001,B2323,$E$2:$E$5001,"Em ajustes",$A$2:$A$5001,"&lt;"&amp;I2323)&gt;0,1,0),0))</f>
        <v/>
      </c>
      <c r="L2323" s="16" t="str">
        <f aca="false">IF(B2323="","",IF(A2323=_xlfn.MAXIFS($A$2:$A$5001,$B$2:$B$5001,B2323,$I$2:$I$5001,I2323),1,0))</f>
        <v/>
      </c>
    </row>
    <row r="2324" customFormat="false" ht="15" hidden="false" customHeight="false" outlineLevel="0" collapsed="false">
      <c r="I2324" s="15" t="str">
        <f aca="false">IF(A2324="","",INT(A2324))</f>
        <v/>
      </c>
      <c r="J2324" s="16" t="str">
        <f aca="false">IF(B2324="","",IF(A2324=_xlfn.MINIFS($A$2:$A$5001,$B$2:$B$5001,B2324),1,0))</f>
        <v/>
      </c>
      <c r="K2324" s="16" t="str">
        <f aca="false">IF(B2324="","",IF(AND(D2324="Formalização",E2324="Concluído"),IF(COUNTIFS($B$2:$B$5001,B2324,$E$2:$E$5001,"Em ajustes",$A$2:$A$5001,"&lt;"&amp;I2324)&gt;0,1,0),0))</f>
        <v/>
      </c>
      <c r="L2324" s="16" t="str">
        <f aca="false">IF(B2324="","",IF(A2324=_xlfn.MAXIFS($A$2:$A$5001,$B$2:$B$5001,B2324,$I$2:$I$5001,I2324),1,0))</f>
        <v/>
      </c>
    </row>
    <row r="2325" customFormat="false" ht="15" hidden="false" customHeight="false" outlineLevel="0" collapsed="false">
      <c r="I2325" s="15" t="str">
        <f aca="false">IF(A2325="","",INT(A2325))</f>
        <v/>
      </c>
      <c r="J2325" s="16" t="str">
        <f aca="false">IF(B2325="","",IF(A2325=_xlfn.MINIFS($A$2:$A$5001,$B$2:$B$5001,B2325),1,0))</f>
        <v/>
      </c>
      <c r="K2325" s="16" t="str">
        <f aca="false">IF(B2325="","",IF(AND(D2325="Formalização",E2325="Concluído"),IF(COUNTIFS($B$2:$B$5001,B2325,$E$2:$E$5001,"Em ajustes",$A$2:$A$5001,"&lt;"&amp;I2325)&gt;0,1,0),0))</f>
        <v/>
      </c>
      <c r="L2325" s="16" t="str">
        <f aca="false">IF(B2325="","",IF(A2325=_xlfn.MAXIFS($A$2:$A$5001,$B$2:$B$5001,B2325,$I$2:$I$5001,I2325),1,0))</f>
        <v/>
      </c>
    </row>
    <row r="2326" customFormat="false" ht="15" hidden="false" customHeight="false" outlineLevel="0" collapsed="false">
      <c r="I2326" s="15" t="str">
        <f aca="false">IF(A2326="","",INT(A2326))</f>
        <v/>
      </c>
      <c r="J2326" s="16" t="str">
        <f aca="false">IF(B2326="","",IF(A2326=_xlfn.MINIFS($A$2:$A$5001,$B$2:$B$5001,B2326),1,0))</f>
        <v/>
      </c>
      <c r="K2326" s="16" t="str">
        <f aca="false">IF(B2326="","",IF(AND(D2326="Formalização",E2326="Concluído"),IF(COUNTIFS($B$2:$B$5001,B2326,$E$2:$E$5001,"Em ajustes",$A$2:$A$5001,"&lt;"&amp;I2326)&gt;0,1,0),0))</f>
        <v/>
      </c>
      <c r="L2326" s="16" t="str">
        <f aca="false">IF(B2326="","",IF(A2326=_xlfn.MAXIFS($A$2:$A$5001,$B$2:$B$5001,B2326,$I$2:$I$5001,I2326),1,0))</f>
        <v/>
      </c>
    </row>
    <row r="2327" customFormat="false" ht="15" hidden="false" customHeight="false" outlineLevel="0" collapsed="false">
      <c r="I2327" s="15" t="str">
        <f aca="false">IF(A2327="","",INT(A2327))</f>
        <v/>
      </c>
      <c r="J2327" s="16" t="str">
        <f aca="false">IF(B2327="","",IF(A2327=_xlfn.MINIFS($A$2:$A$5001,$B$2:$B$5001,B2327),1,0))</f>
        <v/>
      </c>
      <c r="K2327" s="16" t="str">
        <f aca="false">IF(B2327="","",IF(AND(D2327="Formalização",E2327="Concluído"),IF(COUNTIFS($B$2:$B$5001,B2327,$E$2:$E$5001,"Em ajustes",$A$2:$A$5001,"&lt;"&amp;I2327)&gt;0,1,0),0))</f>
        <v/>
      </c>
      <c r="L2327" s="16" t="str">
        <f aca="false">IF(B2327="","",IF(A2327=_xlfn.MAXIFS($A$2:$A$5001,$B$2:$B$5001,B2327,$I$2:$I$5001,I2327),1,0))</f>
        <v/>
      </c>
    </row>
    <row r="2328" customFormat="false" ht="15" hidden="false" customHeight="false" outlineLevel="0" collapsed="false">
      <c r="I2328" s="15" t="str">
        <f aca="false">IF(A2328="","",INT(A2328))</f>
        <v/>
      </c>
      <c r="J2328" s="16" t="str">
        <f aca="false">IF(B2328="","",IF(A2328=_xlfn.MINIFS($A$2:$A$5001,$B$2:$B$5001,B2328),1,0))</f>
        <v/>
      </c>
      <c r="K2328" s="16" t="str">
        <f aca="false">IF(B2328="","",IF(AND(D2328="Formalização",E2328="Concluído"),IF(COUNTIFS($B$2:$B$5001,B2328,$E$2:$E$5001,"Em ajustes",$A$2:$A$5001,"&lt;"&amp;I2328)&gt;0,1,0),0))</f>
        <v/>
      </c>
      <c r="L2328" s="16" t="str">
        <f aca="false">IF(B2328="","",IF(A2328=_xlfn.MAXIFS($A$2:$A$5001,$B$2:$B$5001,B2328,$I$2:$I$5001,I2328),1,0))</f>
        <v/>
      </c>
    </row>
    <row r="2329" customFormat="false" ht="15" hidden="false" customHeight="false" outlineLevel="0" collapsed="false">
      <c r="I2329" s="15" t="str">
        <f aca="false">IF(A2329="","",INT(A2329))</f>
        <v/>
      </c>
      <c r="J2329" s="16" t="str">
        <f aca="false">IF(B2329="","",IF(A2329=_xlfn.MINIFS($A$2:$A$5001,$B$2:$B$5001,B2329),1,0))</f>
        <v/>
      </c>
      <c r="K2329" s="16" t="str">
        <f aca="false">IF(B2329="","",IF(AND(D2329="Formalização",E2329="Concluído"),IF(COUNTIFS($B$2:$B$5001,B2329,$E$2:$E$5001,"Em ajustes",$A$2:$A$5001,"&lt;"&amp;I2329)&gt;0,1,0),0))</f>
        <v/>
      </c>
      <c r="L2329" s="16" t="str">
        <f aca="false">IF(B2329="","",IF(A2329=_xlfn.MAXIFS($A$2:$A$5001,$B$2:$B$5001,B2329,$I$2:$I$5001,I2329),1,0))</f>
        <v/>
      </c>
    </row>
    <row r="2330" customFormat="false" ht="15" hidden="false" customHeight="false" outlineLevel="0" collapsed="false">
      <c r="I2330" s="15" t="str">
        <f aca="false">IF(A2330="","",INT(A2330))</f>
        <v/>
      </c>
      <c r="J2330" s="16" t="str">
        <f aca="false">IF(B2330="","",IF(A2330=_xlfn.MINIFS($A$2:$A$5001,$B$2:$B$5001,B2330),1,0))</f>
        <v/>
      </c>
      <c r="K2330" s="16" t="str">
        <f aca="false">IF(B2330="","",IF(AND(D2330="Formalização",E2330="Concluído"),IF(COUNTIFS($B$2:$B$5001,B2330,$E$2:$E$5001,"Em ajustes",$A$2:$A$5001,"&lt;"&amp;I2330)&gt;0,1,0),0))</f>
        <v/>
      </c>
      <c r="L2330" s="16" t="str">
        <f aca="false">IF(B2330="","",IF(A2330=_xlfn.MAXIFS($A$2:$A$5001,$B$2:$B$5001,B2330,$I$2:$I$5001,I2330),1,0))</f>
        <v/>
      </c>
    </row>
    <row r="2331" customFormat="false" ht="15" hidden="false" customHeight="false" outlineLevel="0" collapsed="false">
      <c r="I2331" s="15" t="str">
        <f aca="false">IF(A2331="","",INT(A2331))</f>
        <v/>
      </c>
      <c r="J2331" s="16" t="str">
        <f aca="false">IF(B2331="","",IF(A2331=_xlfn.MINIFS($A$2:$A$5001,$B$2:$B$5001,B2331),1,0))</f>
        <v/>
      </c>
      <c r="K2331" s="16" t="str">
        <f aca="false">IF(B2331="","",IF(AND(D2331="Formalização",E2331="Concluído"),IF(COUNTIFS($B$2:$B$5001,B2331,$E$2:$E$5001,"Em ajustes",$A$2:$A$5001,"&lt;"&amp;I2331)&gt;0,1,0),0))</f>
        <v/>
      </c>
      <c r="L2331" s="16" t="str">
        <f aca="false">IF(B2331="","",IF(A2331=_xlfn.MAXIFS($A$2:$A$5001,$B$2:$B$5001,B2331,$I$2:$I$5001,I2331),1,0))</f>
        <v/>
      </c>
    </row>
    <row r="2332" customFormat="false" ht="15" hidden="false" customHeight="false" outlineLevel="0" collapsed="false">
      <c r="I2332" s="15" t="str">
        <f aca="false">IF(A2332="","",INT(A2332))</f>
        <v/>
      </c>
      <c r="J2332" s="16" t="str">
        <f aca="false">IF(B2332="","",IF(A2332=_xlfn.MINIFS($A$2:$A$5001,$B$2:$B$5001,B2332),1,0))</f>
        <v/>
      </c>
      <c r="K2332" s="16" t="str">
        <f aca="false">IF(B2332="","",IF(AND(D2332="Formalização",E2332="Concluído"),IF(COUNTIFS($B$2:$B$5001,B2332,$E$2:$E$5001,"Em ajustes",$A$2:$A$5001,"&lt;"&amp;I2332)&gt;0,1,0),0))</f>
        <v/>
      </c>
      <c r="L2332" s="16" t="str">
        <f aca="false">IF(B2332="","",IF(A2332=_xlfn.MAXIFS($A$2:$A$5001,$B$2:$B$5001,B2332,$I$2:$I$5001,I2332),1,0))</f>
        <v/>
      </c>
    </row>
    <row r="2333" customFormat="false" ht="15" hidden="false" customHeight="false" outlineLevel="0" collapsed="false">
      <c r="I2333" s="15" t="str">
        <f aca="false">IF(A2333="","",INT(A2333))</f>
        <v/>
      </c>
      <c r="J2333" s="16" t="str">
        <f aca="false">IF(B2333="","",IF(A2333=_xlfn.MINIFS($A$2:$A$5001,$B$2:$B$5001,B2333),1,0))</f>
        <v/>
      </c>
      <c r="K2333" s="16" t="str">
        <f aca="false">IF(B2333="","",IF(AND(D2333="Formalização",E2333="Concluído"),IF(COUNTIFS($B$2:$B$5001,B2333,$E$2:$E$5001,"Em ajustes",$A$2:$A$5001,"&lt;"&amp;I2333)&gt;0,1,0),0))</f>
        <v/>
      </c>
      <c r="L2333" s="16" t="str">
        <f aca="false">IF(B2333="","",IF(A2333=_xlfn.MAXIFS($A$2:$A$5001,$B$2:$B$5001,B2333,$I$2:$I$5001,I2333),1,0))</f>
        <v/>
      </c>
    </row>
    <row r="2334" customFormat="false" ht="15" hidden="false" customHeight="false" outlineLevel="0" collapsed="false">
      <c r="I2334" s="15" t="str">
        <f aca="false">IF(A2334="","",INT(A2334))</f>
        <v/>
      </c>
      <c r="J2334" s="16" t="str">
        <f aca="false">IF(B2334="","",IF(A2334=_xlfn.MINIFS($A$2:$A$5001,$B$2:$B$5001,B2334),1,0))</f>
        <v/>
      </c>
      <c r="K2334" s="16" t="str">
        <f aca="false">IF(B2334="","",IF(AND(D2334="Formalização",E2334="Concluído"),IF(COUNTIFS($B$2:$B$5001,B2334,$E$2:$E$5001,"Em ajustes",$A$2:$A$5001,"&lt;"&amp;I2334)&gt;0,1,0),0))</f>
        <v/>
      </c>
      <c r="L2334" s="16" t="str">
        <f aca="false">IF(B2334="","",IF(A2334=_xlfn.MAXIFS($A$2:$A$5001,$B$2:$B$5001,B2334,$I$2:$I$5001,I2334),1,0))</f>
        <v/>
      </c>
    </row>
    <row r="2335" customFormat="false" ht="15" hidden="false" customHeight="false" outlineLevel="0" collapsed="false">
      <c r="I2335" s="15" t="str">
        <f aca="false">IF(A2335="","",INT(A2335))</f>
        <v/>
      </c>
      <c r="J2335" s="16" t="str">
        <f aca="false">IF(B2335="","",IF(A2335=_xlfn.MINIFS($A$2:$A$5001,$B$2:$B$5001,B2335),1,0))</f>
        <v/>
      </c>
      <c r="K2335" s="16" t="str">
        <f aca="false">IF(B2335="","",IF(AND(D2335="Formalização",E2335="Concluído"),IF(COUNTIFS($B$2:$B$5001,B2335,$E$2:$E$5001,"Em ajustes",$A$2:$A$5001,"&lt;"&amp;I2335)&gt;0,1,0),0))</f>
        <v/>
      </c>
      <c r="L2335" s="16" t="str">
        <f aca="false">IF(B2335="","",IF(A2335=_xlfn.MAXIFS($A$2:$A$5001,$B$2:$B$5001,B2335,$I$2:$I$5001,I2335),1,0))</f>
        <v/>
      </c>
    </row>
    <row r="2336" customFormat="false" ht="15" hidden="false" customHeight="false" outlineLevel="0" collapsed="false">
      <c r="I2336" s="15" t="str">
        <f aca="false">IF(A2336="","",INT(A2336))</f>
        <v/>
      </c>
      <c r="J2336" s="16" t="str">
        <f aca="false">IF(B2336="","",IF(A2336=_xlfn.MINIFS($A$2:$A$5001,$B$2:$B$5001,B2336),1,0))</f>
        <v/>
      </c>
      <c r="K2336" s="16" t="str">
        <f aca="false">IF(B2336="","",IF(AND(D2336="Formalização",E2336="Concluído"),IF(COUNTIFS($B$2:$B$5001,B2336,$E$2:$E$5001,"Em ajustes",$A$2:$A$5001,"&lt;"&amp;I2336)&gt;0,1,0),0))</f>
        <v/>
      </c>
      <c r="L2336" s="16" t="str">
        <f aca="false">IF(B2336="","",IF(A2336=_xlfn.MAXIFS($A$2:$A$5001,$B$2:$B$5001,B2336,$I$2:$I$5001,I2336),1,0))</f>
        <v/>
      </c>
    </row>
    <row r="2337" customFormat="false" ht="15" hidden="false" customHeight="false" outlineLevel="0" collapsed="false">
      <c r="I2337" s="15" t="str">
        <f aca="false">IF(A2337="","",INT(A2337))</f>
        <v/>
      </c>
      <c r="J2337" s="16" t="str">
        <f aca="false">IF(B2337="","",IF(A2337=_xlfn.MINIFS($A$2:$A$5001,$B$2:$B$5001,B2337),1,0))</f>
        <v/>
      </c>
      <c r="K2337" s="16" t="str">
        <f aca="false">IF(B2337="","",IF(AND(D2337="Formalização",E2337="Concluído"),IF(COUNTIFS($B$2:$B$5001,B2337,$E$2:$E$5001,"Em ajustes",$A$2:$A$5001,"&lt;"&amp;I2337)&gt;0,1,0),0))</f>
        <v/>
      </c>
      <c r="L2337" s="16" t="str">
        <f aca="false">IF(B2337="","",IF(A2337=_xlfn.MAXIFS($A$2:$A$5001,$B$2:$B$5001,B2337,$I$2:$I$5001,I2337),1,0))</f>
        <v/>
      </c>
    </row>
    <row r="2338" customFormat="false" ht="15" hidden="false" customHeight="false" outlineLevel="0" collapsed="false">
      <c r="I2338" s="15" t="str">
        <f aca="false">IF(A2338="","",INT(A2338))</f>
        <v/>
      </c>
      <c r="J2338" s="16" t="str">
        <f aca="false">IF(B2338="","",IF(A2338=_xlfn.MINIFS($A$2:$A$5001,$B$2:$B$5001,B2338),1,0))</f>
        <v/>
      </c>
      <c r="K2338" s="16" t="str">
        <f aca="false">IF(B2338="","",IF(AND(D2338="Formalização",E2338="Concluído"),IF(COUNTIFS($B$2:$B$5001,B2338,$E$2:$E$5001,"Em ajustes",$A$2:$A$5001,"&lt;"&amp;I2338)&gt;0,1,0),0))</f>
        <v/>
      </c>
      <c r="L2338" s="16" t="str">
        <f aca="false">IF(B2338="","",IF(A2338=_xlfn.MAXIFS($A$2:$A$5001,$B$2:$B$5001,B2338,$I$2:$I$5001,I2338),1,0))</f>
        <v/>
      </c>
    </row>
    <row r="2339" customFormat="false" ht="15" hidden="false" customHeight="false" outlineLevel="0" collapsed="false">
      <c r="I2339" s="15" t="str">
        <f aca="false">IF(A2339="","",INT(A2339))</f>
        <v/>
      </c>
      <c r="J2339" s="16" t="str">
        <f aca="false">IF(B2339="","",IF(A2339=_xlfn.MINIFS($A$2:$A$5001,$B$2:$B$5001,B2339),1,0))</f>
        <v/>
      </c>
      <c r="K2339" s="16" t="str">
        <f aca="false">IF(B2339="","",IF(AND(D2339="Formalização",E2339="Concluído"),IF(COUNTIFS($B$2:$B$5001,B2339,$E$2:$E$5001,"Em ajustes",$A$2:$A$5001,"&lt;"&amp;I2339)&gt;0,1,0),0))</f>
        <v/>
      </c>
      <c r="L2339" s="16" t="str">
        <f aca="false">IF(B2339="","",IF(A2339=_xlfn.MAXIFS($A$2:$A$5001,$B$2:$B$5001,B2339,$I$2:$I$5001,I2339),1,0))</f>
        <v/>
      </c>
    </row>
    <row r="2340" customFormat="false" ht="15" hidden="false" customHeight="false" outlineLevel="0" collapsed="false">
      <c r="I2340" s="15" t="str">
        <f aca="false">IF(A2340="","",INT(A2340))</f>
        <v/>
      </c>
      <c r="J2340" s="16" t="str">
        <f aca="false">IF(B2340="","",IF(A2340=_xlfn.MINIFS($A$2:$A$5001,$B$2:$B$5001,B2340),1,0))</f>
        <v/>
      </c>
      <c r="K2340" s="16" t="str">
        <f aca="false">IF(B2340="","",IF(AND(D2340="Formalização",E2340="Concluído"),IF(COUNTIFS($B$2:$B$5001,B2340,$E$2:$E$5001,"Em ajustes",$A$2:$A$5001,"&lt;"&amp;I2340)&gt;0,1,0),0))</f>
        <v/>
      </c>
      <c r="L2340" s="16" t="str">
        <f aca="false">IF(B2340="","",IF(A2340=_xlfn.MAXIFS($A$2:$A$5001,$B$2:$B$5001,B2340,$I$2:$I$5001,I2340),1,0))</f>
        <v/>
      </c>
    </row>
    <row r="2341" customFormat="false" ht="15" hidden="false" customHeight="false" outlineLevel="0" collapsed="false">
      <c r="I2341" s="15" t="str">
        <f aca="false">IF(A2341="","",INT(A2341))</f>
        <v/>
      </c>
      <c r="J2341" s="16" t="str">
        <f aca="false">IF(B2341="","",IF(A2341=_xlfn.MINIFS($A$2:$A$5001,$B$2:$B$5001,B2341),1,0))</f>
        <v/>
      </c>
      <c r="K2341" s="16" t="str">
        <f aca="false">IF(B2341="","",IF(AND(D2341="Formalização",E2341="Concluído"),IF(COUNTIFS($B$2:$B$5001,B2341,$E$2:$E$5001,"Em ajustes",$A$2:$A$5001,"&lt;"&amp;I2341)&gt;0,1,0),0))</f>
        <v/>
      </c>
      <c r="L2341" s="16" t="str">
        <f aca="false">IF(B2341="","",IF(A2341=_xlfn.MAXIFS($A$2:$A$5001,$B$2:$B$5001,B2341,$I$2:$I$5001,I2341),1,0))</f>
        <v/>
      </c>
    </row>
    <row r="2342" customFormat="false" ht="15" hidden="false" customHeight="false" outlineLevel="0" collapsed="false">
      <c r="I2342" s="15" t="str">
        <f aca="false">IF(A2342="","",INT(A2342))</f>
        <v/>
      </c>
      <c r="J2342" s="16" t="str">
        <f aca="false">IF(B2342="","",IF(A2342=_xlfn.MINIFS($A$2:$A$5001,$B$2:$B$5001,B2342),1,0))</f>
        <v/>
      </c>
      <c r="K2342" s="16" t="str">
        <f aca="false">IF(B2342="","",IF(AND(D2342="Formalização",E2342="Concluído"),IF(COUNTIFS($B$2:$B$5001,B2342,$E$2:$E$5001,"Em ajustes",$A$2:$A$5001,"&lt;"&amp;I2342)&gt;0,1,0),0))</f>
        <v/>
      </c>
      <c r="L2342" s="16" t="str">
        <f aca="false">IF(B2342="","",IF(A2342=_xlfn.MAXIFS($A$2:$A$5001,$B$2:$B$5001,B2342,$I$2:$I$5001,I2342),1,0))</f>
        <v/>
      </c>
    </row>
    <row r="2343" customFormat="false" ht="15" hidden="false" customHeight="false" outlineLevel="0" collapsed="false">
      <c r="I2343" s="15" t="str">
        <f aca="false">IF(A2343="","",INT(A2343))</f>
        <v/>
      </c>
      <c r="J2343" s="16" t="str">
        <f aca="false">IF(B2343="","",IF(A2343=_xlfn.MINIFS($A$2:$A$5001,$B$2:$B$5001,B2343),1,0))</f>
        <v/>
      </c>
      <c r="K2343" s="16" t="str">
        <f aca="false">IF(B2343="","",IF(AND(D2343="Formalização",E2343="Concluído"),IF(COUNTIFS($B$2:$B$5001,B2343,$E$2:$E$5001,"Em ajustes",$A$2:$A$5001,"&lt;"&amp;I2343)&gt;0,1,0),0))</f>
        <v/>
      </c>
      <c r="L2343" s="16" t="str">
        <f aca="false">IF(B2343="","",IF(A2343=_xlfn.MAXIFS($A$2:$A$5001,$B$2:$B$5001,B2343,$I$2:$I$5001,I2343),1,0))</f>
        <v/>
      </c>
    </row>
    <row r="2344" customFormat="false" ht="15" hidden="false" customHeight="false" outlineLevel="0" collapsed="false">
      <c r="I2344" s="15" t="str">
        <f aca="false">IF(A2344="","",INT(A2344))</f>
        <v/>
      </c>
      <c r="J2344" s="16" t="str">
        <f aca="false">IF(B2344="","",IF(A2344=_xlfn.MINIFS($A$2:$A$5001,$B$2:$B$5001,B2344),1,0))</f>
        <v/>
      </c>
      <c r="K2344" s="16" t="str">
        <f aca="false">IF(B2344="","",IF(AND(D2344="Formalização",E2344="Concluído"),IF(COUNTIFS($B$2:$B$5001,B2344,$E$2:$E$5001,"Em ajustes",$A$2:$A$5001,"&lt;"&amp;I2344)&gt;0,1,0),0))</f>
        <v/>
      </c>
      <c r="L2344" s="16" t="str">
        <f aca="false">IF(B2344="","",IF(A2344=_xlfn.MAXIFS($A$2:$A$5001,$B$2:$B$5001,B2344,$I$2:$I$5001,I2344),1,0))</f>
        <v/>
      </c>
    </row>
    <row r="2345" customFormat="false" ht="15" hidden="false" customHeight="false" outlineLevel="0" collapsed="false">
      <c r="I2345" s="15" t="str">
        <f aca="false">IF(A2345="","",INT(A2345))</f>
        <v/>
      </c>
      <c r="J2345" s="16" t="str">
        <f aca="false">IF(B2345="","",IF(A2345=_xlfn.MINIFS($A$2:$A$5001,$B$2:$B$5001,B2345),1,0))</f>
        <v/>
      </c>
      <c r="K2345" s="16" t="str">
        <f aca="false">IF(B2345="","",IF(AND(D2345="Formalização",E2345="Concluído"),IF(COUNTIFS($B$2:$B$5001,B2345,$E$2:$E$5001,"Em ajustes",$A$2:$A$5001,"&lt;"&amp;I2345)&gt;0,1,0),0))</f>
        <v/>
      </c>
      <c r="L2345" s="16" t="str">
        <f aca="false">IF(B2345="","",IF(A2345=_xlfn.MAXIFS($A$2:$A$5001,$B$2:$B$5001,B2345,$I$2:$I$5001,I2345),1,0))</f>
        <v/>
      </c>
    </row>
    <row r="2346" customFormat="false" ht="15" hidden="false" customHeight="false" outlineLevel="0" collapsed="false">
      <c r="I2346" s="15" t="str">
        <f aca="false">IF(A2346="","",INT(A2346))</f>
        <v/>
      </c>
      <c r="J2346" s="16" t="str">
        <f aca="false">IF(B2346="","",IF(A2346=_xlfn.MINIFS($A$2:$A$5001,$B$2:$B$5001,B2346),1,0))</f>
        <v/>
      </c>
      <c r="K2346" s="16" t="str">
        <f aca="false">IF(B2346="","",IF(AND(D2346="Formalização",E2346="Concluído"),IF(COUNTIFS($B$2:$B$5001,B2346,$E$2:$E$5001,"Em ajustes",$A$2:$A$5001,"&lt;"&amp;I2346)&gt;0,1,0),0))</f>
        <v/>
      </c>
      <c r="L2346" s="16" t="str">
        <f aca="false">IF(B2346="","",IF(A2346=_xlfn.MAXIFS($A$2:$A$5001,$B$2:$B$5001,B2346,$I$2:$I$5001,I2346),1,0))</f>
        <v/>
      </c>
    </row>
    <row r="2347" customFormat="false" ht="15" hidden="false" customHeight="false" outlineLevel="0" collapsed="false">
      <c r="I2347" s="15" t="str">
        <f aca="false">IF(A2347="","",INT(A2347))</f>
        <v/>
      </c>
      <c r="J2347" s="16" t="str">
        <f aca="false">IF(B2347="","",IF(A2347=_xlfn.MINIFS($A$2:$A$5001,$B$2:$B$5001,B2347),1,0))</f>
        <v/>
      </c>
      <c r="K2347" s="16" t="str">
        <f aca="false">IF(B2347="","",IF(AND(D2347="Formalização",E2347="Concluído"),IF(COUNTIFS($B$2:$B$5001,B2347,$E$2:$E$5001,"Em ajustes",$A$2:$A$5001,"&lt;"&amp;I2347)&gt;0,1,0),0))</f>
        <v/>
      </c>
      <c r="L2347" s="16" t="str">
        <f aca="false">IF(B2347="","",IF(A2347=_xlfn.MAXIFS($A$2:$A$5001,$B$2:$B$5001,B2347,$I$2:$I$5001,I2347),1,0))</f>
        <v/>
      </c>
    </row>
    <row r="2348" customFormat="false" ht="15" hidden="false" customHeight="false" outlineLevel="0" collapsed="false">
      <c r="I2348" s="15" t="str">
        <f aca="false">IF(A2348="","",INT(A2348))</f>
        <v/>
      </c>
      <c r="J2348" s="16" t="str">
        <f aca="false">IF(B2348="","",IF(A2348=_xlfn.MINIFS($A$2:$A$5001,$B$2:$B$5001,B2348),1,0))</f>
        <v/>
      </c>
      <c r="K2348" s="16" t="str">
        <f aca="false">IF(B2348="","",IF(AND(D2348="Formalização",E2348="Concluído"),IF(COUNTIFS($B$2:$B$5001,B2348,$E$2:$E$5001,"Em ajustes",$A$2:$A$5001,"&lt;"&amp;I2348)&gt;0,1,0),0))</f>
        <v/>
      </c>
      <c r="L2348" s="16" t="str">
        <f aca="false">IF(B2348="","",IF(A2348=_xlfn.MAXIFS($A$2:$A$5001,$B$2:$B$5001,B2348,$I$2:$I$5001,I2348),1,0))</f>
        <v/>
      </c>
    </row>
    <row r="2349" customFormat="false" ht="15" hidden="false" customHeight="false" outlineLevel="0" collapsed="false">
      <c r="I2349" s="15" t="str">
        <f aca="false">IF(A2349="","",INT(A2349))</f>
        <v/>
      </c>
      <c r="J2349" s="16" t="str">
        <f aca="false">IF(B2349="","",IF(A2349=_xlfn.MINIFS($A$2:$A$5001,$B$2:$B$5001,B2349),1,0))</f>
        <v/>
      </c>
      <c r="K2349" s="16" t="str">
        <f aca="false">IF(B2349="","",IF(AND(D2349="Formalização",E2349="Concluído"),IF(COUNTIFS($B$2:$B$5001,B2349,$E$2:$E$5001,"Em ajustes",$A$2:$A$5001,"&lt;"&amp;I2349)&gt;0,1,0),0))</f>
        <v/>
      </c>
      <c r="L2349" s="16" t="str">
        <f aca="false">IF(B2349="","",IF(A2349=_xlfn.MAXIFS($A$2:$A$5001,$B$2:$B$5001,B2349,$I$2:$I$5001,I2349),1,0))</f>
        <v/>
      </c>
    </row>
    <row r="2350" customFormat="false" ht="15" hidden="false" customHeight="false" outlineLevel="0" collapsed="false">
      <c r="I2350" s="15" t="str">
        <f aca="false">IF(A2350="","",INT(A2350))</f>
        <v/>
      </c>
      <c r="J2350" s="16" t="str">
        <f aca="false">IF(B2350="","",IF(A2350=_xlfn.MINIFS($A$2:$A$5001,$B$2:$B$5001,B2350),1,0))</f>
        <v/>
      </c>
      <c r="K2350" s="16" t="str">
        <f aca="false">IF(B2350="","",IF(AND(D2350="Formalização",E2350="Concluído"),IF(COUNTIFS($B$2:$B$5001,B2350,$E$2:$E$5001,"Em ajustes",$A$2:$A$5001,"&lt;"&amp;I2350)&gt;0,1,0),0))</f>
        <v/>
      </c>
      <c r="L2350" s="16" t="str">
        <f aca="false">IF(B2350="","",IF(A2350=_xlfn.MAXIFS($A$2:$A$5001,$B$2:$B$5001,B2350,$I$2:$I$5001,I2350),1,0))</f>
        <v/>
      </c>
    </row>
    <row r="2351" customFormat="false" ht="15" hidden="false" customHeight="false" outlineLevel="0" collapsed="false">
      <c r="I2351" s="15" t="str">
        <f aca="false">IF(A2351="","",INT(A2351))</f>
        <v/>
      </c>
      <c r="J2351" s="16" t="str">
        <f aca="false">IF(B2351="","",IF(A2351=_xlfn.MINIFS($A$2:$A$5001,$B$2:$B$5001,B2351),1,0))</f>
        <v/>
      </c>
      <c r="K2351" s="16" t="str">
        <f aca="false">IF(B2351="","",IF(AND(D2351="Formalização",E2351="Concluído"),IF(COUNTIFS($B$2:$B$5001,B2351,$E$2:$E$5001,"Em ajustes",$A$2:$A$5001,"&lt;"&amp;I2351)&gt;0,1,0),0))</f>
        <v/>
      </c>
      <c r="L2351" s="16" t="str">
        <f aca="false">IF(B2351="","",IF(A2351=_xlfn.MAXIFS($A$2:$A$5001,$B$2:$B$5001,B2351,$I$2:$I$5001,I2351),1,0))</f>
        <v/>
      </c>
    </row>
    <row r="2352" customFormat="false" ht="15" hidden="false" customHeight="false" outlineLevel="0" collapsed="false">
      <c r="I2352" s="15" t="str">
        <f aca="false">IF(A2352="","",INT(A2352))</f>
        <v/>
      </c>
      <c r="J2352" s="16" t="str">
        <f aca="false">IF(B2352="","",IF(A2352=_xlfn.MINIFS($A$2:$A$5001,$B$2:$B$5001,B2352),1,0))</f>
        <v/>
      </c>
      <c r="K2352" s="16" t="str">
        <f aca="false">IF(B2352="","",IF(AND(D2352="Formalização",E2352="Concluído"),IF(COUNTIFS($B$2:$B$5001,B2352,$E$2:$E$5001,"Em ajustes",$A$2:$A$5001,"&lt;"&amp;I2352)&gt;0,1,0),0))</f>
        <v/>
      </c>
      <c r="L2352" s="16" t="str">
        <f aca="false">IF(B2352="","",IF(A2352=_xlfn.MAXIFS($A$2:$A$5001,$B$2:$B$5001,B2352,$I$2:$I$5001,I2352),1,0))</f>
        <v/>
      </c>
    </row>
    <row r="2353" customFormat="false" ht="15" hidden="false" customHeight="false" outlineLevel="0" collapsed="false">
      <c r="I2353" s="15" t="str">
        <f aca="false">IF(A2353="","",INT(A2353))</f>
        <v/>
      </c>
      <c r="J2353" s="16" t="str">
        <f aca="false">IF(B2353="","",IF(A2353=_xlfn.MINIFS($A$2:$A$5001,$B$2:$B$5001,B2353),1,0))</f>
        <v/>
      </c>
      <c r="K2353" s="16" t="str">
        <f aca="false">IF(B2353="","",IF(AND(D2353="Formalização",E2353="Concluído"),IF(COUNTIFS($B$2:$B$5001,B2353,$E$2:$E$5001,"Em ajustes",$A$2:$A$5001,"&lt;"&amp;I2353)&gt;0,1,0),0))</f>
        <v/>
      </c>
      <c r="L2353" s="16" t="str">
        <f aca="false">IF(B2353="","",IF(A2353=_xlfn.MAXIFS($A$2:$A$5001,$B$2:$B$5001,B2353,$I$2:$I$5001,I2353),1,0))</f>
        <v/>
      </c>
    </row>
    <row r="2354" customFormat="false" ht="15" hidden="false" customHeight="false" outlineLevel="0" collapsed="false">
      <c r="I2354" s="15" t="str">
        <f aca="false">IF(A2354="","",INT(A2354))</f>
        <v/>
      </c>
      <c r="J2354" s="16" t="str">
        <f aca="false">IF(B2354="","",IF(A2354=_xlfn.MINIFS($A$2:$A$5001,$B$2:$B$5001,B2354),1,0))</f>
        <v/>
      </c>
      <c r="K2354" s="16" t="str">
        <f aca="false">IF(B2354="","",IF(AND(D2354="Formalização",E2354="Concluído"),IF(COUNTIFS($B$2:$B$5001,B2354,$E$2:$E$5001,"Em ajustes",$A$2:$A$5001,"&lt;"&amp;I2354)&gt;0,1,0),0))</f>
        <v/>
      </c>
      <c r="L2354" s="16" t="str">
        <f aca="false">IF(B2354="","",IF(A2354=_xlfn.MAXIFS($A$2:$A$5001,$B$2:$B$5001,B2354,$I$2:$I$5001,I2354),1,0))</f>
        <v/>
      </c>
    </row>
    <row r="2355" customFormat="false" ht="15" hidden="false" customHeight="false" outlineLevel="0" collapsed="false">
      <c r="I2355" s="15" t="str">
        <f aca="false">IF(A2355="","",INT(A2355))</f>
        <v/>
      </c>
      <c r="J2355" s="16" t="str">
        <f aca="false">IF(B2355="","",IF(A2355=_xlfn.MINIFS($A$2:$A$5001,$B$2:$B$5001,B2355),1,0))</f>
        <v/>
      </c>
      <c r="K2355" s="16" t="str">
        <f aca="false">IF(B2355="","",IF(AND(D2355="Formalização",E2355="Concluído"),IF(COUNTIFS($B$2:$B$5001,B2355,$E$2:$E$5001,"Em ajustes",$A$2:$A$5001,"&lt;"&amp;I2355)&gt;0,1,0),0))</f>
        <v/>
      </c>
      <c r="L2355" s="16" t="str">
        <f aca="false">IF(B2355="","",IF(A2355=_xlfn.MAXIFS($A$2:$A$5001,$B$2:$B$5001,B2355,$I$2:$I$5001,I2355),1,0))</f>
        <v/>
      </c>
    </row>
    <row r="2356" customFormat="false" ht="15" hidden="false" customHeight="false" outlineLevel="0" collapsed="false">
      <c r="I2356" s="15" t="str">
        <f aca="false">IF(A2356="","",INT(A2356))</f>
        <v/>
      </c>
      <c r="J2356" s="16" t="str">
        <f aca="false">IF(B2356="","",IF(A2356=_xlfn.MINIFS($A$2:$A$5001,$B$2:$B$5001,B2356),1,0))</f>
        <v/>
      </c>
      <c r="K2356" s="16" t="str">
        <f aca="false">IF(B2356="","",IF(AND(D2356="Formalização",E2356="Concluído"),IF(COUNTIFS($B$2:$B$5001,B2356,$E$2:$E$5001,"Em ajustes",$A$2:$A$5001,"&lt;"&amp;I2356)&gt;0,1,0),0))</f>
        <v/>
      </c>
      <c r="L2356" s="16" t="str">
        <f aca="false">IF(B2356="","",IF(A2356=_xlfn.MAXIFS($A$2:$A$5001,$B$2:$B$5001,B2356,$I$2:$I$5001,I2356),1,0))</f>
        <v/>
      </c>
    </row>
    <row r="2357" customFormat="false" ht="15" hidden="false" customHeight="false" outlineLevel="0" collapsed="false">
      <c r="I2357" s="15" t="str">
        <f aca="false">IF(A2357="","",INT(A2357))</f>
        <v/>
      </c>
      <c r="J2357" s="16" t="str">
        <f aca="false">IF(B2357="","",IF(A2357=_xlfn.MINIFS($A$2:$A$5001,$B$2:$B$5001,B2357),1,0))</f>
        <v/>
      </c>
      <c r="K2357" s="16" t="str">
        <f aca="false">IF(B2357="","",IF(AND(D2357="Formalização",E2357="Concluído"),IF(COUNTIFS($B$2:$B$5001,B2357,$E$2:$E$5001,"Em ajustes",$A$2:$A$5001,"&lt;"&amp;I2357)&gt;0,1,0),0))</f>
        <v/>
      </c>
      <c r="L2357" s="16" t="str">
        <f aca="false">IF(B2357="","",IF(A2357=_xlfn.MAXIFS($A$2:$A$5001,$B$2:$B$5001,B2357,$I$2:$I$5001,I2357),1,0))</f>
        <v/>
      </c>
    </row>
    <row r="2358" customFormat="false" ht="15" hidden="false" customHeight="false" outlineLevel="0" collapsed="false">
      <c r="I2358" s="15" t="str">
        <f aca="false">IF(A2358="","",INT(A2358))</f>
        <v/>
      </c>
      <c r="J2358" s="16" t="str">
        <f aca="false">IF(B2358="","",IF(A2358=_xlfn.MINIFS($A$2:$A$5001,$B$2:$B$5001,B2358),1,0))</f>
        <v/>
      </c>
      <c r="K2358" s="16" t="str">
        <f aca="false">IF(B2358="","",IF(AND(D2358="Formalização",E2358="Concluído"),IF(COUNTIFS($B$2:$B$5001,B2358,$E$2:$E$5001,"Em ajustes",$A$2:$A$5001,"&lt;"&amp;I2358)&gt;0,1,0),0))</f>
        <v/>
      </c>
      <c r="L2358" s="16" t="str">
        <f aca="false">IF(B2358="","",IF(A2358=_xlfn.MAXIFS($A$2:$A$5001,$B$2:$B$5001,B2358,$I$2:$I$5001,I2358),1,0))</f>
        <v/>
      </c>
    </row>
    <row r="2359" customFormat="false" ht="15" hidden="false" customHeight="false" outlineLevel="0" collapsed="false">
      <c r="I2359" s="15" t="str">
        <f aca="false">IF(A2359="","",INT(A2359))</f>
        <v/>
      </c>
      <c r="J2359" s="16" t="str">
        <f aca="false">IF(B2359="","",IF(A2359=_xlfn.MINIFS($A$2:$A$5001,$B$2:$B$5001,B2359),1,0))</f>
        <v/>
      </c>
      <c r="K2359" s="16" t="str">
        <f aca="false">IF(B2359="","",IF(AND(D2359="Formalização",E2359="Concluído"),IF(COUNTIFS($B$2:$B$5001,B2359,$E$2:$E$5001,"Em ajustes",$A$2:$A$5001,"&lt;"&amp;I2359)&gt;0,1,0),0))</f>
        <v/>
      </c>
      <c r="L2359" s="16" t="str">
        <f aca="false">IF(B2359="","",IF(A2359=_xlfn.MAXIFS($A$2:$A$5001,$B$2:$B$5001,B2359,$I$2:$I$5001,I2359),1,0))</f>
        <v/>
      </c>
    </row>
    <row r="2360" customFormat="false" ht="15" hidden="false" customHeight="false" outlineLevel="0" collapsed="false">
      <c r="I2360" s="15" t="str">
        <f aca="false">IF(A2360="","",INT(A2360))</f>
        <v/>
      </c>
      <c r="J2360" s="16" t="str">
        <f aca="false">IF(B2360="","",IF(A2360=_xlfn.MINIFS($A$2:$A$5001,$B$2:$B$5001,B2360),1,0))</f>
        <v/>
      </c>
      <c r="K2360" s="16" t="str">
        <f aca="false">IF(B2360="","",IF(AND(D2360="Formalização",E2360="Concluído"),IF(COUNTIFS($B$2:$B$5001,B2360,$E$2:$E$5001,"Em ajustes",$A$2:$A$5001,"&lt;"&amp;I2360)&gt;0,1,0),0))</f>
        <v/>
      </c>
      <c r="L2360" s="16" t="str">
        <f aca="false">IF(B2360="","",IF(A2360=_xlfn.MAXIFS($A$2:$A$5001,$B$2:$B$5001,B2360,$I$2:$I$5001,I2360),1,0))</f>
        <v/>
      </c>
    </row>
    <row r="2361" customFormat="false" ht="15" hidden="false" customHeight="false" outlineLevel="0" collapsed="false">
      <c r="I2361" s="15" t="str">
        <f aca="false">IF(A2361="","",INT(A2361))</f>
        <v/>
      </c>
      <c r="J2361" s="16" t="str">
        <f aca="false">IF(B2361="","",IF(A2361=_xlfn.MINIFS($A$2:$A$5001,$B$2:$B$5001,B2361),1,0))</f>
        <v/>
      </c>
      <c r="K2361" s="16" t="str">
        <f aca="false">IF(B2361="","",IF(AND(D2361="Formalização",E2361="Concluído"),IF(COUNTIFS($B$2:$B$5001,B2361,$E$2:$E$5001,"Em ajustes",$A$2:$A$5001,"&lt;"&amp;I2361)&gt;0,1,0),0))</f>
        <v/>
      </c>
      <c r="L2361" s="16" t="str">
        <f aca="false">IF(B2361="","",IF(A2361=_xlfn.MAXIFS($A$2:$A$5001,$B$2:$B$5001,B2361,$I$2:$I$5001,I2361),1,0))</f>
        <v/>
      </c>
    </row>
    <row r="2362" customFormat="false" ht="15" hidden="false" customHeight="false" outlineLevel="0" collapsed="false">
      <c r="I2362" s="15" t="str">
        <f aca="false">IF(A2362="","",INT(A2362))</f>
        <v/>
      </c>
      <c r="J2362" s="16" t="str">
        <f aca="false">IF(B2362="","",IF(A2362=_xlfn.MINIFS($A$2:$A$5001,$B$2:$B$5001,B2362),1,0))</f>
        <v/>
      </c>
      <c r="K2362" s="16" t="str">
        <f aca="false">IF(B2362="","",IF(AND(D2362="Formalização",E2362="Concluído"),IF(COUNTIFS($B$2:$B$5001,B2362,$E$2:$E$5001,"Em ajustes",$A$2:$A$5001,"&lt;"&amp;I2362)&gt;0,1,0),0))</f>
        <v/>
      </c>
      <c r="L2362" s="16" t="str">
        <f aca="false">IF(B2362="","",IF(A2362=_xlfn.MAXIFS($A$2:$A$5001,$B$2:$B$5001,B2362,$I$2:$I$5001,I2362),1,0))</f>
        <v/>
      </c>
    </row>
    <row r="2363" customFormat="false" ht="15" hidden="false" customHeight="false" outlineLevel="0" collapsed="false">
      <c r="I2363" s="15" t="str">
        <f aca="false">IF(A2363="","",INT(A2363))</f>
        <v/>
      </c>
      <c r="J2363" s="16" t="str">
        <f aca="false">IF(B2363="","",IF(A2363=_xlfn.MINIFS($A$2:$A$5001,$B$2:$B$5001,B2363),1,0))</f>
        <v/>
      </c>
      <c r="K2363" s="16" t="str">
        <f aca="false">IF(B2363="","",IF(AND(D2363="Formalização",E2363="Concluído"),IF(COUNTIFS($B$2:$B$5001,B2363,$E$2:$E$5001,"Em ajustes",$A$2:$A$5001,"&lt;"&amp;I2363)&gt;0,1,0),0))</f>
        <v/>
      </c>
      <c r="L2363" s="16" t="str">
        <f aca="false">IF(B2363="","",IF(A2363=_xlfn.MAXIFS($A$2:$A$5001,$B$2:$B$5001,B2363,$I$2:$I$5001,I2363),1,0))</f>
        <v/>
      </c>
    </row>
    <row r="2364" customFormat="false" ht="15" hidden="false" customHeight="false" outlineLevel="0" collapsed="false">
      <c r="I2364" s="15" t="str">
        <f aca="false">IF(A2364="","",INT(A2364))</f>
        <v/>
      </c>
      <c r="J2364" s="16" t="str">
        <f aca="false">IF(B2364="","",IF(A2364=_xlfn.MINIFS($A$2:$A$5001,$B$2:$B$5001,B2364),1,0))</f>
        <v/>
      </c>
      <c r="K2364" s="16" t="str">
        <f aca="false">IF(B2364="","",IF(AND(D2364="Formalização",E2364="Concluído"),IF(COUNTIFS($B$2:$B$5001,B2364,$E$2:$E$5001,"Em ajustes",$A$2:$A$5001,"&lt;"&amp;I2364)&gt;0,1,0),0))</f>
        <v/>
      </c>
      <c r="L2364" s="16" t="str">
        <f aca="false">IF(B2364="","",IF(A2364=_xlfn.MAXIFS($A$2:$A$5001,$B$2:$B$5001,B2364,$I$2:$I$5001,I2364),1,0))</f>
        <v/>
      </c>
    </row>
    <row r="2365" customFormat="false" ht="15" hidden="false" customHeight="false" outlineLevel="0" collapsed="false">
      <c r="I2365" s="15" t="str">
        <f aca="false">IF(A2365="","",INT(A2365))</f>
        <v/>
      </c>
      <c r="J2365" s="16" t="str">
        <f aca="false">IF(B2365="","",IF(A2365=_xlfn.MINIFS($A$2:$A$5001,$B$2:$B$5001,B2365),1,0))</f>
        <v/>
      </c>
      <c r="K2365" s="16" t="str">
        <f aca="false">IF(B2365="","",IF(AND(D2365="Formalização",E2365="Concluído"),IF(COUNTIFS($B$2:$B$5001,B2365,$E$2:$E$5001,"Em ajustes",$A$2:$A$5001,"&lt;"&amp;I2365)&gt;0,1,0),0))</f>
        <v/>
      </c>
      <c r="L2365" s="16" t="str">
        <f aca="false">IF(B2365="","",IF(A2365=_xlfn.MAXIFS($A$2:$A$5001,$B$2:$B$5001,B2365,$I$2:$I$5001,I2365),1,0))</f>
        <v/>
      </c>
    </row>
    <row r="2366" customFormat="false" ht="15" hidden="false" customHeight="false" outlineLevel="0" collapsed="false">
      <c r="I2366" s="15" t="str">
        <f aca="false">IF(A2366="","",INT(A2366))</f>
        <v/>
      </c>
      <c r="J2366" s="16" t="str">
        <f aca="false">IF(B2366="","",IF(A2366=_xlfn.MINIFS($A$2:$A$5001,$B$2:$B$5001,B2366),1,0))</f>
        <v/>
      </c>
      <c r="K2366" s="16" t="str">
        <f aca="false">IF(B2366="","",IF(AND(D2366="Formalização",E2366="Concluído"),IF(COUNTIFS($B$2:$B$5001,B2366,$E$2:$E$5001,"Em ajustes",$A$2:$A$5001,"&lt;"&amp;I2366)&gt;0,1,0),0))</f>
        <v/>
      </c>
      <c r="L2366" s="16" t="str">
        <f aca="false">IF(B2366="","",IF(A2366=_xlfn.MAXIFS($A$2:$A$5001,$B$2:$B$5001,B2366,$I$2:$I$5001,I2366),1,0))</f>
        <v/>
      </c>
    </row>
    <row r="2367" customFormat="false" ht="15" hidden="false" customHeight="false" outlineLevel="0" collapsed="false">
      <c r="I2367" s="15" t="str">
        <f aca="false">IF(A2367="","",INT(A2367))</f>
        <v/>
      </c>
      <c r="J2367" s="16" t="str">
        <f aca="false">IF(B2367="","",IF(A2367=_xlfn.MINIFS($A$2:$A$5001,$B$2:$B$5001,B2367),1,0))</f>
        <v/>
      </c>
      <c r="K2367" s="16" t="str">
        <f aca="false">IF(B2367="","",IF(AND(D2367="Formalização",E2367="Concluído"),IF(COUNTIFS($B$2:$B$5001,B2367,$E$2:$E$5001,"Em ajustes",$A$2:$A$5001,"&lt;"&amp;I2367)&gt;0,1,0),0))</f>
        <v/>
      </c>
      <c r="L2367" s="16" t="str">
        <f aca="false">IF(B2367="","",IF(A2367=_xlfn.MAXIFS($A$2:$A$5001,$B$2:$B$5001,B2367,$I$2:$I$5001,I2367),1,0))</f>
        <v/>
      </c>
    </row>
    <row r="2368" customFormat="false" ht="15" hidden="false" customHeight="false" outlineLevel="0" collapsed="false">
      <c r="I2368" s="15" t="str">
        <f aca="false">IF(A2368="","",INT(A2368))</f>
        <v/>
      </c>
      <c r="J2368" s="16" t="str">
        <f aca="false">IF(B2368="","",IF(A2368=_xlfn.MINIFS($A$2:$A$5001,$B$2:$B$5001,B2368),1,0))</f>
        <v/>
      </c>
      <c r="K2368" s="16" t="str">
        <f aca="false">IF(B2368="","",IF(AND(D2368="Formalização",E2368="Concluído"),IF(COUNTIFS($B$2:$B$5001,B2368,$E$2:$E$5001,"Em ajustes",$A$2:$A$5001,"&lt;"&amp;I2368)&gt;0,1,0),0))</f>
        <v/>
      </c>
      <c r="L2368" s="16" t="str">
        <f aca="false">IF(B2368="","",IF(A2368=_xlfn.MAXIFS($A$2:$A$5001,$B$2:$B$5001,B2368,$I$2:$I$5001,I2368),1,0))</f>
        <v/>
      </c>
    </row>
    <row r="2369" customFormat="false" ht="15" hidden="false" customHeight="false" outlineLevel="0" collapsed="false">
      <c r="I2369" s="15" t="str">
        <f aca="false">IF(A2369="","",INT(A2369))</f>
        <v/>
      </c>
      <c r="J2369" s="16" t="str">
        <f aca="false">IF(B2369="","",IF(A2369=_xlfn.MINIFS($A$2:$A$5001,$B$2:$B$5001,B2369),1,0))</f>
        <v/>
      </c>
      <c r="K2369" s="16" t="str">
        <f aca="false">IF(B2369="","",IF(AND(D2369="Formalização",E2369="Concluído"),IF(COUNTIFS($B$2:$B$5001,B2369,$E$2:$E$5001,"Em ajustes",$A$2:$A$5001,"&lt;"&amp;I2369)&gt;0,1,0),0))</f>
        <v/>
      </c>
      <c r="L2369" s="16" t="str">
        <f aca="false">IF(B2369="","",IF(A2369=_xlfn.MAXIFS($A$2:$A$5001,$B$2:$B$5001,B2369,$I$2:$I$5001,I2369),1,0))</f>
        <v/>
      </c>
    </row>
    <row r="2370" customFormat="false" ht="15" hidden="false" customHeight="false" outlineLevel="0" collapsed="false">
      <c r="I2370" s="15" t="str">
        <f aca="false">IF(A2370="","",INT(A2370))</f>
        <v/>
      </c>
      <c r="J2370" s="16" t="str">
        <f aca="false">IF(B2370="","",IF(A2370=_xlfn.MINIFS($A$2:$A$5001,$B$2:$B$5001,B2370),1,0))</f>
        <v/>
      </c>
      <c r="K2370" s="16" t="str">
        <f aca="false">IF(B2370="","",IF(AND(D2370="Formalização",E2370="Concluído"),IF(COUNTIFS($B$2:$B$5001,B2370,$E$2:$E$5001,"Em ajustes",$A$2:$A$5001,"&lt;"&amp;I2370)&gt;0,1,0),0))</f>
        <v/>
      </c>
      <c r="L2370" s="16" t="str">
        <f aca="false">IF(B2370="","",IF(A2370=_xlfn.MAXIFS($A$2:$A$5001,$B$2:$B$5001,B2370,$I$2:$I$5001,I2370),1,0))</f>
        <v/>
      </c>
    </row>
    <row r="2371" customFormat="false" ht="15" hidden="false" customHeight="false" outlineLevel="0" collapsed="false">
      <c r="I2371" s="15" t="str">
        <f aca="false">IF(A2371="","",INT(A2371))</f>
        <v/>
      </c>
      <c r="J2371" s="16" t="str">
        <f aca="false">IF(B2371="","",IF(A2371=_xlfn.MINIFS($A$2:$A$5001,$B$2:$B$5001,B2371),1,0))</f>
        <v/>
      </c>
      <c r="K2371" s="16" t="str">
        <f aca="false">IF(B2371="","",IF(AND(D2371="Formalização",E2371="Concluído"),IF(COUNTIFS($B$2:$B$5001,B2371,$E$2:$E$5001,"Em ajustes",$A$2:$A$5001,"&lt;"&amp;I2371)&gt;0,1,0),0))</f>
        <v/>
      </c>
      <c r="L2371" s="16" t="str">
        <f aca="false">IF(B2371="","",IF(A2371=_xlfn.MAXIFS($A$2:$A$5001,$B$2:$B$5001,B2371,$I$2:$I$5001,I2371),1,0))</f>
        <v/>
      </c>
    </row>
    <row r="2372" customFormat="false" ht="15" hidden="false" customHeight="false" outlineLevel="0" collapsed="false">
      <c r="I2372" s="15" t="str">
        <f aca="false">IF(A2372="","",INT(A2372))</f>
        <v/>
      </c>
      <c r="J2372" s="16" t="str">
        <f aca="false">IF(B2372="","",IF(A2372=_xlfn.MINIFS($A$2:$A$5001,$B$2:$B$5001,B2372),1,0))</f>
        <v/>
      </c>
      <c r="K2372" s="16" t="str">
        <f aca="false">IF(B2372="","",IF(AND(D2372="Formalização",E2372="Concluído"),IF(COUNTIFS($B$2:$B$5001,B2372,$E$2:$E$5001,"Em ajustes",$A$2:$A$5001,"&lt;"&amp;I2372)&gt;0,1,0),0))</f>
        <v/>
      </c>
      <c r="L2372" s="16" t="str">
        <f aca="false">IF(B2372="","",IF(A2372=_xlfn.MAXIFS($A$2:$A$5001,$B$2:$B$5001,B2372,$I$2:$I$5001,I2372),1,0))</f>
        <v/>
      </c>
    </row>
    <row r="2373" customFormat="false" ht="15" hidden="false" customHeight="false" outlineLevel="0" collapsed="false">
      <c r="I2373" s="15" t="str">
        <f aca="false">IF(A2373="","",INT(A2373))</f>
        <v/>
      </c>
      <c r="J2373" s="16" t="str">
        <f aca="false">IF(B2373="","",IF(A2373=_xlfn.MINIFS($A$2:$A$5001,$B$2:$B$5001,B2373),1,0))</f>
        <v/>
      </c>
      <c r="K2373" s="16" t="str">
        <f aca="false">IF(B2373="","",IF(AND(D2373="Formalização",E2373="Concluído"),IF(COUNTIFS($B$2:$B$5001,B2373,$E$2:$E$5001,"Em ajustes",$A$2:$A$5001,"&lt;"&amp;I2373)&gt;0,1,0),0))</f>
        <v/>
      </c>
      <c r="L2373" s="16" t="str">
        <f aca="false">IF(B2373="","",IF(A2373=_xlfn.MAXIFS($A$2:$A$5001,$B$2:$B$5001,B2373,$I$2:$I$5001,I2373),1,0))</f>
        <v/>
      </c>
    </row>
    <row r="2374" customFormat="false" ht="15" hidden="false" customHeight="false" outlineLevel="0" collapsed="false">
      <c r="I2374" s="15" t="str">
        <f aca="false">IF(A2374="","",INT(A2374))</f>
        <v/>
      </c>
      <c r="J2374" s="16" t="str">
        <f aca="false">IF(B2374="","",IF(A2374=_xlfn.MINIFS($A$2:$A$5001,$B$2:$B$5001,B2374),1,0))</f>
        <v/>
      </c>
      <c r="K2374" s="16" t="str">
        <f aca="false">IF(B2374="","",IF(AND(D2374="Formalização",E2374="Concluído"),IF(COUNTIFS($B$2:$B$5001,B2374,$E$2:$E$5001,"Em ajustes",$A$2:$A$5001,"&lt;"&amp;I2374)&gt;0,1,0),0))</f>
        <v/>
      </c>
      <c r="L2374" s="16" t="str">
        <f aca="false">IF(B2374="","",IF(A2374=_xlfn.MAXIFS($A$2:$A$5001,$B$2:$B$5001,B2374,$I$2:$I$5001,I2374),1,0))</f>
        <v/>
      </c>
    </row>
    <row r="2375" customFormat="false" ht="15" hidden="false" customHeight="false" outlineLevel="0" collapsed="false">
      <c r="I2375" s="15" t="str">
        <f aca="false">IF(A2375="","",INT(A2375))</f>
        <v/>
      </c>
      <c r="J2375" s="16" t="str">
        <f aca="false">IF(B2375="","",IF(A2375=_xlfn.MINIFS($A$2:$A$5001,$B$2:$B$5001,B2375),1,0))</f>
        <v/>
      </c>
      <c r="K2375" s="16" t="str">
        <f aca="false">IF(B2375="","",IF(AND(D2375="Formalização",E2375="Concluído"),IF(COUNTIFS($B$2:$B$5001,B2375,$E$2:$E$5001,"Em ajustes",$A$2:$A$5001,"&lt;"&amp;I2375)&gt;0,1,0),0))</f>
        <v/>
      </c>
      <c r="L2375" s="16" t="str">
        <f aca="false">IF(B2375="","",IF(A2375=_xlfn.MAXIFS($A$2:$A$5001,$B$2:$B$5001,B2375,$I$2:$I$5001,I2375),1,0))</f>
        <v/>
      </c>
    </row>
    <row r="2376" customFormat="false" ht="15" hidden="false" customHeight="false" outlineLevel="0" collapsed="false">
      <c r="I2376" s="15" t="str">
        <f aca="false">IF(A2376="","",INT(A2376))</f>
        <v/>
      </c>
      <c r="J2376" s="16" t="str">
        <f aca="false">IF(B2376="","",IF(A2376=_xlfn.MINIFS($A$2:$A$5001,$B$2:$B$5001,B2376),1,0))</f>
        <v/>
      </c>
      <c r="K2376" s="16" t="str">
        <f aca="false">IF(B2376="","",IF(AND(D2376="Formalização",E2376="Concluído"),IF(COUNTIFS($B$2:$B$5001,B2376,$E$2:$E$5001,"Em ajustes",$A$2:$A$5001,"&lt;"&amp;I2376)&gt;0,1,0),0))</f>
        <v/>
      </c>
      <c r="L2376" s="16" t="str">
        <f aca="false">IF(B2376="","",IF(A2376=_xlfn.MAXIFS($A$2:$A$5001,$B$2:$B$5001,B2376,$I$2:$I$5001,I2376),1,0))</f>
        <v/>
      </c>
    </row>
    <row r="2377" customFormat="false" ht="15" hidden="false" customHeight="false" outlineLevel="0" collapsed="false">
      <c r="I2377" s="15" t="str">
        <f aca="false">IF(A2377="","",INT(A2377))</f>
        <v/>
      </c>
      <c r="J2377" s="16" t="str">
        <f aca="false">IF(B2377="","",IF(A2377=_xlfn.MINIFS($A$2:$A$5001,$B$2:$B$5001,B2377),1,0))</f>
        <v/>
      </c>
      <c r="K2377" s="16" t="str">
        <f aca="false">IF(B2377="","",IF(AND(D2377="Formalização",E2377="Concluído"),IF(COUNTIFS($B$2:$B$5001,B2377,$E$2:$E$5001,"Em ajustes",$A$2:$A$5001,"&lt;"&amp;I2377)&gt;0,1,0),0))</f>
        <v/>
      </c>
      <c r="L2377" s="16" t="str">
        <f aca="false">IF(B2377="","",IF(A2377=_xlfn.MAXIFS($A$2:$A$5001,$B$2:$B$5001,B2377,$I$2:$I$5001,I2377),1,0))</f>
        <v/>
      </c>
    </row>
    <row r="2378" customFormat="false" ht="15" hidden="false" customHeight="false" outlineLevel="0" collapsed="false">
      <c r="I2378" s="15" t="str">
        <f aca="false">IF(A2378="","",INT(A2378))</f>
        <v/>
      </c>
      <c r="J2378" s="16" t="str">
        <f aca="false">IF(B2378="","",IF(A2378=_xlfn.MINIFS($A$2:$A$5001,$B$2:$B$5001,B2378),1,0))</f>
        <v/>
      </c>
      <c r="K2378" s="16" t="str">
        <f aca="false">IF(B2378="","",IF(AND(D2378="Formalização",E2378="Concluído"),IF(COUNTIFS($B$2:$B$5001,B2378,$E$2:$E$5001,"Em ajustes",$A$2:$A$5001,"&lt;"&amp;I2378)&gt;0,1,0),0))</f>
        <v/>
      </c>
      <c r="L2378" s="16" t="str">
        <f aca="false">IF(B2378="","",IF(A2378=_xlfn.MAXIFS($A$2:$A$5001,$B$2:$B$5001,B2378,$I$2:$I$5001,I2378),1,0))</f>
        <v/>
      </c>
    </row>
    <row r="2379" customFormat="false" ht="15" hidden="false" customHeight="false" outlineLevel="0" collapsed="false">
      <c r="I2379" s="15" t="str">
        <f aca="false">IF(A2379="","",INT(A2379))</f>
        <v/>
      </c>
      <c r="J2379" s="16" t="str">
        <f aca="false">IF(B2379="","",IF(A2379=_xlfn.MINIFS($A$2:$A$5001,$B$2:$B$5001,B2379),1,0))</f>
        <v/>
      </c>
      <c r="K2379" s="16" t="str">
        <f aca="false">IF(B2379="","",IF(AND(D2379="Formalização",E2379="Concluído"),IF(COUNTIFS($B$2:$B$5001,B2379,$E$2:$E$5001,"Em ajustes",$A$2:$A$5001,"&lt;"&amp;I2379)&gt;0,1,0),0))</f>
        <v/>
      </c>
      <c r="L2379" s="16" t="str">
        <f aca="false">IF(B2379="","",IF(A2379=_xlfn.MAXIFS($A$2:$A$5001,$B$2:$B$5001,B2379,$I$2:$I$5001,I2379),1,0))</f>
        <v/>
      </c>
    </row>
    <row r="2380" customFormat="false" ht="15" hidden="false" customHeight="false" outlineLevel="0" collapsed="false">
      <c r="I2380" s="15" t="str">
        <f aca="false">IF(A2380="","",INT(A2380))</f>
        <v/>
      </c>
      <c r="J2380" s="16" t="str">
        <f aca="false">IF(B2380="","",IF(A2380=_xlfn.MINIFS($A$2:$A$5001,$B$2:$B$5001,B2380),1,0))</f>
        <v/>
      </c>
      <c r="K2380" s="16" t="str">
        <f aca="false">IF(B2380="","",IF(AND(D2380="Formalização",E2380="Concluído"),IF(COUNTIFS($B$2:$B$5001,B2380,$E$2:$E$5001,"Em ajustes",$A$2:$A$5001,"&lt;"&amp;I2380)&gt;0,1,0),0))</f>
        <v/>
      </c>
      <c r="L2380" s="16" t="str">
        <f aca="false">IF(B2380="","",IF(A2380=_xlfn.MAXIFS($A$2:$A$5001,$B$2:$B$5001,B2380,$I$2:$I$5001,I2380),1,0))</f>
        <v/>
      </c>
    </row>
    <row r="2381" customFormat="false" ht="15" hidden="false" customHeight="false" outlineLevel="0" collapsed="false">
      <c r="I2381" s="15" t="str">
        <f aca="false">IF(A2381="","",INT(A2381))</f>
        <v/>
      </c>
      <c r="J2381" s="16" t="str">
        <f aca="false">IF(B2381="","",IF(A2381=_xlfn.MINIFS($A$2:$A$5001,$B$2:$B$5001,B2381),1,0))</f>
        <v/>
      </c>
      <c r="K2381" s="16" t="str">
        <f aca="false">IF(B2381="","",IF(AND(D2381="Formalização",E2381="Concluído"),IF(COUNTIFS($B$2:$B$5001,B2381,$E$2:$E$5001,"Em ajustes",$A$2:$A$5001,"&lt;"&amp;I2381)&gt;0,1,0),0))</f>
        <v/>
      </c>
      <c r="L2381" s="16" t="str">
        <f aca="false">IF(B2381="","",IF(A2381=_xlfn.MAXIFS($A$2:$A$5001,$B$2:$B$5001,B2381,$I$2:$I$5001,I2381),1,0))</f>
        <v/>
      </c>
    </row>
    <row r="2382" customFormat="false" ht="15" hidden="false" customHeight="false" outlineLevel="0" collapsed="false">
      <c r="I2382" s="15" t="str">
        <f aca="false">IF(A2382="","",INT(A2382))</f>
        <v/>
      </c>
      <c r="J2382" s="16" t="str">
        <f aca="false">IF(B2382="","",IF(A2382=_xlfn.MINIFS($A$2:$A$5001,$B$2:$B$5001,B2382),1,0))</f>
        <v/>
      </c>
      <c r="K2382" s="16" t="str">
        <f aca="false">IF(B2382="","",IF(AND(D2382="Formalização",E2382="Concluído"),IF(COUNTIFS($B$2:$B$5001,B2382,$E$2:$E$5001,"Em ajustes",$A$2:$A$5001,"&lt;"&amp;I2382)&gt;0,1,0),0))</f>
        <v/>
      </c>
      <c r="L2382" s="16" t="str">
        <f aca="false">IF(B2382="","",IF(A2382=_xlfn.MAXIFS($A$2:$A$5001,$B$2:$B$5001,B2382,$I$2:$I$5001,I2382),1,0))</f>
        <v/>
      </c>
    </row>
    <row r="2383" customFormat="false" ht="15" hidden="false" customHeight="false" outlineLevel="0" collapsed="false">
      <c r="I2383" s="15" t="str">
        <f aca="false">IF(A2383="","",INT(A2383))</f>
        <v/>
      </c>
      <c r="J2383" s="16" t="str">
        <f aca="false">IF(B2383="","",IF(A2383=_xlfn.MINIFS($A$2:$A$5001,$B$2:$B$5001,B2383),1,0))</f>
        <v/>
      </c>
      <c r="K2383" s="16" t="str">
        <f aca="false">IF(B2383="","",IF(AND(D2383="Formalização",E2383="Concluído"),IF(COUNTIFS($B$2:$B$5001,B2383,$E$2:$E$5001,"Em ajustes",$A$2:$A$5001,"&lt;"&amp;I2383)&gt;0,1,0),0))</f>
        <v/>
      </c>
      <c r="L2383" s="16" t="str">
        <f aca="false">IF(B2383="","",IF(A2383=_xlfn.MAXIFS($A$2:$A$5001,$B$2:$B$5001,B2383,$I$2:$I$5001,I2383),1,0))</f>
        <v/>
      </c>
    </row>
    <row r="2384" customFormat="false" ht="15" hidden="false" customHeight="false" outlineLevel="0" collapsed="false">
      <c r="I2384" s="15" t="str">
        <f aca="false">IF(A2384="","",INT(A2384))</f>
        <v/>
      </c>
      <c r="J2384" s="16" t="str">
        <f aca="false">IF(B2384="","",IF(A2384=_xlfn.MINIFS($A$2:$A$5001,$B$2:$B$5001,B2384),1,0))</f>
        <v/>
      </c>
      <c r="K2384" s="16" t="str">
        <f aca="false">IF(B2384="","",IF(AND(D2384="Formalização",E2384="Concluído"),IF(COUNTIFS($B$2:$B$5001,B2384,$E$2:$E$5001,"Em ajustes",$A$2:$A$5001,"&lt;"&amp;I2384)&gt;0,1,0),0))</f>
        <v/>
      </c>
      <c r="L2384" s="16" t="str">
        <f aca="false">IF(B2384="","",IF(A2384=_xlfn.MAXIFS($A$2:$A$5001,$B$2:$B$5001,B2384,$I$2:$I$5001,I2384),1,0))</f>
        <v/>
      </c>
    </row>
    <row r="2385" customFormat="false" ht="15" hidden="false" customHeight="false" outlineLevel="0" collapsed="false">
      <c r="I2385" s="15" t="str">
        <f aca="false">IF(A2385="","",INT(A2385))</f>
        <v/>
      </c>
      <c r="J2385" s="16" t="str">
        <f aca="false">IF(B2385="","",IF(A2385=_xlfn.MINIFS($A$2:$A$5001,$B$2:$B$5001,B2385),1,0))</f>
        <v/>
      </c>
      <c r="K2385" s="16" t="str">
        <f aca="false">IF(B2385="","",IF(AND(D2385="Formalização",E2385="Concluído"),IF(COUNTIFS($B$2:$B$5001,B2385,$E$2:$E$5001,"Em ajustes",$A$2:$A$5001,"&lt;"&amp;I2385)&gt;0,1,0),0))</f>
        <v/>
      </c>
      <c r="L2385" s="16" t="str">
        <f aca="false">IF(B2385="","",IF(A2385=_xlfn.MAXIFS($A$2:$A$5001,$B$2:$B$5001,B2385,$I$2:$I$5001,I2385),1,0))</f>
        <v/>
      </c>
    </row>
    <row r="2386" customFormat="false" ht="15" hidden="false" customHeight="false" outlineLevel="0" collapsed="false">
      <c r="I2386" s="15" t="str">
        <f aca="false">IF(A2386="","",INT(A2386))</f>
        <v/>
      </c>
      <c r="J2386" s="16" t="str">
        <f aca="false">IF(B2386="","",IF(A2386=_xlfn.MINIFS($A$2:$A$5001,$B$2:$B$5001,B2386),1,0))</f>
        <v/>
      </c>
      <c r="K2386" s="16" t="str">
        <f aca="false">IF(B2386="","",IF(AND(D2386="Formalização",E2386="Concluído"),IF(COUNTIFS($B$2:$B$5001,B2386,$E$2:$E$5001,"Em ajustes",$A$2:$A$5001,"&lt;"&amp;I2386)&gt;0,1,0),0))</f>
        <v/>
      </c>
      <c r="L2386" s="16" t="str">
        <f aca="false">IF(B2386="","",IF(A2386=_xlfn.MAXIFS($A$2:$A$5001,$B$2:$B$5001,B2386,$I$2:$I$5001,I2386),1,0))</f>
        <v/>
      </c>
    </row>
    <row r="2387" customFormat="false" ht="15" hidden="false" customHeight="false" outlineLevel="0" collapsed="false">
      <c r="I2387" s="15" t="str">
        <f aca="false">IF(A2387="","",INT(A2387))</f>
        <v/>
      </c>
      <c r="J2387" s="16" t="str">
        <f aca="false">IF(B2387="","",IF(A2387=_xlfn.MINIFS($A$2:$A$5001,$B$2:$B$5001,B2387),1,0))</f>
        <v/>
      </c>
      <c r="K2387" s="16" t="str">
        <f aca="false">IF(B2387="","",IF(AND(D2387="Formalização",E2387="Concluído"),IF(COUNTIFS($B$2:$B$5001,B2387,$E$2:$E$5001,"Em ajustes",$A$2:$A$5001,"&lt;"&amp;I2387)&gt;0,1,0),0))</f>
        <v/>
      </c>
      <c r="L2387" s="16" t="str">
        <f aca="false">IF(B2387="","",IF(A2387=_xlfn.MAXIFS($A$2:$A$5001,$B$2:$B$5001,B2387,$I$2:$I$5001,I2387),1,0))</f>
        <v/>
      </c>
    </row>
    <row r="2388" customFormat="false" ht="15" hidden="false" customHeight="false" outlineLevel="0" collapsed="false">
      <c r="I2388" s="15" t="str">
        <f aca="false">IF(A2388="","",INT(A2388))</f>
        <v/>
      </c>
      <c r="J2388" s="16" t="str">
        <f aca="false">IF(B2388="","",IF(A2388=_xlfn.MINIFS($A$2:$A$5001,$B$2:$B$5001,B2388),1,0))</f>
        <v/>
      </c>
      <c r="K2388" s="16" t="str">
        <f aca="false">IF(B2388="","",IF(AND(D2388="Formalização",E2388="Concluído"),IF(COUNTIFS($B$2:$B$5001,B2388,$E$2:$E$5001,"Em ajustes",$A$2:$A$5001,"&lt;"&amp;I2388)&gt;0,1,0),0))</f>
        <v/>
      </c>
      <c r="L2388" s="16" t="str">
        <f aca="false">IF(B2388="","",IF(A2388=_xlfn.MAXIFS($A$2:$A$5001,$B$2:$B$5001,B2388,$I$2:$I$5001,I2388),1,0))</f>
        <v/>
      </c>
    </row>
    <row r="2389" customFormat="false" ht="15" hidden="false" customHeight="false" outlineLevel="0" collapsed="false">
      <c r="I2389" s="15" t="str">
        <f aca="false">IF(A2389="","",INT(A2389))</f>
        <v/>
      </c>
      <c r="J2389" s="16" t="str">
        <f aca="false">IF(B2389="","",IF(A2389=_xlfn.MINIFS($A$2:$A$5001,$B$2:$B$5001,B2389),1,0))</f>
        <v/>
      </c>
      <c r="K2389" s="16" t="str">
        <f aca="false">IF(B2389="","",IF(AND(D2389="Formalização",E2389="Concluído"),IF(COUNTIFS($B$2:$B$5001,B2389,$E$2:$E$5001,"Em ajustes",$A$2:$A$5001,"&lt;"&amp;I2389)&gt;0,1,0),0))</f>
        <v/>
      </c>
      <c r="L2389" s="16" t="str">
        <f aca="false">IF(B2389="","",IF(A2389=_xlfn.MAXIFS($A$2:$A$5001,$B$2:$B$5001,B2389,$I$2:$I$5001,I2389),1,0))</f>
        <v/>
      </c>
    </row>
    <row r="2390" customFormat="false" ht="15" hidden="false" customHeight="false" outlineLevel="0" collapsed="false">
      <c r="I2390" s="15" t="str">
        <f aca="false">IF(A2390="","",INT(A2390))</f>
        <v/>
      </c>
      <c r="J2390" s="16" t="str">
        <f aca="false">IF(B2390="","",IF(A2390=_xlfn.MINIFS($A$2:$A$5001,$B$2:$B$5001,B2390),1,0))</f>
        <v/>
      </c>
      <c r="K2390" s="16" t="str">
        <f aca="false">IF(B2390="","",IF(AND(D2390="Formalização",E2390="Concluído"),IF(COUNTIFS($B$2:$B$5001,B2390,$E$2:$E$5001,"Em ajustes",$A$2:$A$5001,"&lt;"&amp;I2390)&gt;0,1,0),0))</f>
        <v/>
      </c>
      <c r="L2390" s="16" t="str">
        <f aca="false">IF(B2390="","",IF(A2390=_xlfn.MAXIFS($A$2:$A$5001,$B$2:$B$5001,B2390,$I$2:$I$5001,I2390),1,0))</f>
        <v/>
      </c>
    </row>
    <row r="2391" customFormat="false" ht="15" hidden="false" customHeight="false" outlineLevel="0" collapsed="false">
      <c r="I2391" s="15" t="str">
        <f aca="false">IF(A2391="","",INT(A2391))</f>
        <v/>
      </c>
      <c r="J2391" s="16" t="str">
        <f aca="false">IF(B2391="","",IF(A2391=_xlfn.MINIFS($A$2:$A$5001,$B$2:$B$5001,B2391),1,0))</f>
        <v/>
      </c>
      <c r="K2391" s="16" t="str">
        <f aca="false">IF(B2391="","",IF(AND(D2391="Formalização",E2391="Concluído"),IF(COUNTIFS($B$2:$B$5001,B2391,$E$2:$E$5001,"Em ajustes",$A$2:$A$5001,"&lt;"&amp;I2391)&gt;0,1,0),0))</f>
        <v/>
      </c>
      <c r="L2391" s="16" t="str">
        <f aca="false">IF(B2391="","",IF(A2391=_xlfn.MAXIFS($A$2:$A$5001,$B$2:$B$5001,B2391,$I$2:$I$5001,I2391),1,0))</f>
        <v/>
      </c>
    </row>
    <row r="2392" customFormat="false" ht="15" hidden="false" customHeight="false" outlineLevel="0" collapsed="false">
      <c r="I2392" s="15" t="str">
        <f aca="false">IF(A2392="","",INT(A2392))</f>
        <v/>
      </c>
      <c r="J2392" s="16" t="str">
        <f aca="false">IF(B2392="","",IF(A2392=_xlfn.MINIFS($A$2:$A$5001,$B$2:$B$5001,B2392),1,0))</f>
        <v/>
      </c>
      <c r="K2392" s="16" t="str">
        <f aca="false">IF(B2392="","",IF(AND(D2392="Formalização",E2392="Concluído"),IF(COUNTIFS($B$2:$B$5001,B2392,$E$2:$E$5001,"Em ajustes",$A$2:$A$5001,"&lt;"&amp;I2392)&gt;0,1,0),0))</f>
        <v/>
      </c>
      <c r="L2392" s="16" t="str">
        <f aca="false">IF(B2392="","",IF(A2392=_xlfn.MAXIFS($A$2:$A$5001,$B$2:$B$5001,B2392,$I$2:$I$5001,I2392),1,0))</f>
        <v/>
      </c>
    </row>
    <row r="2393" customFormat="false" ht="15" hidden="false" customHeight="false" outlineLevel="0" collapsed="false">
      <c r="I2393" s="15" t="str">
        <f aca="false">IF(A2393="","",INT(A2393))</f>
        <v/>
      </c>
      <c r="J2393" s="16" t="str">
        <f aca="false">IF(B2393="","",IF(A2393=_xlfn.MINIFS($A$2:$A$5001,$B$2:$B$5001,B2393),1,0))</f>
        <v/>
      </c>
      <c r="K2393" s="16" t="str">
        <f aca="false">IF(B2393="","",IF(AND(D2393="Formalização",E2393="Concluído"),IF(COUNTIFS($B$2:$B$5001,B2393,$E$2:$E$5001,"Em ajustes",$A$2:$A$5001,"&lt;"&amp;I2393)&gt;0,1,0),0))</f>
        <v/>
      </c>
      <c r="L2393" s="16" t="str">
        <f aca="false">IF(B2393="","",IF(A2393=_xlfn.MAXIFS($A$2:$A$5001,$B$2:$B$5001,B2393,$I$2:$I$5001,I2393),1,0))</f>
        <v/>
      </c>
    </row>
    <row r="2394" customFormat="false" ht="15" hidden="false" customHeight="false" outlineLevel="0" collapsed="false">
      <c r="I2394" s="15" t="str">
        <f aca="false">IF(A2394="","",INT(A2394))</f>
        <v/>
      </c>
      <c r="J2394" s="16" t="str">
        <f aca="false">IF(B2394="","",IF(A2394=_xlfn.MINIFS($A$2:$A$5001,$B$2:$B$5001,B2394),1,0))</f>
        <v/>
      </c>
      <c r="K2394" s="16" t="str">
        <f aca="false">IF(B2394="","",IF(AND(D2394="Formalização",E2394="Concluído"),IF(COUNTIFS($B$2:$B$5001,B2394,$E$2:$E$5001,"Em ajustes",$A$2:$A$5001,"&lt;"&amp;I2394)&gt;0,1,0),0))</f>
        <v/>
      </c>
      <c r="L2394" s="16" t="str">
        <f aca="false">IF(B2394="","",IF(A2394=_xlfn.MAXIFS($A$2:$A$5001,$B$2:$B$5001,B2394,$I$2:$I$5001,I2394),1,0))</f>
        <v/>
      </c>
    </row>
    <row r="2395" customFormat="false" ht="15" hidden="false" customHeight="false" outlineLevel="0" collapsed="false">
      <c r="I2395" s="15" t="str">
        <f aca="false">IF(A2395="","",INT(A2395))</f>
        <v/>
      </c>
      <c r="J2395" s="16" t="str">
        <f aca="false">IF(B2395="","",IF(A2395=_xlfn.MINIFS($A$2:$A$5001,$B$2:$B$5001,B2395),1,0))</f>
        <v/>
      </c>
      <c r="K2395" s="16" t="str">
        <f aca="false">IF(B2395="","",IF(AND(D2395="Formalização",E2395="Concluído"),IF(COUNTIFS($B$2:$B$5001,B2395,$E$2:$E$5001,"Em ajustes",$A$2:$A$5001,"&lt;"&amp;I2395)&gt;0,1,0),0))</f>
        <v/>
      </c>
      <c r="L2395" s="16" t="str">
        <f aca="false">IF(B2395="","",IF(A2395=_xlfn.MAXIFS($A$2:$A$5001,$B$2:$B$5001,B2395,$I$2:$I$5001,I2395),1,0))</f>
        <v/>
      </c>
    </row>
    <row r="2396" customFormat="false" ht="15" hidden="false" customHeight="false" outlineLevel="0" collapsed="false">
      <c r="I2396" s="15" t="str">
        <f aca="false">IF(A2396="","",INT(A2396))</f>
        <v/>
      </c>
      <c r="J2396" s="16" t="str">
        <f aca="false">IF(B2396="","",IF(A2396=_xlfn.MINIFS($A$2:$A$5001,$B$2:$B$5001,B2396),1,0))</f>
        <v/>
      </c>
      <c r="K2396" s="16" t="str">
        <f aca="false">IF(B2396="","",IF(AND(D2396="Formalização",E2396="Concluído"),IF(COUNTIFS($B$2:$B$5001,B2396,$E$2:$E$5001,"Em ajustes",$A$2:$A$5001,"&lt;"&amp;I2396)&gt;0,1,0),0))</f>
        <v/>
      </c>
      <c r="L2396" s="16" t="str">
        <f aca="false">IF(B2396="","",IF(A2396=_xlfn.MAXIFS($A$2:$A$5001,$B$2:$B$5001,B2396,$I$2:$I$5001,I2396),1,0))</f>
        <v/>
      </c>
    </row>
    <row r="2397" customFormat="false" ht="15" hidden="false" customHeight="false" outlineLevel="0" collapsed="false">
      <c r="I2397" s="15" t="str">
        <f aca="false">IF(A2397="","",INT(A2397))</f>
        <v/>
      </c>
      <c r="J2397" s="16" t="str">
        <f aca="false">IF(B2397="","",IF(A2397=_xlfn.MINIFS($A$2:$A$5001,$B$2:$B$5001,B2397),1,0))</f>
        <v/>
      </c>
      <c r="K2397" s="16" t="str">
        <f aca="false">IF(B2397="","",IF(AND(D2397="Formalização",E2397="Concluído"),IF(COUNTIFS($B$2:$B$5001,B2397,$E$2:$E$5001,"Em ajustes",$A$2:$A$5001,"&lt;"&amp;I2397)&gt;0,1,0),0))</f>
        <v/>
      </c>
      <c r="L2397" s="16" t="str">
        <f aca="false">IF(B2397="","",IF(A2397=_xlfn.MAXIFS($A$2:$A$5001,$B$2:$B$5001,B2397,$I$2:$I$5001,I2397),1,0))</f>
        <v/>
      </c>
    </row>
    <row r="2398" customFormat="false" ht="15" hidden="false" customHeight="false" outlineLevel="0" collapsed="false">
      <c r="I2398" s="15" t="str">
        <f aca="false">IF(A2398="","",INT(A2398))</f>
        <v/>
      </c>
      <c r="J2398" s="16" t="str">
        <f aca="false">IF(B2398="","",IF(A2398=_xlfn.MINIFS($A$2:$A$5001,$B$2:$B$5001,B2398),1,0))</f>
        <v/>
      </c>
      <c r="K2398" s="16" t="str">
        <f aca="false">IF(B2398="","",IF(AND(D2398="Formalização",E2398="Concluído"),IF(COUNTIFS($B$2:$B$5001,B2398,$E$2:$E$5001,"Em ajustes",$A$2:$A$5001,"&lt;"&amp;I2398)&gt;0,1,0),0))</f>
        <v/>
      </c>
      <c r="L2398" s="16" t="str">
        <f aca="false">IF(B2398="","",IF(A2398=_xlfn.MAXIFS($A$2:$A$5001,$B$2:$B$5001,B2398,$I$2:$I$5001,I2398),1,0))</f>
        <v/>
      </c>
    </row>
    <row r="2399" customFormat="false" ht="15" hidden="false" customHeight="false" outlineLevel="0" collapsed="false">
      <c r="I2399" s="15" t="str">
        <f aca="false">IF(A2399="","",INT(A2399))</f>
        <v/>
      </c>
      <c r="J2399" s="16" t="str">
        <f aca="false">IF(B2399="","",IF(A2399=_xlfn.MINIFS($A$2:$A$5001,$B$2:$B$5001,B2399),1,0))</f>
        <v/>
      </c>
      <c r="K2399" s="16" t="str">
        <f aca="false">IF(B2399="","",IF(AND(D2399="Formalização",E2399="Concluído"),IF(COUNTIFS($B$2:$B$5001,B2399,$E$2:$E$5001,"Em ajustes",$A$2:$A$5001,"&lt;"&amp;I2399)&gt;0,1,0),0))</f>
        <v/>
      </c>
      <c r="L2399" s="16" t="str">
        <f aca="false">IF(B2399="","",IF(A2399=_xlfn.MAXIFS($A$2:$A$5001,$B$2:$B$5001,B2399,$I$2:$I$5001,I2399),1,0))</f>
        <v/>
      </c>
    </row>
    <row r="2400" customFormat="false" ht="15" hidden="false" customHeight="false" outlineLevel="0" collapsed="false">
      <c r="I2400" s="15" t="str">
        <f aca="false">IF(A2400="","",INT(A2400))</f>
        <v/>
      </c>
      <c r="J2400" s="16" t="str">
        <f aca="false">IF(B2400="","",IF(A2400=_xlfn.MINIFS($A$2:$A$5001,$B$2:$B$5001,B2400),1,0))</f>
        <v/>
      </c>
      <c r="K2400" s="16" t="str">
        <f aca="false">IF(B2400="","",IF(AND(D2400="Formalização",E2400="Concluído"),IF(COUNTIFS($B$2:$B$5001,B2400,$E$2:$E$5001,"Em ajustes",$A$2:$A$5001,"&lt;"&amp;I2400)&gt;0,1,0),0))</f>
        <v/>
      </c>
      <c r="L2400" s="16" t="str">
        <f aca="false">IF(B2400="","",IF(A2400=_xlfn.MAXIFS($A$2:$A$5001,$B$2:$B$5001,B2400,$I$2:$I$5001,I2400),1,0))</f>
        <v/>
      </c>
    </row>
    <row r="2401" customFormat="false" ht="15" hidden="false" customHeight="false" outlineLevel="0" collapsed="false">
      <c r="I2401" s="15" t="str">
        <f aca="false">IF(A2401="","",INT(A2401))</f>
        <v/>
      </c>
      <c r="J2401" s="16" t="str">
        <f aca="false">IF(B2401="","",IF(A2401=_xlfn.MINIFS($A$2:$A$5001,$B$2:$B$5001,B2401),1,0))</f>
        <v/>
      </c>
      <c r="K2401" s="16" t="str">
        <f aca="false">IF(B2401="","",IF(AND(D2401="Formalização",E2401="Concluído"),IF(COUNTIFS($B$2:$B$5001,B2401,$E$2:$E$5001,"Em ajustes",$A$2:$A$5001,"&lt;"&amp;I2401)&gt;0,1,0),0))</f>
        <v/>
      </c>
      <c r="L2401" s="16" t="str">
        <f aca="false">IF(B2401="","",IF(A2401=_xlfn.MAXIFS($A$2:$A$5001,$B$2:$B$5001,B2401,$I$2:$I$5001,I2401),1,0))</f>
        <v/>
      </c>
    </row>
    <row r="2402" customFormat="false" ht="15" hidden="false" customHeight="false" outlineLevel="0" collapsed="false">
      <c r="I2402" s="15" t="str">
        <f aca="false">IF(A2402="","",INT(A2402))</f>
        <v/>
      </c>
      <c r="J2402" s="16" t="str">
        <f aca="false">IF(B2402="","",IF(A2402=_xlfn.MINIFS($A$2:$A$5001,$B$2:$B$5001,B2402),1,0))</f>
        <v/>
      </c>
      <c r="K2402" s="16" t="str">
        <f aca="false">IF(B2402="","",IF(AND(D2402="Formalização",E2402="Concluído"),IF(COUNTIFS($B$2:$B$5001,B2402,$E$2:$E$5001,"Em ajustes",$A$2:$A$5001,"&lt;"&amp;I2402)&gt;0,1,0),0))</f>
        <v/>
      </c>
      <c r="L2402" s="16" t="str">
        <f aca="false">IF(B2402="","",IF(A2402=_xlfn.MAXIFS($A$2:$A$5001,$B$2:$B$5001,B2402,$I$2:$I$5001,I2402),1,0))</f>
        <v/>
      </c>
    </row>
    <row r="2403" customFormat="false" ht="15" hidden="false" customHeight="false" outlineLevel="0" collapsed="false">
      <c r="I2403" s="15" t="str">
        <f aca="false">IF(A2403="","",INT(A2403))</f>
        <v/>
      </c>
      <c r="J2403" s="16" t="str">
        <f aca="false">IF(B2403="","",IF(A2403=_xlfn.MINIFS($A$2:$A$5001,$B$2:$B$5001,B2403),1,0))</f>
        <v/>
      </c>
      <c r="K2403" s="16" t="str">
        <f aca="false">IF(B2403="","",IF(AND(D2403="Formalização",E2403="Concluído"),IF(COUNTIFS($B$2:$B$5001,B2403,$E$2:$E$5001,"Em ajustes",$A$2:$A$5001,"&lt;"&amp;I2403)&gt;0,1,0),0))</f>
        <v/>
      </c>
      <c r="L2403" s="16" t="str">
        <f aca="false">IF(B2403="","",IF(A2403=_xlfn.MAXIFS($A$2:$A$5001,$B$2:$B$5001,B2403,$I$2:$I$5001,I2403),1,0))</f>
        <v/>
      </c>
    </row>
    <row r="2404" customFormat="false" ht="15" hidden="false" customHeight="false" outlineLevel="0" collapsed="false">
      <c r="I2404" s="15" t="str">
        <f aca="false">IF(A2404="","",INT(A2404))</f>
        <v/>
      </c>
      <c r="J2404" s="16" t="str">
        <f aca="false">IF(B2404="","",IF(A2404=_xlfn.MINIFS($A$2:$A$5001,$B$2:$B$5001,B2404),1,0))</f>
        <v/>
      </c>
      <c r="K2404" s="16" t="str">
        <f aca="false">IF(B2404="","",IF(AND(D2404="Formalização",E2404="Concluído"),IF(COUNTIFS($B$2:$B$5001,B2404,$E$2:$E$5001,"Em ajustes",$A$2:$A$5001,"&lt;"&amp;I2404)&gt;0,1,0),0))</f>
        <v/>
      </c>
      <c r="L2404" s="16" t="str">
        <f aca="false">IF(B2404="","",IF(A2404=_xlfn.MAXIFS($A$2:$A$5001,$B$2:$B$5001,B2404,$I$2:$I$5001,I2404),1,0))</f>
        <v/>
      </c>
    </row>
    <row r="2405" customFormat="false" ht="15" hidden="false" customHeight="false" outlineLevel="0" collapsed="false">
      <c r="I2405" s="15" t="str">
        <f aca="false">IF(A2405="","",INT(A2405))</f>
        <v/>
      </c>
      <c r="J2405" s="16" t="str">
        <f aca="false">IF(B2405="","",IF(A2405=_xlfn.MINIFS($A$2:$A$5001,$B$2:$B$5001,B2405),1,0))</f>
        <v/>
      </c>
      <c r="K2405" s="16" t="str">
        <f aca="false">IF(B2405="","",IF(AND(D2405="Formalização",E2405="Concluído"),IF(COUNTIFS($B$2:$B$5001,B2405,$E$2:$E$5001,"Em ajustes",$A$2:$A$5001,"&lt;"&amp;I2405)&gt;0,1,0),0))</f>
        <v/>
      </c>
      <c r="L2405" s="16" t="str">
        <f aca="false">IF(B2405="","",IF(A2405=_xlfn.MAXIFS($A$2:$A$5001,$B$2:$B$5001,B2405,$I$2:$I$5001,I2405),1,0))</f>
        <v/>
      </c>
    </row>
    <row r="2406" customFormat="false" ht="15" hidden="false" customHeight="false" outlineLevel="0" collapsed="false">
      <c r="I2406" s="15" t="str">
        <f aca="false">IF(A2406="","",INT(A2406))</f>
        <v/>
      </c>
      <c r="J2406" s="16" t="str">
        <f aca="false">IF(B2406="","",IF(A2406=_xlfn.MINIFS($A$2:$A$5001,$B$2:$B$5001,B2406),1,0))</f>
        <v/>
      </c>
      <c r="K2406" s="16" t="str">
        <f aca="false">IF(B2406="","",IF(AND(D2406="Formalização",E2406="Concluído"),IF(COUNTIFS($B$2:$B$5001,B2406,$E$2:$E$5001,"Em ajustes",$A$2:$A$5001,"&lt;"&amp;I2406)&gt;0,1,0),0))</f>
        <v/>
      </c>
      <c r="L2406" s="16" t="str">
        <f aca="false">IF(B2406="","",IF(A2406=_xlfn.MAXIFS($A$2:$A$5001,$B$2:$B$5001,B2406,$I$2:$I$5001,I2406),1,0))</f>
        <v/>
      </c>
    </row>
    <row r="2407" customFormat="false" ht="15" hidden="false" customHeight="false" outlineLevel="0" collapsed="false">
      <c r="I2407" s="15" t="str">
        <f aca="false">IF(A2407="","",INT(A2407))</f>
        <v/>
      </c>
      <c r="J2407" s="16" t="str">
        <f aca="false">IF(B2407="","",IF(A2407=_xlfn.MINIFS($A$2:$A$5001,$B$2:$B$5001,B2407),1,0))</f>
        <v/>
      </c>
      <c r="K2407" s="16" t="str">
        <f aca="false">IF(B2407="","",IF(AND(D2407="Formalização",E2407="Concluído"),IF(COUNTIFS($B$2:$B$5001,B2407,$E$2:$E$5001,"Em ajustes",$A$2:$A$5001,"&lt;"&amp;I2407)&gt;0,1,0),0))</f>
        <v/>
      </c>
      <c r="L2407" s="16" t="str">
        <f aca="false">IF(B2407="","",IF(A2407=_xlfn.MAXIFS($A$2:$A$5001,$B$2:$B$5001,B2407,$I$2:$I$5001,I2407),1,0))</f>
        <v/>
      </c>
    </row>
    <row r="2408" customFormat="false" ht="15" hidden="false" customHeight="false" outlineLevel="0" collapsed="false">
      <c r="I2408" s="15" t="str">
        <f aca="false">IF(A2408="","",INT(A2408))</f>
        <v/>
      </c>
      <c r="J2408" s="16" t="str">
        <f aca="false">IF(B2408="","",IF(A2408=_xlfn.MINIFS($A$2:$A$5001,$B$2:$B$5001,B2408),1,0))</f>
        <v/>
      </c>
      <c r="K2408" s="16" t="str">
        <f aca="false">IF(B2408="","",IF(AND(D2408="Formalização",E2408="Concluído"),IF(COUNTIFS($B$2:$B$5001,B2408,$E$2:$E$5001,"Em ajustes",$A$2:$A$5001,"&lt;"&amp;I2408)&gt;0,1,0),0))</f>
        <v/>
      </c>
      <c r="L2408" s="16" t="str">
        <f aca="false">IF(B2408="","",IF(A2408=_xlfn.MAXIFS($A$2:$A$5001,$B$2:$B$5001,B2408,$I$2:$I$5001,I2408),1,0))</f>
        <v/>
      </c>
    </row>
    <row r="2409" customFormat="false" ht="15" hidden="false" customHeight="false" outlineLevel="0" collapsed="false">
      <c r="I2409" s="15" t="str">
        <f aca="false">IF(A2409="","",INT(A2409))</f>
        <v/>
      </c>
      <c r="J2409" s="16" t="str">
        <f aca="false">IF(B2409="","",IF(A2409=_xlfn.MINIFS($A$2:$A$5001,$B$2:$B$5001,B2409),1,0))</f>
        <v/>
      </c>
      <c r="K2409" s="16" t="str">
        <f aca="false">IF(B2409="","",IF(AND(D2409="Formalização",E2409="Concluído"),IF(COUNTIFS($B$2:$B$5001,B2409,$E$2:$E$5001,"Em ajustes",$A$2:$A$5001,"&lt;"&amp;I2409)&gt;0,1,0),0))</f>
        <v/>
      </c>
      <c r="L2409" s="16" t="str">
        <f aca="false">IF(B2409="","",IF(A2409=_xlfn.MAXIFS($A$2:$A$5001,$B$2:$B$5001,B2409,$I$2:$I$5001,I2409),1,0))</f>
        <v/>
      </c>
    </row>
    <row r="2410" customFormat="false" ht="15" hidden="false" customHeight="false" outlineLevel="0" collapsed="false">
      <c r="I2410" s="15" t="str">
        <f aca="false">IF(A2410="","",INT(A2410))</f>
        <v/>
      </c>
      <c r="J2410" s="16" t="str">
        <f aca="false">IF(B2410="","",IF(A2410=_xlfn.MINIFS($A$2:$A$5001,$B$2:$B$5001,B2410),1,0))</f>
        <v/>
      </c>
      <c r="K2410" s="16" t="str">
        <f aca="false">IF(B2410="","",IF(AND(D2410="Formalização",E2410="Concluído"),IF(COUNTIFS($B$2:$B$5001,B2410,$E$2:$E$5001,"Em ajustes",$A$2:$A$5001,"&lt;"&amp;I2410)&gt;0,1,0),0))</f>
        <v/>
      </c>
      <c r="L2410" s="16" t="str">
        <f aca="false">IF(B2410="","",IF(A2410=_xlfn.MAXIFS($A$2:$A$5001,$B$2:$B$5001,B2410,$I$2:$I$5001,I2410),1,0))</f>
        <v/>
      </c>
    </row>
    <row r="2411" customFormat="false" ht="15" hidden="false" customHeight="false" outlineLevel="0" collapsed="false">
      <c r="I2411" s="15" t="str">
        <f aca="false">IF(A2411="","",INT(A2411))</f>
        <v/>
      </c>
      <c r="J2411" s="16" t="str">
        <f aca="false">IF(B2411="","",IF(A2411=_xlfn.MINIFS($A$2:$A$5001,$B$2:$B$5001,B2411),1,0))</f>
        <v/>
      </c>
      <c r="K2411" s="16" t="str">
        <f aca="false">IF(B2411="","",IF(AND(D2411="Formalização",E2411="Concluído"),IF(COUNTIFS($B$2:$B$5001,B2411,$E$2:$E$5001,"Em ajustes",$A$2:$A$5001,"&lt;"&amp;I2411)&gt;0,1,0),0))</f>
        <v/>
      </c>
      <c r="L2411" s="16" t="str">
        <f aca="false">IF(B2411="","",IF(A2411=_xlfn.MAXIFS($A$2:$A$5001,$B$2:$B$5001,B2411,$I$2:$I$5001,I2411),1,0))</f>
        <v/>
      </c>
    </row>
    <row r="2412" customFormat="false" ht="15" hidden="false" customHeight="false" outlineLevel="0" collapsed="false">
      <c r="I2412" s="15" t="str">
        <f aca="false">IF(A2412="","",INT(A2412))</f>
        <v/>
      </c>
      <c r="J2412" s="16" t="str">
        <f aca="false">IF(B2412="","",IF(A2412=_xlfn.MINIFS($A$2:$A$5001,$B$2:$B$5001,B2412),1,0))</f>
        <v/>
      </c>
      <c r="K2412" s="16" t="str">
        <f aca="false">IF(B2412="","",IF(AND(D2412="Formalização",E2412="Concluído"),IF(COUNTIFS($B$2:$B$5001,B2412,$E$2:$E$5001,"Em ajustes",$A$2:$A$5001,"&lt;"&amp;I2412)&gt;0,1,0),0))</f>
        <v/>
      </c>
      <c r="L2412" s="16" t="str">
        <f aca="false">IF(B2412="","",IF(A2412=_xlfn.MAXIFS($A$2:$A$5001,$B$2:$B$5001,B2412,$I$2:$I$5001,I2412),1,0))</f>
        <v/>
      </c>
    </row>
    <row r="2413" customFormat="false" ht="15" hidden="false" customHeight="false" outlineLevel="0" collapsed="false">
      <c r="I2413" s="15" t="str">
        <f aca="false">IF(A2413="","",INT(A2413))</f>
        <v/>
      </c>
      <c r="J2413" s="16" t="str">
        <f aca="false">IF(B2413="","",IF(A2413=_xlfn.MINIFS($A$2:$A$5001,$B$2:$B$5001,B2413),1,0))</f>
        <v/>
      </c>
      <c r="K2413" s="16" t="str">
        <f aca="false">IF(B2413="","",IF(AND(D2413="Formalização",E2413="Concluído"),IF(COUNTIFS($B$2:$B$5001,B2413,$E$2:$E$5001,"Em ajustes",$A$2:$A$5001,"&lt;"&amp;I2413)&gt;0,1,0),0))</f>
        <v/>
      </c>
      <c r="L2413" s="16" t="str">
        <f aca="false">IF(B2413="","",IF(A2413=_xlfn.MAXIFS($A$2:$A$5001,$B$2:$B$5001,B2413,$I$2:$I$5001,I2413),1,0))</f>
        <v/>
      </c>
    </row>
    <row r="2414" customFormat="false" ht="15" hidden="false" customHeight="false" outlineLevel="0" collapsed="false">
      <c r="I2414" s="15" t="str">
        <f aca="false">IF(A2414="","",INT(A2414))</f>
        <v/>
      </c>
      <c r="J2414" s="16" t="str">
        <f aca="false">IF(B2414="","",IF(A2414=_xlfn.MINIFS($A$2:$A$5001,$B$2:$B$5001,B2414),1,0))</f>
        <v/>
      </c>
      <c r="K2414" s="16" t="str">
        <f aca="false">IF(B2414="","",IF(AND(D2414="Formalização",E2414="Concluído"),IF(COUNTIFS($B$2:$B$5001,B2414,$E$2:$E$5001,"Em ajustes",$A$2:$A$5001,"&lt;"&amp;I2414)&gt;0,1,0),0))</f>
        <v/>
      </c>
      <c r="L2414" s="16" t="str">
        <f aca="false">IF(B2414="","",IF(A2414=_xlfn.MAXIFS($A$2:$A$5001,$B$2:$B$5001,B2414,$I$2:$I$5001,I2414),1,0))</f>
        <v/>
      </c>
    </row>
    <row r="2415" customFormat="false" ht="15" hidden="false" customHeight="false" outlineLevel="0" collapsed="false">
      <c r="I2415" s="15" t="str">
        <f aca="false">IF(A2415="","",INT(A2415))</f>
        <v/>
      </c>
      <c r="J2415" s="16" t="str">
        <f aca="false">IF(B2415="","",IF(A2415=_xlfn.MINIFS($A$2:$A$5001,$B$2:$B$5001,B2415),1,0))</f>
        <v/>
      </c>
      <c r="K2415" s="16" t="str">
        <f aca="false">IF(B2415="","",IF(AND(D2415="Formalização",E2415="Concluído"),IF(COUNTIFS($B$2:$B$5001,B2415,$E$2:$E$5001,"Em ajustes",$A$2:$A$5001,"&lt;"&amp;I2415)&gt;0,1,0),0))</f>
        <v/>
      </c>
      <c r="L2415" s="16" t="str">
        <f aca="false">IF(B2415="","",IF(A2415=_xlfn.MAXIFS($A$2:$A$5001,$B$2:$B$5001,B2415,$I$2:$I$5001,I2415),1,0))</f>
        <v/>
      </c>
    </row>
    <row r="2416" customFormat="false" ht="15" hidden="false" customHeight="false" outlineLevel="0" collapsed="false">
      <c r="I2416" s="15" t="str">
        <f aca="false">IF(A2416="","",INT(A2416))</f>
        <v/>
      </c>
      <c r="J2416" s="16" t="str">
        <f aca="false">IF(B2416="","",IF(A2416=_xlfn.MINIFS($A$2:$A$5001,$B$2:$B$5001,B2416),1,0))</f>
        <v/>
      </c>
      <c r="K2416" s="16" t="str">
        <f aca="false">IF(B2416="","",IF(AND(D2416="Formalização",E2416="Concluído"),IF(COUNTIFS($B$2:$B$5001,B2416,$E$2:$E$5001,"Em ajustes",$A$2:$A$5001,"&lt;"&amp;I2416)&gt;0,1,0),0))</f>
        <v/>
      </c>
      <c r="L2416" s="16" t="str">
        <f aca="false">IF(B2416="","",IF(A2416=_xlfn.MAXIFS($A$2:$A$5001,$B$2:$B$5001,B2416,$I$2:$I$5001,I2416),1,0))</f>
        <v/>
      </c>
    </row>
    <row r="2417" customFormat="false" ht="15" hidden="false" customHeight="false" outlineLevel="0" collapsed="false">
      <c r="I2417" s="15" t="str">
        <f aca="false">IF(A2417="","",INT(A2417))</f>
        <v/>
      </c>
      <c r="J2417" s="16" t="str">
        <f aca="false">IF(B2417="","",IF(A2417=_xlfn.MINIFS($A$2:$A$5001,$B$2:$B$5001,B2417),1,0))</f>
        <v/>
      </c>
      <c r="K2417" s="16" t="str">
        <f aca="false">IF(B2417="","",IF(AND(D2417="Formalização",E2417="Concluído"),IF(COUNTIFS($B$2:$B$5001,B2417,$E$2:$E$5001,"Em ajustes",$A$2:$A$5001,"&lt;"&amp;I2417)&gt;0,1,0),0))</f>
        <v/>
      </c>
      <c r="L2417" s="16" t="str">
        <f aca="false">IF(B2417="","",IF(A2417=_xlfn.MAXIFS($A$2:$A$5001,$B$2:$B$5001,B2417,$I$2:$I$5001,I2417),1,0))</f>
        <v/>
      </c>
    </row>
    <row r="2418" customFormat="false" ht="15" hidden="false" customHeight="false" outlineLevel="0" collapsed="false">
      <c r="I2418" s="15" t="str">
        <f aca="false">IF(A2418="","",INT(A2418))</f>
        <v/>
      </c>
      <c r="J2418" s="16" t="str">
        <f aca="false">IF(B2418="","",IF(A2418=_xlfn.MINIFS($A$2:$A$5001,$B$2:$B$5001,B2418),1,0))</f>
        <v/>
      </c>
      <c r="K2418" s="16" t="str">
        <f aca="false">IF(B2418="","",IF(AND(D2418="Formalização",E2418="Concluído"),IF(COUNTIFS($B$2:$B$5001,B2418,$E$2:$E$5001,"Em ajustes",$A$2:$A$5001,"&lt;"&amp;I2418)&gt;0,1,0),0))</f>
        <v/>
      </c>
      <c r="L2418" s="16" t="str">
        <f aca="false">IF(B2418="","",IF(A2418=_xlfn.MAXIFS($A$2:$A$5001,$B$2:$B$5001,B2418,$I$2:$I$5001,I2418),1,0))</f>
        <v/>
      </c>
    </row>
    <row r="2419" customFormat="false" ht="15" hidden="false" customHeight="false" outlineLevel="0" collapsed="false">
      <c r="I2419" s="15" t="str">
        <f aca="false">IF(A2419="","",INT(A2419))</f>
        <v/>
      </c>
      <c r="J2419" s="16" t="str">
        <f aca="false">IF(B2419="","",IF(A2419=_xlfn.MINIFS($A$2:$A$5001,$B$2:$B$5001,B2419),1,0))</f>
        <v/>
      </c>
      <c r="K2419" s="16" t="str">
        <f aca="false">IF(B2419="","",IF(AND(D2419="Formalização",E2419="Concluído"),IF(COUNTIFS($B$2:$B$5001,B2419,$E$2:$E$5001,"Em ajustes",$A$2:$A$5001,"&lt;"&amp;I2419)&gt;0,1,0),0))</f>
        <v/>
      </c>
      <c r="L2419" s="16" t="str">
        <f aca="false">IF(B2419="","",IF(A2419=_xlfn.MAXIFS($A$2:$A$5001,$B$2:$B$5001,B2419,$I$2:$I$5001,I2419),1,0))</f>
        <v/>
      </c>
    </row>
    <row r="2420" customFormat="false" ht="15" hidden="false" customHeight="false" outlineLevel="0" collapsed="false">
      <c r="I2420" s="15" t="str">
        <f aca="false">IF(A2420="","",INT(A2420))</f>
        <v/>
      </c>
      <c r="J2420" s="16" t="str">
        <f aca="false">IF(B2420="","",IF(A2420=_xlfn.MINIFS($A$2:$A$5001,$B$2:$B$5001,B2420),1,0))</f>
        <v/>
      </c>
      <c r="K2420" s="16" t="str">
        <f aca="false">IF(B2420="","",IF(AND(D2420="Formalização",E2420="Concluído"),IF(COUNTIFS($B$2:$B$5001,B2420,$E$2:$E$5001,"Em ajustes",$A$2:$A$5001,"&lt;"&amp;I2420)&gt;0,1,0),0))</f>
        <v/>
      </c>
      <c r="L2420" s="16" t="str">
        <f aca="false">IF(B2420="","",IF(A2420=_xlfn.MAXIFS($A$2:$A$5001,$B$2:$B$5001,B2420,$I$2:$I$5001,I2420),1,0))</f>
        <v/>
      </c>
    </row>
    <row r="2421" customFormat="false" ht="15" hidden="false" customHeight="false" outlineLevel="0" collapsed="false">
      <c r="I2421" s="15" t="str">
        <f aca="false">IF(A2421="","",INT(A2421))</f>
        <v/>
      </c>
      <c r="J2421" s="16" t="str">
        <f aca="false">IF(B2421="","",IF(A2421=_xlfn.MINIFS($A$2:$A$5001,$B$2:$B$5001,B2421),1,0))</f>
        <v/>
      </c>
      <c r="K2421" s="16" t="str">
        <f aca="false">IF(B2421="","",IF(AND(D2421="Formalização",E2421="Concluído"),IF(COUNTIFS($B$2:$B$5001,B2421,$E$2:$E$5001,"Em ajustes",$A$2:$A$5001,"&lt;"&amp;I2421)&gt;0,1,0),0))</f>
        <v/>
      </c>
      <c r="L2421" s="16" t="str">
        <f aca="false">IF(B2421="","",IF(A2421=_xlfn.MAXIFS($A$2:$A$5001,$B$2:$B$5001,B2421,$I$2:$I$5001,I2421),1,0))</f>
        <v/>
      </c>
    </row>
    <row r="2422" customFormat="false" ht="15" hidden="false" customHeight="false" outlineLevel="0" collapsed="false">
      <c r="I2422" s="15" t="str">
        <f aca="false">IF(A2422="","",INT(A2422))</f>
        <v/>
      </c>
      <c r="J2422" s="16" t="str">
        <f aca="false">IF(B2422="","",IF(A2422=_xlfn.MINIFS($A$2:$A$5001,$B$2:$B$5001,B2422),1,0))</f>
        <v/>
      </c>
      <c r="K2422" s="16" t="str">
        <f aca="false">IF(B2422="","",IF(AND(D2422="Formalização",E2422="Concluído"),IF(COUNTIFS($B$2:$B$5001,B2422,$E$2:$E$5001,"Em ajustes",$A$2:$A$5001,"&lt;"&amp;I2422)&gt;0,1,0),0))</f>
        <v/>
      </c>
      <c r="L2422" s="16" t="str">
        <f aca="false">IF(B2422="","",IF(A2422=_xlfn.MAXIFS($A$2:$A$5001,$B$2:$B$5001,B2422,$I$2:$I$5001,I2422),1,0))</f>
        <v/>
      </c>
    </row>
    <row r="2423" customFormat="false" ht="15" hidden="false" customHeight="false" outlineLevel="0" collapsed="false">
      <c r="I2423" s="15" t="str">
        <f aca="false">IF(A2423="","",INT(A2423))</f>
        <v/>
      </c>
      <c r="J2423" s="16" t="str">
        <f aca="false">IF(B2423="","",IF(A2423=_xlfn.MINIFS($A$2:$A$5001,$B$2:$B$5001,B2423),1,0))</f>
        <v/>
      </c>
      <c r="K2423" s="16" t="str">
        <f aca="false">IF(B2423="","",IF(AND(D2423="Formalização",E2423="Concluído"),IF(COUNTIFS($B$2:$B$5001,B2423,$E$2:$E$5001,"Em ajustes",$A$2:$A$5001,"&lt;"&amp;I2423)&gt;0,1,0),0))</f>
        <v/>
      </c>
      <c r="L2423" s="16" t="str">
        <f aca="false">IF(B2423="","",IF(A2423=_xlfn.MAXIFS($A$2:$A$5001,$B$2:$B$5001,B2423,$I$2:$I$5001,I2423),1,0))</f>
        <v/>
      </c>
    </row>
    <row r="2424" customFormat="false" ht="15" hidden="false" customHeight="false" outlineLevel="0" collapsed="false">
      <c r="I2424" s="15" t="str">
        <f aca="false">IF(A2424="","",INT(A2424))</f>
        <v/>
      </c>
      <c r="J2424" s="16" t="str">
        <f aca="false">IF(B2424="","",IF(A2424=_xlfn.MINIFS($A$2:$A$5001,$B$2:$B$5001,B2424),1,0))</f>
        <v/>
      </c>
      <c r="K2424" s="16" t="str">
        <f aca="false">IF(B2424="","",IF(AND(D2424="Formalização",E2424="Concluído"),IF(COUNTIFS($B$2:$B$5001,B2424,$E$2:$E$5001,"Em ajustes",$A$2:$A$5001,"&lt;"&amp;I2424)&gt;0,1,0),0))</f>
        <v/>
      </c>
      <c r="L2424" s="16" t="str">
        <f aca="false">IF(B2424="","",IF(A2424=_xlfn.MAXIFS($A$2:$A$5001,$B$2:$B$5001,B2424,$I$2:$I$5001,I2424),1,0))</f>
        <v/>
      </c>
    </row>
    <row r="2425" customFormat="false" ht="15" hidden="false" customHeight="false" outlineLevel="0" collapsed="false">
      <c r="I2425" s="15" t="str">
        <f aca="false">IF(A2425="","",INT(A2425))</f>
        <v/>
      </c>
      <c r="J2425" s="16" t="str">
        <f aca="false">IF(B2425="","",IF(A2425=_xlfn.MINIFS($A$2:$A$5001,$B$2:$B$5001,B2425),1,0))</f>
        <v/>
      </c>
      <c r="K2425" s="16" t="str">
        <f aca="false">IF(B2425="","",IF(AND(D2425="Formalização",E2425="Concluído"),IF(COUNTIFS($B$2:$B$5001,B2425,$E$2:$E$5001,"Em ajustes",$A$2:$A$5001,"&lt;"&amp;I2425)&gt;0,1,0),0))</f>
        <v/>
      </c>
      <c r="L2425" s="16" t="str">
        <f aca="false">IF(B2425="","",IF(A2425=_xlfn.MAXIFS($A$2:$A$5001,$B$2:$B$5001,B2425,$I$2:$I$5001,I2425),1,0))</f>
        <v/>
      </c>
    </row>
    <row r="2426" customFormat="false" ht="15" hidden="false" customHeight="false" outlineLevel="0" collapsed="false">
      <c r="I2426" s="15" t="str">
        <f aca="false">IF(A2426="","",INT(A2426))</f>
        <v/>
      </c>
      <c r="J2426" s="16" t="str">
        <f aca="false">IF(B2426="","",IF(A2426=_xlfn.MINIFS($A$2:$A$5001,$B$2:$B$5001,B2426),1,0))</f>
        <v/>
      </c>
      <c r="K2426" s="16" t="str">
        <f aca="false">IF(B2426="","",IF(AND(D2426="Formalização",E2426="Concluído"),IF(COUNTIFS($B$2:$B$5001,B2426,$E$2:$E$5001,"Em ajustes",$A$2:$A$5001,"&lt;"&amp;I2426)&gt;0,1,0),0))</f>
        <v/>
      </c>
      <c r="L2426" s="16" t="str">
        <f aca="false">IF(B2426="","",IF(A2426=_xlfn.MAXIFS($A$2:$A$5001,$B$2:$B$5001,B2426,$I$2:$I$5001,I2426),1,0))</f>
        <v/>
      </c>
    </row>
    <row r="2427" customFormat="false" ht="15" hidden="false" customHeight="false" outlineLevel="0" collapsed="false">
      <c r="I2427" s="15" t="str">
        <f aca="false">IF(A2427="","",INT(A2427))</f>
        <v/>
      </c>
      <c r="J2427" s="16" t="str">
        <f aca="false">IF(B2427="","",IF(A2427=_xlfn.MINIFS($A$2:$A$5001,$B$2:$B$5001,B2427),1,0))</f>
        <v/>
      </c>
      <c r="K2427" s="16" t="str">
        <f aca="false">IF(B2427="","",IF(AND(D2427="Formalização",E2427="Concluído"),IF(COUNTIFS($B$2:$B$5001,B2427,$E$2:$E$5001,"Em ajustes",$A$2:$A$5001,"&lt;"&amp;I2427)&gt;0,1,0),0))</f>
        <v/>
      </c>
      <c r="L2427" s="16" t="str">
        <f aca="false">IF(B2427="","",IF(A2427=_xlfn.MAXIFS($A$2:$A$5001,$B$2:$B$5001,B2427,$I$2:$I$5001,I2427),1,0))</f>
        <v/>
      </c>
    </row>
    <row r="2428" customFormat="false" ht="15" hidden="false" customHeight="false" outlineLevel="0" collapsed="false">
      <c r="I2428" s="15" t="str">
        <f aca="false">IF(A2428="","",INT(A2428))</f>
        <v/>
      </c>
      <c r="J2428" s="16" t="str">
        <f aca="false">IF(B2428="","",IF(A2428=_xlfn.MINIFS($A$2:$A$5001,$B$2:$B$5001,B2428),1,0))</f>
        <v/>
      </c>
      <c r="K2428" s="16" t="str">
        <f aca="false">IF(B2428="","",IF(AND(D2428="Formalização",E2428="Concluído"),IF(COUNTIFS($B$2:$B$5001,B2428,$E$2:$E$5001,"Em ajustes",$A$2:$A$5001,"&lt;"&amp;I2428)&gt;0,1,0),0))</f>
        <v/>
      </c>
      <c r="L2428" s="16" t="str">
        <f aca="false">IF(B2428="","",IF(A2428=_xlfn.MAXIFS($A$2:$A$5001,$B$2:$B$5001,B2428,$I$2:$I$5001,I2428),1,0))</f>
        <v/>
      </c>
    </row>
    <row r="2429" customFormat="false" ht="15" hidden="false" customHeight="false" outlineLevel="0" collapsed="false">
      <c r="I2429" s="15" t="str">
        <f aca="false">IF(A2429="","",INT(A2429))</f>
        <v/>
      </c>
      <c r="J2429" s="16" t="str">
        <f aca="false">IF(B2429="","",IF(A2429=_xlfn.MINIFS($A$2:$A$5001,$B$2:$B$5001,B2429),1,0))</f>
        <v/>
      </c>
      <c r="K2429" s="16" t="str">
        <f aca="false">IF(B2429="","",IF(AND(D2429="Formalização",E2429="Concluído"),IF(COUNTIFS($B$2:$B$5001,B2429,$E$2:$E$5001,"Em ajustes",$A$2:$A$5001,"&lt;"&amp;I2429)&gt;0,1,0),0))</f>
        <v/>
      </c>
      <c r="L2429" s="16" t="str">
        <f aca="false">IF(B2429="","",IF(A2429=_xlfn.MAXIFS($A$2:$A$5001,$B$2:$B$5001,B2429,$I$2:$I$5001,I2429),1,0))</f>
        <v/>
      </c>
    </row>
    <row r="2430" customFormat="false" ht="15" hidden="false" customHeight="false" outlineLevel="0" collapsed="false">
      <c r="I2430" s="15" t="str">
        <f aca="false">IF(A2430="","",INT(A2430))</f>
        <v/>
      </c>
      <c r="J2430" s="16" t="str">
        <f aca="false">IF(B2430="","",IF(A2430=_xlfn.MINIFS($A$2:$A$5001,$B$2:$B$5001,B2430),1,0))</f>
        <v/>
      </c>
      <c r="K2430" s="16" t="str">
        <f aca="false">IF(B2430="","",IF(AND(D2430="Formalização",E2430="Concluído"),IF(COUNTIFS($B$2:$B$5001,B2430,$E$2:$E$5001,"Em ajustes",$A$2:$A$5001,"&lt;"&amp;I2430)&gt;0,1,0),0))</f>
        <v/>
      </c>
      <c r="L2430" s="16" t="str">
        <f aca="false">IF(B2430="","",IF(A2430=_xlfn.MAXIFS($A$2:$A$5001,$B$2:$B$5001,B2430,$I$2:$I$5001,I2430),1,0))</f>
        <v/>
      </c>
    </row>
    <row r="2431" customFormat="false" ht="15" hidden="false" customHeight="false" outlineLevel="0" collapsed="false">
      <c r="I2431" s="15" t="str">
        <f aca="false">IF(A2431="","",INT(A2431))</f>
        <v/>
      </c>
      <c r="J2431" s="16" t="str">
        <f aca="false">IF(B2431="","",IF(A2431=_xlfn.MINIFS($A$2:$A$5001,$B$2:$B$5001,B2431),1,0))</f>
        <v/>
      </c>
      <c r="K2431" s="16" t="str">
        <f aca="false">IF(B2431="","",IF(AND(D2431="Formalização",E2431="Concluído"),IF(COUNTIFS($B$2:$B$5001,B2431,$E$2:$E$5001,"Em ajustes",$A$2:$A$5001,"&lt;"&amp;I2431)&gt;0,1,0),0))</f>
        <v/>
      </c>
      <c r="L2431" s="16" t="str">
        <f aca="false">IF(B2431="","",IF(A2431=_xlfn.MAXIFS($A$2:$A$5001,$B$2:$B$5001,B2431,$I$2:$I$5001,I2431),1,0))</f>
        <v/>
      </c>
    </row>
    <row r="2432" customFormat="false" ht="15" hidden="false" customHeight="false" outlineLevel="0" collapsed="false">
      <c r="I2432" s="15" t="str">
        <f aca="false">IF(A2432="","",INT(A2432))</f>
        <v/>
      </c>
      <c r="J2432" s="16" t="str">
        <f aca="false">IF(B2432="","",IF(A2432=_xlfn.MINIFS($A$2:$A$5001,$B$2:$B$5001,B2432),1,0))</f>
        <v/>
      </c>
      <c r="K2432" s="16" t="str">
        <f aca="false">IF(B2432="","",IF(AND(D2432="Formalização",E2432="Concluído"),IF(COUNTIFS($B$2:$B$5001,B2432,$E$2:$E$5001,"Em ajustes",$A$2:$A$5001,"&lt;"&amp;I2432)&gt;0,1,0),0))</f>
        <v/>
      </c>
      <c r="L2432" s="16" t="str">
        <f aca="false">IF(B2432="","",IF(A2432=_xlfn.MAXIFS($A$2:$A$5001,$B$2:$B$5001,B2432,$I$2:$I$5001,I2432),1,0))</f>
        <v/>
      </c>
    </row>
    <row r="2433" customFormat="false" ht="15" hidden="false" customHeight="false" outlineLevel="0" collapsed="false">
      <c r="I2433" s="15" t="str">
        <f aca="false">IF(A2433="","",INT(A2433))</f>
        <v/>
      </c>
      <c r="J2433" s="16" t="str">
        <f aca="false">IF(B2433="","",IF(A2433=_xlfn.MINIFS($A$2:$A$5001,$B$2:$B$5001,B2433),1,0))</f>
        <v/>
      </c>
      <c r="K2433" s="16" t="str">
        <f aca="false">IF(B2433="","",IF(AND(D2433="Formalização",E2433="Concluído"),IF(COUNTIFS($B$2:$B$5001,B2433,$E$2:$E$5001,"Em ajustes",$A$2:$A$5001,"&lt;"&amp;I2433)&gt;0,1,0),0))</f>
        <v/>
      </c>
      <c r="L2433" s="16" t="str">
        <f aca="false">IF(B2433="","",IF(A2433=_xlfn.MAXIFS($A$2:$A$5001,$B$2:$B$5001,B2433,$I$2:$I$5001,I2433),1,0))</f>
        <v/>
      </c>
    </row>
    <row r="2434" customFormat="false" ht="15" hidden="false" customHeight="false" outlineLevel="0" collapsed="false">
      <c r="I2434" s="15" t="str">
        <f aca="false">IF(A2434="","",INT(A2434))</f>
        <v/>
      </c>
      <c r="J2434" s="16" t="str">
        <f aca="false">IF(B2434="","",IF(A2434=_xlfn.MINIFS($A$2:$A$5001,$B$2:$B$5001,B2434),1,0))</f>
        <v/>
      </c>
      <c r="K2434" s="16" t="str">
        <f aca="false">IF(B2434="","",IF(AND(D2434="Formalização",E2434="Concluído"),IF(COUNTIFS($B$2:$B$5001,B2434,$E$2:$E$5001,"Em ajustes",$A$2:$A$5001,"&lt;"&amp;I2434)&gt;0,1,0),0))</f>
        <v/>
      </c>
      <c r="L2434" s="16" t="str">
        <f aca="false">IF(B2434="","",IF(A2434=_xlfn.MAXIFS($A$2:$A$5001,$B$2:$B$5001,B2434,$I$2:$I$5001,I2434),1,0))</f>
        <v/>
      </c>
    </row>
    <row r="2435" customFormat="false" ht="15" hidden="false" customHeight="false" outlineLevel="0" collapsed="false">
      <c r="I2435" s="15" t="str">
        <f aca="false">IF(A2435="","",INT(A2435))</f>
        <v/>
      </c>
      <c r="J2435" s="16" t="str">
        <f aca="false">IF(B2435="","",IF(A2435=_xlfn.MINIFS($A$2:$A$5001,$B$2:$B$5001,B2435),1,0))</f>
        <v/>
      </c>
      <c r="K2435" s="16" t="str">
        <f aca="false">IF(B2435="","",IF(AND(D2435="Formalização",E2435="Concluído"),IF(COUNTIFS($B$2:$B$5001,B2435,$E$2:$E$5001,"Em ajustes",$A$2:$A$5001,"&lt;"&amp;I2435)&gt;0,1,0),0))</f>
        <v/>
      </c>
      <c r="L2435" s="16" t="str">
        <f aca="false">IF(B2435="","",IF(A2435=_xlfn.MAXIFS($A$2:$A$5001,$B$2:$B$5001,B2435,$I$2:$I$5001,I2435),1,0))</f>
        <v/>
      </c>
    </row>
    <row r="2436" customFormat="false" ht="15" hidden="false" customHeight="false" outlineLevel="0" collapsed="false">
      <c r="I2436" s="15" t="str">
        <f aca="false">IF(A2436="","",INT(A2436))</f>
        <v/>
      </c>
      <c r="J2436" s="16" t="str">
        <f aca="false">IF(B2436="","",IF(A2436=_xlfn.MINIFS($A$2:$A$5001,$B$2:$B$5001,B2436),1,0))</f>
        <v/>
      </c>
      <c r="K2436" s="16" t="str">
        <f aca="false">IF(B2436="","",IF(AND(D2436="Formalização",E2436="Concluído"),IF(COUNTIFS($B$2:$B$5001,B2436,$E$2:$E$5001,"Em ajustes",$A$2:$A$5001,"&lt;"&amp;I2436)&gt;0,1,0),0))</f>
        <v/>
      </c>
      <c r="L2436" s="16" t="str">
        <f aca="false">IF(B2436="","",IF(A2436=_xlfn.MAXIFS($A$2:$A$5001,$B$2:$B$5001,B2436,$I$2:$I$5001,I2436),1,0))</f>
        <v/>
      </c>
    </row>
    <row r="2437" customFormat="false" ht="15" hidden="false" customHeight="false" outlineLevel="0" collapsed="false">
      <c r="I2437" s="15" t="str">
        <f aca="false">IF(A2437="","",INT(A2437))</f>
        <v/>
      </c>
      <c r="J2437" s="16" t="str">
        <f aca="false">IF(B2437="","",IF(A2437=_xlfn.MINIFS($A$2:$A$5001,$B$2:$B$5001,B2437),1,0))</f>
        <v/>
      </c>
      <c r="K2437" s="16" t="str">
        <f aca="false">IF(B2437="","",IF(AND(D2437="Formalização",E2437="Concluído"),IF(COUNTIFS($B$2:$B$5001,B2437,$E$2:$E$5001,"Em ajustes",$A$2:$A$5001,"&lt;"&amp;I2437)&gt;0,1,0),0))</f>
        <v/>
      </c>
      <c r="L2437" s="16" t="str">
        <f aca="false">IF(B2437="","",IF(A2437=_xlfn.MAXIFS($A$2:$A$5001,$B$2:$B$5001,B2437,$I$2:$I$5001,I2437),1,0))</f>
        <v/>
      </c>
    </row>
    <row r="2438" customFormat="false" ht="15" hidden="false" customHeight="false" outlineLevel="0" collapsed="false">
      <c r="I2438" s="15" t="str">
        <f aca="false">IF(A2438="","",INT(A2438))</f>
        <v/>
      </c>
      <c r="J2438" s="16" t="str">
        <f aca="false">IF(B2438="","",IF(A2438=_xlfn.MINIFS($A$2:$A$5001,$B$2:$B$5001,B2438),1,0))</f>
        <v/>
      </c>
      <c r="K2438" s="16" t="str">
        <f aca="false">IF(B2438="","",IF(AND(D2438="Formalização",E2438="Concluído"),IF(COUNTIFS($B$2:$B$5001,B2438,$E$2:$E$5001,"Em ajustes",$A$2:$A$5001,"&lt;"&amp;I2438)&gt;0,1,0),0))</f>
        <v/>
      </c>
      <c r="L2438" s="16" t="str">
        <f aca="false">IF(B2438="","",IF(A2438=_xlfn.MAXIFS($A$2:$A$5001,$B$2:$B$5001,B2438,$I$2:$I$5001,I2438),1,0))</f>
        <v/>
      </c>
    </row>
    <row r="2439" customFormat="false" ht="15" hidden="false" customHeight="false" outlineLevel="0" collapsed="false">
      <c r="I2439" s="15" t="str">
        <f aca="false">IF(A2439="","",INT(A2439))</f>
        <v/>
      </c>
      <c r="J2439" s="16" t="str">
        <f aca="false">IF(B2439="","",IF(A2439=_xlfn.MINIFS($A$2:$A$5001,$B$2:$B$5001,B2439),1,0))</f>
        <v/>
      </c>
      <c r="K2439" s="16" t="str">
        <f aca="false">IF(B2439="","",IF(AND(D2439="Formalização",E2439="Concluído"),IF(COUNTIFS($B$2:$B$5001,B2439,$E$2:$E$5001,"Em ajustes",$A$2:$A$5001,"&lt;"&amp;I2439)&gt;0,1,0),0))</f>
        <v/>
      </c>
      <c r="L2439" s="16" t="str">
        <f aca="false">IF(B2439="","",IF(A2439=_xlfn.MAXIFS($A$2:$A$5001,$B$2:$B$5001,B2439,$I$2:$I$5001,I2439),1,0))</f>
        <v/>
      </c>
    </row>
    <row r="2440" customFormat="false" ht="15" hidden="false" customHeight="false" outlineLevel="0" collapsed="false">
      <c r="I2440" s="15" t="str">
        <f aca="false">IF(A2440="","",INT(A2440))</f>
        <v/>
      </c>
      <c r="J2440" s="16" t="str">
        <f aca="false">IF(B2440="","",IF(A2440=_xlfn.MINIFS($A$2:$A$5001,$B$2:$B$5001,B2440),1,0))</f>
        <v/>
      </c>
      <c r="K2440" s="16" t="str">
        <f aca="false">IF(B2440="","",IF(AND(D2440="Formalização",E2440="Concluído"),IF(COUNTIFS($B$2:$B$5001,B2440,$E$2:$E$5001,"Em ajustes",$A$2:$A$5001,"&lt;"&amp;I2440)&gt;0,1,0),0))</f>
        <v/>
      </c>
      <c r="L2440" s="16" t="str">
        <f aca="false">IF(B2440="","",IF(A2440=_xlfn.MAXIFS($A$2:$A$5001,$B$2:$B$5001,B2440,$I$2:$I$5001,I2440),1,0))</f>
        <v/>
      </c>
    </row>
    <row r="2441" customFormat="false" ht="15" hidden="false" customHeight="false" outlineLevel="0" collapsed="false">
      <c r="I2441" s="15" t="str">
        <f aca="false">IF(A2441="","",INT(A2441))</f>
        <v/>
      </c>
      <c r="J2441" s="16" t="str">
        <f aca="false">IF(B2441="","",IF(A2441=_xlfn.MINIFS($A$2:$A$5001,$B$2:$B$5001,B2441),1,0))</f>
        <v/>
      </c>
      <c r="K2441" s="16" t="str">
        <f aca="false">IF(B2441="","",IF(AND(D2441="Formalização",E2441="Concluído"),IF(COUNTIFS($B$2:$B$5001,B2441,$E$2:$E$5001,"Em ajustes",$A$2:$A$5001,"&lt;"&amp;I2441)&gt;0,1,0),0))</f>
        <v/>
      </c>
      <c r="L2441" s="16" t="str">
        <f aca="false">IF(B2441="","",IF(A2441=_xlfn.MAXIFS($A$2:$A$5001,$B$2:$B$5001,B2441,$I$2:$I$5001,I2441),1,0))</f>
        <v/>
      </c>
    </row>
    <row r="2442" customFormat="false" ht="15" hidden="false" customHeight="false" outlineLevel="0" collapsed="false">
      <c r="I2442" s="15" t="str">
        <f aca="false">IF(A2442="","",INT(A2442))</f>
        <v/>
      </c>
      <c r="J2442" s="16" t="str">
        <f aca="false">IF(B2442="","",IF(A2442=_xlfn.MINIFS($A$2:$A$5001,$B$2:$B$5001,B2442),1,0))</f>
        <v/>
      </c>
      <c r="K2442" s="16" t="str">
        <f aca="false">IF(B2442="","",IF(AND(D2442="Formalização",E2442="Concluído"),IF(COUNTIFS($B$2:$B$5001,B2442,$E$2:$E$5001,"Em ajustes",$A$2:$A$5001,"&lt;"&amp;I2442)&gt;0,1,0),0))</f>
        <v/>
      </c>
      <c r="L2442" s="16" t="str">
        <f aca="false">IF(B2442="","",IF(A2442=_xlfn.MAXIFS($A$2:$A$5001,$B$2:$B$5001,B2442,$I$2:$I$5001,I2442),1,0))</f>
        <v/>
      </c>
    </row>
    <row r="2443" customFormat="false" ht="15" hidden="false" customHeight="false" outlineLevel="0" collapsed="false">
      <c r="I2443" s="15" t="str">
        <f aca="false">IF(A2443="","",INT(A2443))</f>
        <v/>
      </c>
      <c r="J2443" s="16" t="str">
        <f aca="false">IF(B2443="","",IF(A2443=_xlfn.MINIFS($A$2:$A$5001,$B$2:$B$5001,B2443),1,0))</f>
        <v/>
      </c>
      <c r="K2443" s="16" t="str">
        <f aca="false">IF(B2443="","",IF(AND(D2443="Formalização",E2443="Concluído"),IF(COUNTIFS($B$2:$B$5001,B2443,$E$2:$E$5001,"Em ajustes",$A$2:$A$5001,"&lt;"&amp;I2443)&gt;0,1,0),0))</f>
        <v/>
      </c>
      <c r="L2443" s="16" t="str">
        <f aca="false">IF(B2443="","",IF(A2443=_xlfn.MAXIFS($A$2:$A$5001,$B$2:$B$5001,B2443,$I$2:$I$5001,I2443),1,0))</f>
        <v/>
      </c>
    </row>
    <row r="2444" customFormat="false" ht="15" hidden="false" customHeight="false" outlineLevel="0" collapsed="false">
      <c r="I2444" s="15" t="str">
        <f aca="false">IF(A2444="","",INT(A2444))</f>
        <v/>
      </c>
      <c r="J2444" s="16" t="str">
        <f aca="false">IF(B2444="","",IF(A2444=_xlfn.MINIFS($A$2:$A$5001,$B$2:$B$5001,B2444),1,0))</f>
        <v/>
      </c>
      <c r="K2444" s="16" t="str">
        <f aca="false">IF(B2444="","",IF(AND(D2444="Formalização",E2444="Concluído"),IF(COUNTIFS($B$2:$B$5001,B2444,$E$2:$E$5001,"Em ajustes",$A$2:$A$5001,"&lt;"&amp;I2444)&gt;0,1,0),0))</f>
        <v/>
      </c>
      <c r="L2444" s="16" t="str">
        <f aca="false">IF(B2444="","",IF(A2444=_xlfn.MAXIFS($A$2:$A$5001,$B$2:$B$5001,B2444,$I$2:$I$5001,I2444),1,0))</f>
        <v/>
      </c>
    </row>
    <row r="2445" customFormat="false" ht="15" hidden="false" customHeight="false" outlineLevel="0" collapsed="false">
      <c r="I2445" s="15" t="str">
        <f aca="false">IF(A2445="","",INT(A2445))</f>
        <v/>
      </c>
      <c r="J2445" s="16" t="str">
        <f aca="false">IF(B2445="","",IF(A2445=_xlfn.MINIFS($A$2:$A$5001,$B$2:$B$5001,B2445),1,0))</f>
        <v/>
      </c>
      <c r="K2445" s="16" t="str">
        <f aca="false">IF(B2445="","",IF(AND(D2445="Formalização",E2445="Concluído"),IF(COUNTIFS($B$2:$B$5001,B2445,$E$2:$E$5001,"Em ajustes",$A$2:$A$5001,"&lt;"&amp;I2445)&gt;0,1,0),0))</f>
        <v/>
      </c>
      <c r="L2445" s="16" t="str">
        <f aca="false">IF(B2445="","",IF(A2445=_xlfn.MAXIFS($A$2:$A$5001,$B$2:$B$5001,B2445,$I$2:$I$5001,I2445),1,0))</f>
        <v/>
      </c>
    </row>
    <row r="2446" customFormat="false" ht="15" hidden="false" customHeight="false" outlineLevel="0" collapsed="false">
      <c r="I2446" s="15" t="str">
        <f aca="false">IF(A2446="","",INT(A2446))</f>
        <v/>
      </c>
      <c r="J2446" s="16" t="str">
        <f aca="false">IF(B2446="","",IF(A2446=_xlfn.MINIFS($A$2:$A$5001,$B$2:$B$5001,B2446),1,0))</f>
        <v/>
      </c>
      <c r="K2446" s="16" t="str">
        <f aca="false">IF(B2446="","",IF(AND(D2446="Formalização",E2446="Concluído"),IF(COUNTIFS($B$2:$B$5001,B2446,$E$2:$E$5001,"Em ajustes",$A$2:$A$5001,"&lt;"&amp;I2446)&gt;0,1,0),0))</f>
        <v/>
      </c>
      <c r="L2446" s="16" t="str">
        <f aca="false">IF(B2446="","",IF(A2446=_xlfn.MAXIFS($A$2:$A$5001,$B$2:$B$5001,B2446,$I$2:$I$5001,I2446),1,0))</f>
        <v/>
      </c>
    </row>
    <row r="2447" customFormat="false" ht="15" hidden="false" customHeight="false" outlineLevel="0" collapsed="false">
      <c r="I2447" s="15" t="str">
        <f aca="false">IF(A2447="","",INT(A2447))</f>
        <v/>
      </c>
      <c r="J2447" s="16" t="str">
        <f aca="false">IF(B2447="","",IF(A2447=_xlfn.MINIFS($A$2:$A$5001,$B$2:$B$5001,B2447),1,0))</f>
        <v/>
      </c>
      <c r="K2447" s="16" t="str">
        <f aca="false">IF(B2447="","",IF(AND(D2447="Formalização",E2447="Concluído"),IF(COUNTIFS($B$2:$B$5001,B2447,$E$2:$E$5001,"Em ajustes",$A$2:$A$5001,"&lt;"&amp;I2447)&gt;0,1,0),0))</f>
        <v/>
      </c>
      <c r="L2447" s="16" t="str">
        <f aca="false">IF(B2447="","",IF(A2447=_xlfn.MAXIFS($A$2:$A$5001,$B$2:$B$5001,B2447,$I$2:$I$5001,I2447),1,0))</f>
        <v/>
      </c>
    </row>
    <row r="2448" customFormat="false" ht="15" hidden="false" customHeight="false" outlineLevel="0" collapsed="false">
      <c r="I2448" s="15" t="str">
        <f aca="false">IF(A2448="","",INT(A2448))</f>
        <v/>
      </c>
      <c r="J2448" s="16" t="str">
        <f aca="false">IF(B2448="","",IF(A2448=_xlfn.MINIFS($A$2:$A$5001,$B$2:$B$5001,B2448),1,0))</f>
        <v/>
      </c>
      <c r="K2448" s="16" t="str">
        <f aca="false">IF(B2448="","",IF(AND(D2448="Formalização",E2448="Concluído"),IF(COUNTIFS($B$2:$B$5001,B2448,$E$2:$E$5001,"Em ajustes",$A$2:$A$5001,"&lt;"&amp;I2448)&gt;0,1,0),0))</f>
        <v/>
      </c>
      <c r="L2448" s="16" t="str">
        <f aca="false">IF(B2448="","",IF(A2448=_xlfn.MAXIFS($A$2:$A$5001,$B$2:$B$5001,B2448,$I$2:$I$5001,I2448),1,0))</f>
        <v/>
      </c>
    </row>
    <row r="2449" customFormat="false" ht="15" hidden="false" customHeight="false" outlineLevel="0" collapsed="false">
      <c r="I2449" s="15" t="str">
        <f aca="false">IF(A2449="","",INT(A2449))</f>
        <v/>
      </c>
      <c r="J2449" s="16" t="str">
        <f aca="false">IF(B2449="","",IF(A2449=_xlfn.MINIFS($A$2:$A$5001,$B$2:$B$5001,B2449),1,0))</f>
        <v/>
      </c>
      <c r="K2449" s="16" t="str">
        <f aca="false">IF(B2449="","",IF(AND(D2449="Formalização",E2449="Concluído"),IF(COUNTIFS($B$2:$B$5001,B2449,$E$2:$E$5001,"Em ajustes",$A$2:$A$5001,"&lt;"&amp;I2449)&gt;0,1,0),0))</f>
        <v/>
      </c>
      <c r="L2449" s="16" t="str">
        <f aca="false">IF(B2449="","",IF(A2449=_xlfn.MAXIFS($A$2:$A$5001,$B$2:$B$5001,B2449,$I$2:$I$5001,I2449),1,0))</f>
        <v/>
      </c>
    </row>
    <row r="2450" customFormat="false" ht="15" hidden="false" customHeight="false" outlineLevel="0" collapsed="false">
      <c r="I2450" s="15" t="str">
        <f aca="false">IF(A2450="","",INT(A2450))</f>
        <v/>
      </c>
      <c r="J2450" s="16" t="str">
        <f aca="false">IF(B2450="","",IF(A2450=_xlfn.MINIFS($A$2:$A$5001,$B$2:$B$5001,B2450),1,0))</f>
        <v/>
      </c>
      <c r="K2450" s="16" t="str">
        <f aca="false">IF(B2450="","",IF(AND(D2450="Formalização",E2450="Concluído"),IF(COUNTIFS($B$2:$B$5001,B2450,$E$2:$E$5001,"Em ajustes",$A$2:$A$5001,"&lt;"&amp;I2450)&gt;0,1,0),0))</f>
        <v/>
      </c>
      <c r="L2450" s="16" t="str">
        <f aca="false">IF(B2450="","",IF(A2450=_xlfn.MAXIFS($A$2:$A$5001,$B$2:$B$5001,B2450,$I$2:$I$5001,I2450),1,0))</f>
        <v/>
      </c>
    </row>
    <row r="2451" customFormat="false" ht="15" hidden="false" customHeight="false" outlineLevel="0" collapsed="false">
      <c r="I2451" s="15" t="str">
        <f aca="false">IF(A2451="","",INT(A2451))</f>
        <v/>
      </c>
      <c r="J2451" s="16" t="str">
        <f aca="false">IF(B2451="","",IF(A2451=_xlfn.MINIFS($A$2:$A$5001,$B$2:$B$5001,B2451),1,0))</f>
        <v/>
      </c>
      <c r="K2451" s="16" t="str">
        <f aca="false">IF(B2451="","",IF(AND(D2451="Formalização",E2451="Concluído"),IF(COUNTIFS($B$2:$B$5001,B2451,$E$2:$E$5001,"Em ajustes",$A$2:$A$5001,"&lt;"&amp;I2451)&gt;0,1,0),0))</f>
        <v/>
      </c>
      <c r="L2451" s="16" t="str">
        <f aca="false">IF(B2451="","",IF(A2451=_xlfn.MAXIFS($A$2:$A$5001,$B$2:$B$5001,B2451,$I$2:$I$5001,I2451),1,0))</f>
        <v/>
      </c>
    </row>
    <row r="2452" customFormat="false" ht="15" hidden="false" customHeight="false" outlineLevel="0" collapsed="false">
      <c r="I2452" s="15" t="str">
        <f aca="false">IF(A2452="","",INT(A2452))</f>
        <v/>
      </c>
      <c r="J2452" s="16" t="str">
        <f aca="false">IF(B2452="","",IF(A2452=_xlfn.MINIFS($A$2:$A$5001,$B$2:$B$5001,B2452),1,0))</f>
        <v/>
      </c>
      <c r="K2452" s="16" t="str">
        <f aca="false">IF(B2452="","",IF(AND(D2452="Formalização",E2452="Concluído"),IF(COUNTIFS($B$2:$B$5001,B2452,$E$2:$E$5001,"Em ajustes",$A$2:$A$5001,"&lt;"&amp;I2452)&gt;0,1,0),0))</f>
        <v/>
      </c>
      <c r="L2452" s="16" t="str">
        <f aca="false">IF(B2452="","",IF(A2452=_xlfn.MAXIFS($A$2:$A$5001,$B$2:$B$5001,B2452,$I$2:$I$5001,I2452),1,0))</f>
        <v/>
      </c>
    </row>
    <row r="2453" customFormat="false" ht="15" hidden="false" customHeight="false" outlineLevel="0" collapsed="false">
      <c r="I2453" s="15" t="str">
        <f aca="false">IF(A2453="","",INT(A2453))</f>
        <v/>
      </c>
      <c r="J2453" s="16" t="str">
        <f aca="false">IF(B2453="","",IF(A2453=_xlfn.MINIFS($A$2:$A$5001,$B$2:$B$5001,B2453),1,0))</f>
        <v/>
      </c>
      <c r="K2453" s="16" t="str">
        <f aca="false">IF(B2453="","",IF(AND(D2453="Formalização",E2453="Concluído"),IF(COUNTIFS($B$2:$B$5001,B2453,$E$2:$E$5001,"Em ajustes",$A$2:$A$5001,"&lt;"&amp;I2453)&gt;0,1,0),0))</f>
        <v/>
      </c>
      <c r="L2453" s="16" t="str">
        <f aca="false">IF(B2453="","",IF(A2453=_xlfn.MAXIFS($A$2:$A$5001,$B$2:$B$5001,B2453,$I$2:$I$5001,I2453),1,0))</f>
        <v/>
      </c>
    </row>
    <row r="2454" customFormat="false" ht="15" hidden="false" customHeight="false" outlineLevel="0" collapsed="false">
      <c r="I2454" s="15" t="str">
        <f aca="false">IF(A2454="","",INT(A2454))</f>
        <v/>
      </c>
      <c r="J2454" s="16" t="str">
        <f aca="false">IF(B2454="","",IF(A2454=_xlfn.MINIFS($A$2:$A$5001,$B$2:$B$5001,B2454),1,0))</f>
        <v/>
      </c>
      <c r="K2454" s="16" t="str">
        <f aca="false">IF(B2454="","",IF(AND(D2454="Formalização",E2454="Concluído"),IF(COUNTIFS($B$2:$B$5001,B2454,$E$2:$E$5001,"Em ajustes",$A$2:$A$5001,"&lt;"&amp;I2454)&gt;0,1,0),0))</f>
        <v/>
      </c>
      <c r="L2454" s="16" t="str">
        <f aca="false">IF(B2454="","",IF(A2454=_xlfn.MAXIFS($A$2:$A$5001,$B$2:$B$5001,B2454,$I$2:$I$5001,I2454),1,0))</f>
        <v/>
      </c>
    </row>
    <row r="2455" customFormat="false" ht="15" hidden="false" customHeight="false" outlineLevel="0" collapsed="false">
      <c r="I2455" s="15" t="str">
        <f aca="false">IF(A2455="","",INT(A2455))</f>
        <v/>
      </c>
      <c r="J2455" s="16" t="str">
        <f aca="false">IF(B2455="","",IF(A2455=_xlfn.MINIFS($A$2:$A$5001,$B$2:$B$5001,B2455),1,0))</f>
        <v/>
      </c>
      <c r="K2455" s="16" t="str">
        <f aca="false">IF(B2455="","",IF(AND(D2455="Formalização",E2455="Concluído"),IF(COUNTIFS($B$2:$B$5001,B2455,$E$2:$E$5001,"Em ajustes",$A$2:$A$5001,"&lt;"&amp;I2455)&gt;0,1,0),0))</f>
        <v/>
      </c>
      <c r="L2455" s="16" t="str">
        <f aca="false">IF(B2455="","",IF(A2455=_xlfn.MAXIFS($A$2:$A$5001,$B$2:$B$5001,B2455,$I$2:$I$5001,I2455),1,0))</f>
        <v/>
      </c>
    </row>
    <row r="2456" customFormat="false" ht="15" hidden="false" customHeight="false" outlineLevel="0" collapsed="false">
      <c r="I2456" s="15" t="str">
        <f aca="false">IF(A2456="","",INT(A2456))</f>
        <v/>
      </c>
      <c r="J2456" s="16" t="str">
        <f aca="false">IF(B2456="","",IF(A2456=_xlfn.MINIFS($A$2:$A$5001,$B$2:$B$5001,B2456),1,0))</f>
        <v/>
      </c>
      <c r="K2456" s="16" t="str">
        <f aca="false">IF(B2456="","",IF(AND(D2456="Formalização",E2456="Concluído"),IF(COUNTIFS($B$2:$B$5001,B2456,$E$2:$E$5001,"Em ajustes",$A$2:$A$5001,"&lt;"&amp;I2456)&gt;0,1,0),0))</f>
        <v/>
      </c>
      <c r="L2456" s="16" t="str">
        <f aca="false">IF(B2456="","",IF(A2456=_xlfn.MAXIFS($A$2:$A$5001,$B$2:$B$5001,B2456,$I$2:$I$5001,I2456),1,0))</f>
        <v/>
      </c>
    </row>
    <row r="2457" customFormat="false" ht="15" hidden="false" customHeight="false" outlineLevel="0" collapsed="false">
      <c r="I2457" s="15" t="str">
        <f aca="false">IF(A2457="","",INT(A2457))</f>
        <v/>
      </c>
      <c r="J2457" s="16" t="str">
        <f aca="false">IF(B2457="","",IF(A2457=_xlfn.MINIFS($A$2:$A$5001,$B$2:$B$5001,B2457),1,0))</f>
        <v/>
      </c>
      <c r="K2457" s="16" t="str">
        <f aca="false">IF(B2457="","",IF(AND(D2457="Formalização",E2457="Concluído"),IF(COUNTIFS($B$2:$B$5001,B2457,$E$2:$E$5001,"Em ajustes",$A$2:$A$5001,"&lt;"&amp;I2457)&gt;0,1,0),0))</f>
        <v/>
      </c>
      <c r="L2457" s="16" t="str">
        <f aca="false">IF(B2457="","",IF(A2457=_xlfn.MAXIFS($A$2:$A$5001,$B$2:$B$5001,B2457,$I$2:$I$5001,I2457),1,0))</f>
        <v/>
      </c>
    </row>
    <row r="2458" customFormat="false" ht="15" hidden="false" customHeight="false" outlineLevel="0" collapsed="false">
      <c r="I2458" s="15" t="str">
        <f aca="false">IF(A2458="","",INT(A2458))</f>
        <v/>
      </c>
      <c r="J2458" s="16" t="str">
        <f aca="false">IF(B2458="","",IF(A2458=_xlfn.MINIFS($A$2:$A$5001,$B$2:$B$5001,B2458),1,0))</f>
        <v/>
      </c>
      <c r="K2458" s="16" t="str">
        <f aca="false">IF(B2458="","",IF(AND(D2458="Formalização",E2458="Concluído"),IF(COUNTIFS($B$2:$B$5001,B2458,$E$2:$E$5001,"Em ajustes",$A$2:$A$5001,"&lt;"&amp;I2458)&gt;0,1,0),0))</f>
        <v/>
      </c>
      <c r="L2458" s="16" t="str">
        <f aca="false">IF(B2458="","",IF(A2458=_xlfn.MAXIFS($A$2:$A$5001,$B$2:$B$5001,B2458,$I$2:$I$5001,I2458),1,0))</f>
        <v/>
      </c>
    </row>
    <row r="2459" customFormat="false" ht="15" hidden="false" customHeight="false" outlineLevel="0" collapsed="false">
      <c r="I2459" s="15" t="str">
        <f aca="false">IF(A2459="","",INT(A2459))</f>
        <v/>
      </c>
      <c r="J2459" s="16" t="str">
        <f aca="false">IF(B2459="","",IF(A2459=_xlfn.MINIFS($A$2:$A$5001,$B$2:$B$5001,B2459),1,0))</f>
        <v/>
      </c>
      <c r="K2459" s="16" t="str">
        <f aca="false">IF(B2459="","",IF(AND(D2459="Formalização",E2459="Concluído"),IF(COUNTIFS($B$2:$B$5001,B2459,$E$2:$E$5001,"Em ajustes",$A$2:$A$5001,"&lt;"&amp;I2459)&gt;0,1,0),0))</f>
        <v/>
      </c>
      <c r="L2459" s="16" t="str">
        <f aca="false">IF(B2459="","",IF(A2459=_xlfn.MAXIFS($A$2:$A$5001,$B$2:$B$5001,B2459,$I$2:$I$5001,I2459),1,0))</f>
        <v/>
      </c>
    </row>
    <row r="2460" customFormat="false" ht="15" hidden="false" customHeight="false" outlineLevel="0" collapsed="false">
      <c r="I2460" s="15" t="str">
        <f aca="false">IF(A2460="","",INT(A2460))</f>
        <v/>
      </c>
      <c r="J2460" s="16" t="str">
        <f aca="false">IF(B2460="","",IF(A2460=_xlfn.MINIFS($A$2:$A$5001,$B$2:$B$5001,B2460),1,0))</f>
        <v/>
      </c>
      <c r="K2460" s="16" t="str">
        <f aca="false">IF(B2460="","",IF(AND(D2460="Formalização",E2460="Concluído"),IF(COUNTIFS($B$2:$B$5001,B2460,$E$2:$E$5001,"Em ajustes",$A$2:$A$5001,"&lt;"&amp;I2460)&gt;0,1,0),0))</f>
        <v/>
      </c>
      <c r="L2460" s="16" t="str">
        <f aca="false">IF(B2460="","",IF(A2460=_xlfn.MAXIFS($A$2:$A$5001,$B$2:$B$5001,B2460,$I$2:$I$5001,I2460),1,0))</f>
        <v/>
      </c>
    </row>
    <row r="2461" customFormat="false" ht="15" hidden="false" customHeight="false" outlineLevel="0" collapsed="false">
      <c r="I2461" s="15" t="str">
        <f aca="false">IF(A2461="","",INT(A2461))</f>
        <v/>
      </c>
      <c r="J2461" s="16" t="str">
        <f aca="false">IF(B2461="","",IF(A2461=_xlfn.MINIFS($A$2:$A$5001,$B$2:$B$5001,B2461),1,0))</f>
        <v/>
      </c>
      <c r="K2461" s="16" t="str">
        <f aca="false">IF(B2461="","",IF(AND(D2461="Formalização",E2461="Concluído"),IF(COUNTIFS($B$2:$B$5001,B2461,$E$2:$E$5001,"Em ajustes",$A$2:$A$5001,"&lt;"&amp;I2461)&gt;0,1,0),0))</f>
        <v/>
      </c>
      <c r="L2461" s="16" t="str">
        <f aca="false">IF(B2461="","",IF(A2461=_xlfn.MAXIFS($A$2:$A$5001,$B$2:$B$5001,B2461,$I$2:$I$5001,I2461),1,0))</f>
        <v/>
      </c>
    </row>
    <row r="2462" customFormat="false" ht="15" hidden="false" customHeight="false" outlineLevel="0" collapsed="false">
      <c r="I2462" s="15" t="str">
        <f aca="false">IF(A2462="","",INT(A2462))</f>
        <v/>
      </c>
      <c r="J2462" s="16" t="str">
        <f aca="false">IF(B2462="","",IF(A2462=_xlfn.MINIFS($A$2:$A$5001,$B$2:$B$5001,B2462),1,0))</f>
        <v/>
      </c>
      <c r="K2462" s="16" t="str">
        <f aca="false">IF(B2462="","",IF(AND(D2462="Formalização",E2462="Concluído"),IF(COUNTIFS($B$2:$B$5001,B2462,$E$2:$E$5001,"Em ajustes",$A$2:$A$5001,"&lt;"&amp;I2462)&gt;0,1,0),0))</f>
        <v/>
      </c>
      <c r="L2462" s="16" t="str">
        <f aca="false">IF(B2462="","",IF(A2462=_xlfn.MAXIFS($A$2:$A$5001,$B$2:$B$5001,B2462,$I$2:$I$5001,I2462),1,0))</f>
        <v/>
      </c>
    </row>
    <row r="2463" customFormat="false" ht="15" hidden="false" customHeight="false" outlineLevel="0" collapsed="false">
      <c r="I2463" s="15" t="str">
        <f aca="false">IF(A2463="","",INT(A2463))</f>
        <v/>
      </c>
      <c r="J2463" s="16" t="str">
        <f aca="false">IF(B2463="","",IF(A2463=_xlfn.MINIFS($A$2:$A$5001,$B$2:$B$5001,B2463),1,0))</f>
        <v/>
      </c>
      <c r="K2463" s="16" t="str">
        <f aca="false">IF(B2463="","",IF(AND(D2463="Formalização",E2463="Concluído"),IF(COUNTIFS($B$2:$B$5001,B2463,$E$2:$E$5001,"Em ajustes",$A$2:$A$5001,"&lt;"&amp;I2463)&gt;0,1,0),0))</f>
        <v/>
      </c>
      <c r="L2463" s="16" t="str">
        <f aca="false">IF(B2463="","",IF(A2463=_xlfn.MAXIFS($A$2:$A$5001,$B$2:$B$5001,B2463,$I$2:$I$5001,I2463),1,0))</f>
        <v/>
      </c>
    </row>
    <row r="2464" customFormat="false" ht="15" hidden="false" customHeight="false" outlineLevel="0" collapsed="false">
      <c r="I2464" s="15" t="str">
        <f aca="false">IF(A2464="","",INT(A2464))</f>
        <v/>
      </c>
      <c r="J2464" s="16" t="str">
        <f aca="false">IF(B2464="","",IF(A2464=_xlfn.MINIFS($A$2:$A$5001,$B$2:$B$5001,B2464),1,0))</f>
        <v/>
      </c>
      <c r="K2464" s="16" t="str">
        <f aca="false">IF(B2464="","",IF(AND(D2464="Formalização",E2464="Concluído"),IF(COUNTIFS($B$2:$B$5001,B2464,$E$2:$E$5001,"Em ajustes",$A$2:$A$5001,"&lt;"&amp;I2464)&gt;0,1,0),0))</f>
        <v/>
      </c>
      <c r="L2464" s="16" t="str">
        <f aca="false">IF(B2464="","",IF(A2464=_xlfn.MAXIFS($A$2:$A$5001,$B$2:$B$5001,B2464,$I$2:$I$5001,I2464),1,0))</f>
        <v/>
      </c>
    </row>
    <row r="2465" customFormat="false" ht="15" hidden="false" customHeight="false" outlineLevel="0" collapsed="false">
      <c r="I2465" s="15" t="str">
        <f aca="false">IF(A2465="","",INT(A2465))</f>
        <v/>
      </c>
      <c r="J2465" s="16" t="str">
        <f aca="false">IF(B2465="","",IF(A2465=_xlfn.MINIFS($A$2:$A$5001,$B$2:$B$5001,B2465),1,0))</f>
        <v/>
      </c>
      <c r="K2465" s="16" t="str">
        <f aca="false">IF(B2465="","",IF(AND(D2465="Formalização",E2465="Concluído"),IF(COUNTIFS($B$2:$B$5001,B2465,$E$2:$E$5001,"Em ajustes",$A$2:$A$5001,"&lt;"&amp;I2465)&gt;0,1,0),0))</f>
        <v/>
      </c>
      <c r="L2465" s="16" t="str">
        <f aca="false">IF(B2465="","",IF(A2465=_xlfn.MAXIFS($A$2:$A$5001,$B$2:$B$5001,B2465,$I$2:$I$5001,I2465),1,0))</f>
        <v/>
      </c>
    </row>
    <row r="2466" customFormat="false" ht="15" hidden="false" customHeight="false" outlineLevel="0" collapsed="false">
      <c r="I2466" s="15" t="str">
        <f aca="false">IF(A2466="","",INT(A2466))</f>
        <v/>
      </c>
      <c r="J2466" s="16" t="str">
        <f aca="false">IF(B2466="","",IF(A2466=_xlfn.MINIFS($A$2:$A$5001,$B$2:$B$5001,B2466),1,0))</f>
        <v/>
      </c>
      <c r="K2466" s="16" t="str">
        <f aca="false">IF(B2466="","",IF(AND(D2466="Formalização",E2466="Concluído"),IF(COUNTIFS($B$2:$B$5001,B2466,$E$2:$E$5001,"Em ajustes",$A$2:$A$5001,"&lt;"&amp;I2466)&gt;0,1,0),0))</f>
        <v/>
      </c>
      <c r="L2466" s="16" t="str">
        <f aca="false">IF(B2466="","",IF(A2466=_xlfn.MAXIFS($A$2:$A$5001,$B$2:$B$5001,B2466,$I$2:$I$5001,I2466),1,0))</f>
        <v/>
      </c>
    </row>
    <row r="2467" customFormat="false" ht="15" hidden="false" customHeight="false" outlineLevel="0" collapsed="false">
      <c r="I2467" s="15" t="str">
        <f aca="false">IF(A2467="","",INT(A2467))</f>
        <v/>
      </c>
      <c r="J2467" s="16" t="str">
        <f aca="false">IF(B2467="","",IF(A2467=_xlfn.MINIFS($A$2:$A$5001,$B$2:$B$5001,B2467),1,0))</f>
        <v/>
      </c>
      <c r="K2467" s="16" t="str">
        <f aca="false">IF(B2467="","",IF(AND(D2467="Formalização",E2467="Concluído"),IF(COUNTIFS($B$2:$B$5001,B2467,$E$2:$E$5001,"Em ajustes",$A$2:$A$5001,"&lt;"&amp;I2467)&gt;0,1,0),0))</f>
        <v/>
      </c>
      <c r="L2467" s="16" t="str">
        <f aca="false">IF(B2467="","",IF(A2467=_xlfn.MAXIFS($A$2:$A$5001,$B$2:$B$5001,B2467,$I$2:$I$5001,I2467),1,0))</f>
        <v/>
      </c>
    </row>
    <row r="2468" customFormat="false" ht="15" hidden="false" customHeight="false" outlineLevel="0" collapsed="false">
      <c r="I2468" s="15" t="str">
        <f aca="false">IF(A2468="","",INT(A2468))</f>
        <v/>
      </c>
      <c r="J2468" s="16" t="str">
        <f aca="false">IF(B2468="","",IF(A2468=_xlfn.MINIFS($A$2:$A$5001,$B$2:$B$5001,B2468),1,0))</f>
        <v/>
      </c>
      <c r="K2468" s="16" t="str">
        <f aca="false">IF(B2468="","",IF(AND(D2468="Formalização",E2468="Concluído"),IF(COUNTIFS($B$2:$B$5001,B2468,$E$2:$E$5001,"Em ajustes",$A$2:$A$5001,"&lt;"&amp;I2468)&gt;0,1,0),0))</f>
        <v/>
      </c>
      <c r="L2468" s="16" t="str">
        <f aca="false">IF(B2468="","",IF(A2468=_xlfn.MAXIFS($A$2:$A$5001,$B$2:$B$5001,B2468,$I$2:$I$5001,I2468),1,0))</f>
        <v/>
      </c>
    </row>
    <row r="2469" customFormat="false" ht="15" hidden="false" customHeight="false" outlineLevel="0" collapsed="false">
      <c r="I2469" s="15" t="str">
        <f aca="false">IF(A2469="","",INT(A2469))</f>
        <v/>
      </c>
      <c r="J2469" s="16" t="str">
        <f aca="false">IF(B2469="","",IF(A2469=_xlfn.MINIFS($A$2:$A$5001,$B$2:$B$5001,B2469),1,0))</f>
        <v/>
      </c>
      <c r="K2469" s="16" t="str">
        <f aca="false">IF(B2469="","",IF(AND(D2469="Formalização",E2469="Concluído"),IF(COUNTIFS($B$2:$B$5001,B2469,$E$2:$E$5001,"Em ajustes",$A$2:$A$5001,"&lt;"&amp;I2469)&gt;0,1,0),0))</f>
        <v/>
      </c>
      <c r="L2469" s="16" t="str">
        <f aca="false">IF(B2469="","",IF(A2469=_xlfn.MAXIFS($A$2:$A$5001,$B$2:$B$5001,B2469,$I$2:$I$5001,I2469),1,0))</f>
        <v/>
      </c>
    </row>
    <row r="2470" customFormat="false" ht="15" hidden="false" customHeight="false" outlineLevel="0" collapsed="false">
      <c r="I2470" s="15" t="str">
        <f aca="false">IF(A2470="","",INT(A2470))</f>
        <v/>
      </c>
      <c r="J2470" s="16" t="str">
        <f aca="false">IF(B2470="","",IF(A2470=_xlfn.MINIFS($A$2:$A$5001,$B$2:$B$5001,B2470),1,0))</f>
        <v/>
      </c>
      <c r="K2470" s="16" t="str">
        <f aca="false">IF(B2470="","",IF(AND(D2470="Formalização",E2470="Concluído"),IF(COUNTIFS($B$2:$B$5001,B2470,$E$2:$E$5001,"Em ajustes",$A$2:$A$5001,"&lt;"&amp;I2470)&gt;0,1,0),0))</f>
        <v/>
      </c>
      <c r="L2470" s="16" t="str">
        <f aca="false">IF(B2470="","",IF(A2470=_xlfn.MAXIFS($A$2:$A$5001,$B$2:$B$5001,B2470,$I$2:$I$5001,I2470),1,0))</f>
        <v/>
      </c>
    </row>
    <row r="2471" customFormat="false" ht="15" hidden="false" customHeight="false" outlineLevel="0" collapsed="false">
      <c r="I2471" s="15" t="str">
        <f aca="false">IF(A2471="","",INT(A2471))</f>
        <v/>
      </c>
      <c r="J2471" s="16" t="str">
        <f aca="false">IF(B2471="","",IF(A2471=_xlfn.MINIFS($A$2:$A$5001,$B$2:$B$5001,B2471),1,0))</f>
        <v/>
      </c>
      <c r="K2471" s="16" t="str">
        <f aca="false">IF(B2471="","",IF(AND(D2471="Formalização",E2471="Concluído"),IF(COUNTIFS($B$2:$B$5001,B2471,$E$2:$E$5001,"Em ajustes",$A$2:$A$5001,"&lt;"&amp;I2471)&gt;0,1,0),0))</f>
        <v/>
      </c>
      <c r="L2471" s="16" t="str">
        <f aca="false">IF(B2471="","",IF(A2471=_xlfn.MAXIFS($A$2:$A$5001,$B$2:$B$5001,B2471,$I$2:$I$5001,I2471),1,0))</f>
        <v/>
      </c>
    </row>
    <row r="2472" customFormat="false" ht="15" hidden="false" customHeight="false" outlineLevel="0" collapsed="false">
      <c r="I2472" s="15" t="str">
        <f aca="false">IF(A2472="","",INT(A2472))</f>
        <v/>
      </c>
      <c r="J2472" s="16" t="str">
        <f aca="false">IF(B2472="","",IF(A2472=_xlfn.MINIFS($A$2:$A$5001,$B$2:$B$5001,B2472),1,0))</f>
        <v/>
      </c>
      <c r="K2472" s="16" t="str">
        <f aca="false">IF(B2472="","",IF(AND(D2472="Formalização",E2472="Concluído"),IF(COUNTIFS($B$2:$B$5001,B2472,$E$2:$E$5001,"Em ajustes",$A$2:$A$5001,"&lt;"&amp;I2472)&gt;0,1,0),0))</f>
        <v/>
      </c>
      <c r="L2472" s="16" t="str">
        <f aca="false">IF(B2472="","",IF(A2472=_xlfn.MAXIFS($A$2:$A$5001,$B$2:$B$5001,B2472,$I$2:$I$5001,I2472),1,0))</f>
        <v/>
      </c>
    </row>
    <row r="2473" customFormat="false" ht="15" hidden="false" customHeight="false" outlineLevel="0" collapsed="false">
      <c r="I2473" s="15" t="str">
        <f aca="false">IF(A2473="","",INT(A2473))</f>
        <v/>
      </c>
      <c r="J2473" s="16" t="str">
        <f aca="false">IF(B2473="","",IF(A2473=_xlfn.MINIFS($A$2:$A$5001,$B$2:$B$5001,B2473),1,0))</f>
        <v/>
      </c>
      <c r="K2473" s="16" t="str">
        <f aca="false">IF(B2473="","",IF(AND(D2473="Formalização",E2473="Concluído"),IF(COUNTIFS($B$2:$B$5001,B2473,$E$2:$E$5001,"Em ajustes",$A$2:$A$5001,"&lt;"&amp;I2473)&gt;0,1,0),0))</f>
        <v/>
      </c>
      <c r="L2473" s="16" t="str">
        <f aca="false">IF(B2473="","",IF(A2473=_xlfn.MAXIFS($A$2:$A$5001,$B$2:$B$5001,B2473,$I$2:$I$5001,I2473),1,0))</f>
        <v/>
      </c>
    </row>
    <row r="2474" customFormat="false" ht="15" hidden="false" customHeight="false" outlineLevel="0" collapsed="false">
      <c r="I2474" s="15" t="str">
        <f aca="false">IF(A2474="","",INT(A2474))</f>
        <v/>
      </c>
      <c r="J2474" s="16" t="str">
        <f aca="false">IF(B2474="","",IF(A2474=_xlfn.MINIFS($A$2:$A$5001,$B$2:$B$5001,B2474),1,0))</f>
        <v/>
      </c>
      <c r="K2474" s="16" t="str">
        <f aca="false">IF(B2474="","",IF(AND(D2474="Formalização",E2474="Concluído"),IF(COUNTIFS($B$2:$B$5001,B2474,$E$2:$E$5001,"Em ajustes",$A$2:$A$5001,"&lt;"&amp;I2474)&gt;0,1,0),0))</f>
        <v/>
      </c>
      <c r="L2474" s="16" t="str">
        <f aca="false">IF(B2474="","",IF(A2474=_xlfn.MAXIFS($A$2:$A$5001,$B$2:$B$5001,B2474,$I$2:$I$5001,I2474),1,0))</f>
        <v/>
      </c>
    </row>
    <row r="2475" customFormat="false" ht="15" hidden="false" customHeight="false" outlineLevel="0" collapsed="false">
      <c r="I2475" s="15" t="str">
        <f aca="false">IF(A2475="","",INT(A2475))</f>
        <v/>
      </c>
      <c r="J2475" s="16" t="str">
        <f aca="false">IF(B2475="","",IF(A2475=_xlfn.MINIFS($A$2:$A$5001,$B$2:$B$5001,B2475),1,0))</f>
        <v/>
      </c>
      <c r="K2475" s="16" t="str">
        <f aca="false">IF(B2475="","",IF(AND(D2475="Formalização",E2475="Concluído"),IF(COUNTIFS($B$2:$B$5001,B2475,$E$2:$E$5001,"Em ajustes",$A$2:$A$5001,"&lt;"&amp;I2475)&gt;0,1,0),0))</f>
        <v/>
      </c>
      <c r="L2475" s="16" t="str">
        <f aca="false">IF(B2475="","",IF(A2475=_xlfn.MAXIFS($A$2:$A$5001,$B$2:$B$5001,B2475,$I$2:$I$5001,I2475),1,0))</f>
        <v/>
      </c>
    </row>
    <row r="2476" customFormat="false" ht="15" hidden="false" customHeight="false" outlineLevel="0" collapsed="false">
      <c r="I2476" s="15" t="str">
        <f aca="false">IF(A2476="","",INT(A2476))</f>
        <v/>
      </c>
      <c r="J2476" s="16" t="str">
        <f aca="false">IF(B2476="","",IF(A2476=_xlfn.MINIFS($A$2:$A$5001,$B$2:$B$5001,B2476),1,0))</f>
        <v/>
      </c>
      <c r="K2476" s="16" t="str">
        <f aca="false">IF(B2476="","",IF(AND(D2476="Formalização",E2476="Concluído"),IF(COUNTIFS($B$2:$B$5001,B2476,$E$2:$E$5001,"Em ajustes",$A$2:$A$5001,"&lt;"&amp;I2476)&gt;0,1,0),0))</f>
        <v/>
      </c>
      <c r="L2476" s="16" t="str">
        <f aca="false">IF(B2476="","",IF(A2476=_xlfn.MAXIFS($A$2:$A$5001,$B$2:$B$5001,B2476,$I$2:$I$5001,I2476),1,0))</f>
        <v/>
      </c>
    </row>
    <row r="2477" customFormat="false" ht="15" hidden="false" customHeight="false" outlineLevel="0" collapsed="false">
      <c r="I2477" s="15" t="str">
        <f aca="false">IF(A2477="","",INT(A2477))</f>
        <v/>
      </c>
      <c r="J2477" s="16" t="str">
        <f aca="false">IF(B2477="","",IF(A2477=_xlfn.MINIFS($A$2:$A$5001,$B$2:$B$5001,B2477),1,0))</f>
        <v/>
      </c>
      <c r="K2477" s="16" t="str">
        <f aca="false">IF(B2477="","",IF(AND(D2477="Formalização",E2477="Concluído"),IF(COUNTIFS($B$2:$B$5001,B2477,$E$2:$E$5001,"Em ajustes",$A$2:$A$5001,"&lt;"&amp;I2477)&gt;0,1,0),0))</f>
        <v/>
      </c>
      <c r="L2477" s="16" t="str">
        <f aca="false">IF(B2477="","",IF(A2477=_xlfn.MAXIFS($A$2:$A$5001,$B$2:$B$5001,B2477,$I$2:$I$5001,I2477),1,0))</f>
        <v/>
      </c>
    </row>
    <row r="2478" customFormat="false" ht="15" hidden="false" customHeight="false" outlineLevel="0" collapsed="false">
      <c r="I2478" s="15" t="str">
        <f aca="false">IF(A2478="","",INT(A2478))</f>
        <v/>
      </c>
      <c r="J2478" s="16" t="str">
        <f aca="false">IF(B2478="","",IF(A2478=_xlfn.MINIFS($A$2:$A$5001,$B$2:$B$5001,B2478),1,0))</f>
        <v/>
      </c>
      <c r="K2478" s="16" t="str">
        <f aca="false">IF(B2478="","",IF(AND(D2478="Formalização",E2478="Concluído"),IF(COUNTIFS($B$2:$B$5001,B2478,$E$2:$E$5001,"Em ajustes",$A$2:$A$5001,"&lt;"&amp;I2478)&gt;0,1,0),0))</f>
        <v/>
      </c>
      <c r="L2478" s="16" t="str">
        <f aca="false">IF(B2478="","",IF(A2478=_xlfn.MAXIFS($A$2:$A$5001,$B$2:$B$5001,B2478,$I$2:$I$5001,I2478),1,0))</f>
        <v/>
      </c>
    </row>
    <row r="2479" customFormat="false" ht="15" hidden="false" customHeight="false" outlineLevel="0" collapsed="false">
      <c r="I2479" s="15" t="str">
        <f aca="false">IF(A2479="","",INT(A2479))</f>
        <v/>
      </c>
      <c r="J2479" s="16" t="str">
        <f aca="false">IF(B2479="","",IF(A2479=_xlfn.MINIFS($A$2:$A$5001,$B$2:$B$5001,B2479),1,0))</f>
        <v/>
      </c>
      <c r="K2479" s="16" t="str">
        <f aca="false">IF(B2479="","",IF(AND(D2479="Formalização",E2479="Concluído"),IF(COUNTIFS($B$2:$B$5001,B2479,$E$2:$E$5001,"Em ajustes",$A$2:$A$5001,"&lt;"&amp;I2479)&gt;0,1,0),0))</f>
        <v/>
      </c>
      <c r="L2479" s="16" t="str">
        <f aca="false">IF(B2479="","",IF(A2479=_xlfn.MAXIFS($A$2:$A$5001,$B$2:$B$5001,B2479,$I$2:$I$5001,I2479),1,0))</f>
        <v/>
      </c>
    </row>
    <row r="2480" customFormat="false" ht="15" hidden="false" customHeight="false" outlineLevel="0" collapsed="false">
      <c r="I2480" s="15" t="str">
        <f aca="false">IF(A2480="","",INT(A2480))</f>
        <v/>
      </c>
      <c r="J2480" s="16" t="str">
        <f aca="false">IF(B2480="","",IF(A2480=_xlfn.MINIFS($A$2:$A$5001,$B$2:$B$5001,B2480),1,0))</f>
        <v/>
      </c>
      <c r="K2480" s="16" t="str">
        <f aca="false">IF(B2480="","",IF(AND(D2480="Formalização",E2480="Concluído"),IF(COUNTIFS($B$2:$B$5001,B2480,$E$2:$E$5001,"Em ajustes",$A$2:$A$5001,"&lt;"&amp;I2480)&gt;0,1,0),0))</f>
        <v/>
      </c>
      <c r="L2480" s="16" t="str">
        <f aca="false">IF(B2480="","",IF(A2480=_xlfn.MAXIFS($A$2:$A$5001,$B$2:$B$5001,B2480,$I$2:$I$5001,I2480),1,0))</f>
        <v/>
      </c>
    </row>
    <row r="2481" customFormat="false" ht="15" hidden="false" customHeight="false" outlineLevel="0" collapsed="false">
      <c r="I2481" s="15" t="str">
        <f aca="false">IF(A2481="","",INT(A2481))</f>
        <v/>
      </c>
      <c r="J2481" s="16" t="str">
        <f aca="false">IF(B2481="","",IF(A2481=_xlfn.MINIFS($A$2:$A$5001,$B$2:$B$5001,B2481),1,0))</f>
        <v/>
      </c>
      <c r="K2481" s="16" t="str">
        <f aca="false">IF(B2481="","",IF(AND(D2481="Formalização",E2481="Concluído"),IF(COUNTIFS($B$2:$B$5001,B2481,$E$2:$E$5001,"Em ajustes",$A$2:$A$5001,"&lt;"&amp;I2481)&gt;0,1,0),0))</f>
        <v/>
      </c>
      <c r="L2481" s="16" t="str">
        <f aca="false">IF(B2481="","",IF(A2481=_xlfn.MAXIFS($A$2:$A$5001,$B$2:$B$5001,B2481,$I$2:$I$5001,I2481),1,0))</f>
        <v/>
      </c>
    </row>
    <row r="2482" customFormat="false" ht="15" hidden="false" customHeight="false" outlineLevel="0" collapsed="false">
      <c r="I2482" s="15" t="str">
        <f aca="false">IF(A2482="","",INT(A2482))</f>
        <v/>
      </c>
      <c r="J2482" s="16" t="str">
        <f aca="false">IF(B2482="","",IF(A2482=_xlfn.MINIFS($A$2:$A$5001,$B$2:$B$5001,B2482),1,0))</f>
        <v/>
      </c>
      <c r="K2482" s="16" t="str">
        <f aca="false">IF(B2482="","",IF(AND(D2482="Formalização",E2482="Concluído"),IF(COUNTIFS($B$2:$B$5001,B2482,$E$2:$E$5001,"Em ajustes",$A$2:$A$5001,"&lt;"&amp;I2482)&gt;0,1,0),0))</f>
        <v/>
      </c>
      <c r="L2482" s="16" t="str">
        <f aca="false">IF(B2482="","",IF(A2482=_xlfn.MAXIFS($A$2:$A$5001,$B$2:$B$5001,B2482,$I$2:$I$5001,I2482),1,0))</f>
        <v/>
      </c>
    </row>
    <row r="2483" customFormat="false" ht="15" hidden="false" customHeight="false" outlineLevel="0" collapsed="false">
      <c r="I2483" s="15" t="str">
        <f aca="false">IF(A2483="","",INT(A2483))</f>
        <v/>
      </c>
      <c r="J2483" s="16" t="str">
        <f aca="false">IF(B2483="","",IF(A2483=_xlfn.MINIFS($A$2:$A$5001,$B$2:$B$5001,B2483),1,0))</f>
        <v/>
      </c>
      <c r="K2483" s="16" t="str">
        <f aca="false">IF(B2483="","",IF(AND(D2483="Formalização",E2483="Concluído"),IF(COUNTIFS($B$2:$B$5001,B2483,$E$2:$E$5001,"Em ajustes",$A$2:$A$5001,"&lt;"&amp;I2483)&gt;0,1,0),0))</f>
        <v/>
      </c>
      <c r="L2483" s="16" t="str">
        <f aca="false">IF(B2483="","",IF(A2483=_xlfn.MAXIFS($A$2:$A$5001,$B$2:$B$5001,B2483,$I$2:$I$5001,I2483),1,0))</f>
        <v/>
      </c>
    </row>
    <row r="2484" customFormat="false" ht="15" hidden="false" customHeight="false" outlineLevel="0" collapsed="false">
      <c r="I2484" s="15" t="str">
        <f aca="false">IF(A2484="","",INT(A2484))</f>
        <v/>
      </c>
      <c r="J2484" s="16" t="str">
        <f aca="false">IF(B2484="","",IF(A2484=_xlfn.MINIFS($A$2:$A$5001,$B$2:$B$5001,B2484),1,0))</f>
        <v/>
      </c>
      <c r="K2484" s="16" t="str">
        <f aca="false">IF(B2484="","",IF(AND(D2484="Formalização",E2484="Concluído"),IF(COUNTIFS($B$2:$B$5001,B2484,$E$2:$E$5001,"Em ajustes",$A$2:$A$5001,"&lt;"&amp;I2484)&gt;0,1,0),0))</f>
        <v/>
      </c>
      <c r="L2484" s="16" t="str">
        <f aca="false">IF(B2484="","",IF(A2484=_xlfn.MAXIFS($A$2:$A$5001,$B$2:$B$5001,B2484,$I$2:$I$5001,I2484),1,0))</f>
        <v/>
      </c>
    </row>
    <row r="2485" customFormat="false" ht="15" hidden="false" customHeight="false" outlineLevel="0" collapsed="false">
      <c r="I2485" s="15" t="str">
        <f aca="false">IF(A2485="","",INT(A2485))</f>
        <v/>
      </c>
      <c r="J2485" s="16" t="str">
        <f aca="false">IF(B2485="","",IF(A2485=_xlfn.MINIFS($A$2:$A$5001,$B$2:$B$5001,B2485),1,0))</f>
        <v/>
      </c>
      <c r="K2485" s="16" t="str">
        <f aca="false">IF(B2485="","",IF(AND(D2485="Formalização",E2485="Concluído"),IF(COUNTIFS($B$2:$B$5001,B2485,$E$2:$E$5001,"Em ajustes",$A$2:$A$5001,"&lt;"&amp;I2485)&gt;0,1,0),0))</f>
        <v/>
      </c>
      <c r="L2485" s="16" t="str">
        <f aca="false">IF(B2485="","",IF(A2485=_xlfn.MAXIFS($A$2:$A$5001,$B$2:$B$5001,B2485,$I$2:$I$5001,I2485),1,0))</f>
        <v/>
      </c>
    </row>
    <row r="2486" customFormat="false" ht="15" hidden="false" customHeight="false" outlineLevel="0" collapsed="false">
      <c r="I2486" s="15" t="str">
        <f aca="false">IF(A2486="","",INT(A2486))</f>
        <v/>
      </c>
      <c r="J2486" s="16" t="str">
        <f aca="false">IF(B2486="","",IF(A2486=_xlfn.MINIFS($A$2:$A$5001,$B$2:$B$5001,B2486),1,0))</f>
        <v/>
      </c>
      <c r="K2486" s="16" t="str">
        <f aca="false">IF(B2486="","",IF(AND(D2486="Formalização",E2486="Concluído"),IF(COUNTIFS($B$2:$B$5001,B2486,$E$2:$E$5001,"Em ajustes",$A$2:$A$5001,"&lt;"&amp;I2486)&gt;0,1,0),0))</f>
        <v/>
      </c>
      <c r="L2486" s="16" t="str">
        <f aca="false">IF(B2486="","",IF(A2486=_xlfn.MAXIFS($A$2:$A$5001,$B$2:$B$5001,B2486,$I$2:$I$5001,I2486),1,0))</f>
        <v/>
      </c>
    </row>
    <row r="2487" customFormat="false" ht="15" hidden="false" customHeight="false" outlineLevel="0" collapsed="false">
      <c r="I2487" s="15" t="str">
        <f aca="false">IF(A2487="","",INT(A2487))</f>
        <v/>
      </c>
      <c r="J2487" s="16" t="str">
        <f aca="false">IF(B2487="","",IF(A2487=_xlfn.MINIFS($A$2:$A$5001,$B$2:$B$5001,B2487),1,0))</f>
        <v/>
      </c>
      <c r="K2487" s="16" t="str">
        <f aca="false">IF(B2487="","",IF(AND(D2487="Formalização",E2487="Concluído"),IF(COUNTIFS($B$2:$B$5001,B2487,$E$2:$E$5001,"Em ajustes",$A$2:$A$5001,"&lt;"&amp;I2487)&gt;0,1,0),0))</f>
        <v/>
      </c>
      <c r="L2487" s="16" t="str">
        <f aca="false">IF(B2487="","",IF(A2487=_xlfn.MAXIFS($A$2:$A$5001,$B$2:$B$5001,B2487,$I$2:$I$5001,I2487),1,0))</f>
        <v/>
      </c>
    </row>
    <row r="2488" customFormat="false" ht="15" hidden="false" customHeight="false" outlineLevel="0" collapsed="false">
      <c r="I2488" s="15" t="str">
        <f aca="false">IF(A2488="","",INT(A2488))</f>
        <v/>
      </c>
      <c r="J2488" s="16" t="str">
        <f aca="false">IF(B2488="","",IF(A2488=_xlfn.MINIFS($A$2:$A$5001,$B$2:$B$5001,B2488),1,0))</f>
        <v/>
      </c>
      <c r="K2488" s="16" t="str">
        <f aca="false">IF(B2488="","",IF(AND(D2488="Formalização",E2488="Concluído"),IF(COUNTIFS($B$2:$B$5001,B2488,$E$2:$E$5001,"Em ajustes",$A$2:$A$5001,"&lt;"&amp;I2488)&gt;0,1,0),0))</f>
        <v/>
      </c>
      <c r="L2488" s="16" t="str">
        <f aca="false">IF(B2488="","",IF(A2488=_xlfn.MAXIFS($A$2:$A$5001,$B$2:$B$5001,B2488,$I$2:$I$5001,I2488),1,0))</f>
        <v/>
      </c>
    </row>
    <row r="2489" customFormat="false" ht="15" hidden="false" customHeight="false" outlineLevel="0" collapsed="false">
      <c r="I2489" s="15" t="str">
        <f aca="false">IF(A2489="","",INT(A2489))</f>
        <v/>
      </c>
      <c r="J2489" s="16" t="str">
        <f aca="false">IF(B2489="","",IF(A2489=_xlfn.MINIFS($A$2:$A$5001,$B$2:$B$5001,B2489),1,0))</f>
        <v/>
      </c>
      <c r="K2489" s="16" t="str">
        <f aca="false">IF(B2489="","",IF(AND(D2489="Formalização",E2489="Concluído"),IF(COUNTIFS($B$2:$B$5001,B2489,$E$2:$E$5001,"Em ajustes",$A$2:$A$5001,"&lt;"&amp;I2489)&gt;0,1,0),0))</f>
        <v/>
      </c>
      <c r="L2489" s="16" t="str">
        <f aca="false">IF(B2489="","",IF(A2489=_xlfn.MAXIFS($A$2:$A$5001,$B$2:$B$5001,B2489,$I$2:$I$5001,I2489),1,0))</f>
        <v/>
      </c>
    </row>
    <row r="2490" customFormat="false" ht="15" hidden="false" customHeight="false" outlineLevel="0" collapsed="false">
      <c r="I2490" s="15" t="str">
        <f aca="false">IF(A2490="","",INT(A2490))</f>
        <v/>
      </c>
      <c r="J2490" s="16" t="str">
        <f aca="false">IF(B2490="","",IF(A2490=_xlfn.MINIFS($A$2:$A$5001,$B$2:$B$5001,B2490),1,0))</f>
        <v/>
      </c>
      <c r="K2490" s="16" t="str">
        <f aca="false">IF(B2490="","",IF(AND(D2490="Formalização",E2490="Concluído"),IF(COUNTIFS($B$2:$B$5001,B2490,$E$2:$E$5001,"Em ajustes",$A$2:$A$5001,"&lt;"&amp;I2490)&gt;0,1,0),0))</f>
        <v/>
      </c>
      <c r="L2490" s="16" t="str">
        <f aca="false">IF(B2490="","",IF(A2490=_xlfn.MAXIFS($A$2:$A$5001,$B$2:$B$5001,B2490,$I$2:$I$5001,I2490),1,0))</f>
        <v/>
      </c>
    </row>
    <row r="2491" customFormat="false" ht="15" hidden="false" customHeight="false" outlineLevel="0" collapsed="false">
      <c r="I2491" s="15" t="str">
        <f aca="false">IF(A2491="","",INT(A2491))</f>
        <v/>
      </c>
      <c r="J2491" s="16" t="str">
        <f aca="false">IF(B2491="","",IF(A2491=_xlfn.MINIFS($A$2:$A$5001,$B$2:$B$5001,B2491),1,0))</f>
        <v/>
      </c>
      <c r="K2491" s="16" t="str">
        <f aca="false">IF(B2491="","",IF(AND(D2491="Formalização",E2491="Concluído"),IF(COUNTIFS($B$2:$B$5001,B2491,$E$2:$E$5001,"Em ajustes",$A$2:$A$5001,"&lt;"&amp;I2491)&gt;0,1,0),0))</f>
        <v/>
      </c>
      <c r="L2491" s="16" t="str">
        <f aca="false">IF(B2491="","",IF(A2491=_xlfn.MAXIFS($A$2:$A$5001,$B$2:$B$5001,B2491,$I$2:$I$5001,I2491),1,0))</f>
        <v/>
      </c>
    </row>
    <row r="2492" customFormat="false" ht="15" hidden="false" customHeight="false" outlineLevel="0" collapsed="false">
      <c r="I2492" s="15" t="str">
        <f aca="false">IF(A2492="","",INT(A2492))</f>
        <v/>
      </c>
      <c r="J2492" s="16" t="str">
        <f aca="false">IF(B2492="","",IF(A2492=_xlfn.MINIFS($A$2:$A$5001,$B$2:$B$5001,B2492),1,0))</f>
        <v/>
      </c>
      <c r="K2492" s="16" t="str">
        <f aca="false">IF(B2492="","",IF(AND(D2492="Formalização",E2492="Concluído"),IF(COUNTIFS($B$2:$B$5001,B2492,$E$2:$E$5001,"Em ajustes",$A$2:$A$5001,"&lt;"&amp;I2492)&gt;0,1,0),0))</f>
        <v/>
      </c>
      <c r="L2492" s="16" t="str">
        <f aca="false">IF(B2492="","",IF(A2492=_xlfn.MAXIFS($A$2:$A$5001,$B$2:$B$5001,B2492,$I$2:$I$5001,I2492),1,0))</f>
        <v/>
      </c>
    </row>
    <row r="2493" customFormat="false" ht="15" hidden="false" customHeight="false" outlineLevel="0" collapsed="false">
      <c r="I2493" s="15" t="str">
        <f aca="false">IF(A2493="","",INT(A2493))</f>
        <v/>
      </c>
      <c r="J2493" s="16" t="str">
        <f aca="false">IF(B2493="","",IF(A2493=_xlfn.MINIFS($A$2:$A$5001,$B$2:$B$5001,B2493),1,0))</f>
        <v/>
      </c>
      <c r="K2493" s="16" t="str">
        <f aca="false">IF(B2493="","",IF(AND(D2493="Formalização",E2493="Concluído"),IF(COUNTIFS($B$2:$B$5001,B2493,$E$2:$E$5001,"Em ajustes",$A$2:$A$5001,"&lt;"&amp;I2493)&gt;0,1,0),0))</f>
        <v/>
      </c>
      <c r="L2493" s="16" t="str">
        <f aca="false">IF(B2493="","",IF(A2493=_xlfn.MAXIFS($A$2:$A$5001,$B$2:$B$5001,B2493,$I$2:$I$5001,I2493),1,0))</f>
        <v/>
      </c>
    </row>
    <row r="2494" customFormat="false" ht="15" hidden="false" customHeight="false" outlineLevel="0" collapsed="false">
      <c r="I2494" s="15" t="str">
        <f aca="false">IF(A2494="","",INT(A2494))</f>
        <v/>
      </c>
      <c r="J2494" s="16" t="str">
        <f aca="false">IF(B2494="","",IF(A2494=_xlfn.MINIFS($A$2:$A$5001,$B$2:$B$5001,B2494),1,0))</f>
        <v/>
      </c>
      <c r="K2494" s="16" t="str">
        <f aca="false">IF(B2494="","",IF(AND(D2494="Formalização",E2494="Concluído"),IF(COUNTIFS($B$2:$B$5001,B2494,$E$2:$E$5001,"Em ajustes",$A$2:$A$5001,"&lt;"&amp;I2494)&gt;0,1,0),0))</f>
        <v/>
      </c>
      <c r="L2494" s="16" t="str">
        <f aca="false">IF(B2494="","",IF(A2494=_xlfn.MAXIFS($A$2:$A$5001,$B$2:$B$5001,B2494,$I$2:$I$5001,I2494),1,0))</f>
        <v/>
      </c>
    </row>
    <row r="2495" customFormat="false" ht="15" hidden="false" customHeight="false" outlineLevel="0" collapsed="false">
      <c r="I2495" s="15" t="str">
        <f aca="false">IF(A2495="","",INT(A2495))</f>
        <v/>
      </c>
      <c r="J2495" s="16" t="str">
        <f aca="false">IF(B2495="","",IF(A2495=_xlfn.MINIFS($A$2:$A$5001,$B$2:$B$5001,B2495),1,0))</f>
        <v/>
      </c>
      <c r="K2495" s="16" t="str">
        <f aca="false">IF(B2495="","",IF(AND(D2495="Formalização",E2495="Concluído"),IF(COUNTIFS($B$2:$B$5001,B2495,$E$2:$E$5001,"Em ajustes",$A$2:$A$5001,"&lt;"&amp;I2495)&gt;0,1,0),0))</f>
        <v/>
      </c>
      <c r="L2495" s="16" t="str">
        <f aca="false">IF(B2495="","",IF(A2495=_xlfn.MAXIFS($A$2:$A$5001,$B$2:$B$5001,B2495,$I$2:$I$5001,I2495),1,0))</f>
        <v/>
      </c>
    </row>
    <row r="2496" customFormat="false" ht="15" hidden="false" customHeight="false" outlineLevel="0" collapsed="false">
      <c r="I2496" s="15" t="str">
        <f aca="false">IF(A2496="","",INT(A2496))</f>
        <v/>
      </c>
      <c r="J2496" s="16" t="str">
        <f aca="false">IF(B2496="","",IF(A2496=_xlfn.MINIFS($A$2:$A$5001,$B$2:$B$5001,B2496),1,0))</f>
        <v/>
      </c>
      <c r="K2496" s="16" t="str">
        <f aca="false">IF(B2496="","",IF(AND(D2496="Formalização",E2496="Concluído"),IF(COUNTIFS($B$2:$B$5001,B2496,$E$2:$E$5001,"Em ajustes",$A$2:$A$5001,"&lt;"&amp;I2496)&gt;0,1,0),0))</f>
        <v/>
      </c>
      <c r="L2496" s="16" t="str">
        <f aca="false">IF(B2496="","",IF(A2496=_xlfn.MAXIFS($A$2:$A$5001,$B$2:$B$5001,B2496,$I$2:$I$5001,I2496),1,0))</f>
        <v/>
      </c>
    </row>
    <row r="2497" customFormat="false" ht="15" hidden="false" customHeight="false" outlineLevel="0" collapsed="false">
      <c r="I2497" s="15" t="str">
        <f aca="false">IF(A2497="","",INT(A2497))</f>
        <v/>
      </c>
      <c r="J2497" s="16" t="str">
        <f aca="false">IF(B2497="","",IF(A2497=_xlfn.MINIFS($A$2:$A$5001,$B$2:$B$5001,B2497),1,0))</f>
        <v/>
      </c>
      <c r="K2497" s="16" t="str">
        <f aca="false">IF(B2497="","",IF(AND(D2497="Formalização",E2497="Concluído"),IF(COUNTIFS($B$2:$B$5001,B2497,$E$2:$E$5001,"Em ajustes",$A$2:$A$5001,"&lt;"&amp;I2497)&gt;0,1,0),0))</f>
        <v/>
      </c>
      <c r="L2497" s="16" t="str">
        <f aca="false">IF(B2497="","",IF(A2497=_xlfn.MAXIFS($A$2:$A$5001,$B$2:$B$5001,B2497,$I$2:$I$5001,I2497),1,0))</f>
        <v/>
      </c>
    </row>
    <row r="2498" customFormat="false" ht="15" hidden="false" customHeight="false" outlineLevel="0" collapsed="false">
      <c r="I2498" s="15" t="str">
        <f aca="false">IF(A2498="","",INT(A2498))</f>
        <v/>
      </c>
      <c r="J2498" s="16" t="str">
        <f aca="false">IF(B2498="","",IF(A2498=_xlfn.MINIFS($A$2:$A$5001,$B$2:$B$5001,B2498),1,0))</f>
        <v/>
      </c>
      <c r="K2498" s="16" t="str">
        <f aca="false">IF(B2498="","",IF(AND(D2498="Formalização",E2498="Concluído"),IF(COUNTIFS($B$2:$B$5001,B2498,$E$2:$E$5001,"Em ajustes",$A$2:$A$5001,"&lt;"&amp;I2498)&gt;0,1,0),0))</f>
        <v/>
      </c>
      <c r="L2498" s="16" t="str">
        <f aca="false">IF(B2498="","",IF(A2498=_xlfn.MAXIFS($A$2:$A$5001,$B$2:$B$5001,B2498,$I$2:$I$5001,I2498),1,0))</f>
        <v/>
      </c>
    </row>
    <row r="2499" customFormat="false" ht="15" hidden="false" customHeight="false" outlineLevel="0" collapsed="false">
      <c r="I2499" s="15" t="str">
        <f aca="false">IF(A2499="","",INT(A2499))</f>
        <v/>
      </c>
      <c r="J2499" s="16" t="str">
        <f aca="false">IF(B2499="","",IF(A2499=_xlfn.MINIFS($A$2:$A$5001,$B$2:$B$5001,B2499),1,0))</f>
        <v/>
      </c>
      <c r="K2499" s="16" t="str">
        <f aca="false">IF(B2499="","",IF(AND(D2499="Formalização",E2499="Concluído"),IF(COUNTIFS($B$2:$B$5001,B2499,$E$2:$E$5001,"Em ajustes",$A$2:$A$5001,"&lt;"&amp;I2499)&gt;0,1,0),0))</f>
        <v/>
      </c>
      <c r="L2499" s="16" t="str">
        <f aca="false">IF(B2499="","",IF(A2499=_xlfn.MAXIFS($A$2:$A$5001,$B$2:$B$5001,B2499,$I$2:$I$5001,I2499),1,0))</f>
        <v/>
      </c>
    </row>
    <row r="2500" customFormat="false" ht="15" hidden="false" customHeight="false" outlineLevel="0" collapsed="false">
      <c r="I2500" s="15" t="str">
        <f aca="false">IF(A2500="","",INT(A2500))</f>
        <v/>
      </c>
      <c r="J2500" s="16" t="str">
        <f aca="false">IF(B2500="","",IF(A2500=_xlfn.MINIFS($A$2:$A$5001,$B$2:$B$5001,B2500),1,0))</f>
        <v/>
      </c>
      <c r="K2500" s="16" t="str">
        <f aca="false">IF(B2500="","",IF(AND(D2500="Formalização",E2500="Concluído"),IF(COUNTIFS($B$2:$B$5001,B2500,$E$2:$E$5001,"Em ajustes",$A$2:$A$5001,"&lt;"&amp;I2500)&gt;0,1,0),0))</f>
        <v/>
      </c>
      <c r="L2500" s="16" t="str">
        <f aca="false">IF(B2500="","",IF(A2500=_xlfn.MAXIFS($A$2:$A$5001,$B$2:$B$5001,B2500,$I$2:$I$5001,I2500),1,0))</f>
        <v/>
      </c>
    </row>
    <row r="2501" customFormat="false" ht="15" hidden="false" customHeight="false" outlineLevel="0" collapsed="false">
      <c r="I2501" s="15" t="str">
        <f aca="false">IF(A2501="","",INT(A2501))</f>
        <v/>
      </c>
      <c r="J2501" s="16" t="str">
        <f aca="false">IF(B2501="","",IF(A2501=_xlfn.MINIFS($A$2:$A$5001,$B$2:$B$5001,B2501),1,0))</f>
        <v/>
      </c>
      <c r="K2501" s="16" t="str">
        <f aca="false">IF(B2501="","",IF(AND(D2501="Formalização",E2501="Concluído"),IF(COUNTIFS($B$2:$B$5001,B2501,$E$2:$E$5001,"Em ajustes",$A$2:$A$5001,"&lt;"&amp;I2501)&gt;0,1,0),0))</f>
        <v/>
      </c>
      <c r="L2501" s="16" t="str">
        <f aca="false">IF(B2501="","",IF(A2501=_xlfn.MAXIFS($A$2:$A$5001,$B$2:$B$5001,B2501,$I$2:$I$5001,I2501),1,0))</f>
        <v/>
      </c>
    </row>
    <row r="2502" customFormat="false" ht="15" hidden="false" customHeight="false" outlineLevel="0" collapsed="false">
      <c r="I2502" s="15" t="str">
        <f aca="false">IF(A2502="","",INT(A2502))</f>
        <v/>
      </c>
      <c r="J2502" s="16" t="str">
        <f aca="false">IF(B2502="","",IF(A2502=_xlfn.MINIFS($A$2:$A$5001,$B$2:$B$5001,B2502),1,0))</f>
        <v/>
      </c>
      <c r="K2502" s="16" t="str">
        <f aca="false">IF(B2502="","",IF(AND(D2502="Formalização",E2502="Concluído"),IF(COUNTIFS($B$2:$B$5001,B2502,$E$2:$E$5001,"Em ajustes",$A$2:$A$5001,"&lt;"&amp;I2502)&gt;0,1,0),0))</f>
        <v/>
      </c>
      <c r="L2502" s="16" t="str">
        <f aca="false">IF(B2502="","",IF(A2502=_xlfn.MAXIFS($A$2:$A$5001,$B$2:$B$5001,B2502,$I$2:$I$5001,I2502),1,0))</f>
        <v/>
      </c>
    </row>
    <row r="2503" customFormat="false" ht="15" hidden="false" customHeight="false" outlineLevel="0" collapsed="false">
      <c r="I2503" s="15" t="str">
        <f aca="false">IF(A2503="","",INT(A2503))</f>
        <v/>
      </c>
      <c r="J2503" s="16" t="str">
        <f aca="false">IF(B2503="","",IF(A2503=_xlfn.MINIFS($A$2:$A$5001,$B$2:$B$5001,B2503),1,0))</f>
        <v/>
      </c>
      <c r="K2503" s="16" t="str">
        <f aca="false">IF(B2503="","",IF(AND(D2503="Formalização",E2503="Concluído"),IF(COUNTIFS($B$2:$B$5001,B2503,$E$2:$E$5001,"Em ajustes",$A$2:$A$5001,"&lt;"&amp;I2503)&gt;0,1,0),0))</f>
        <v/>
      </c>
      <c r="L2503" s="16" t="str">
        <f aca="false">IF(B2503="","",IF(A2503=_xlfn.MAXIFS($A$2:$A$5001,$B$2:$B$5001,B2503,$I$2:$I$5001,I2503),1,0))</f>
        <v/>
      </c>
    </row>
    <row r="2504" customFormat="false" ht="15" hidden="false" customHeight="false" outlineLevel="0" collapsed="false">
      <c r="I2504" s="15" t="str">
        <f aca="false">IF(A2504="","",INT(A2504))</f>
        <v/>
      </c>
      <c r="J2504" s="16" t="str">
        <f aca="false">IF(B2504="","",IF(A2504=_xlfn.MINIFS($A$2:$A$5001,$B$2:$B$5001,B2504),1,0))</f>
        <v/>
      </c>
      <c r="K2504" s="16" t="str">
        <f aca="false">IF(B2504="","",IF(AND(D2504="Formalização",E2504="Concluído"),IF(COUNTIFS($B$2:$B$5001,B2504,$E$2:$E$5001,"Em ajustes",$A$2:$A$5001,"&lt;"&amp;I2504)&gt;0,1,0),0))</f>
        <v/>
      </c>
      <c r="L2504" s="16" t="str">
        <f aca="false">IF(B2504="","",IF(A2504=_xlfn.MAXIFS($A$2:$A$5001,$B$2:$B$5001,B2504,$I$2:$I$5001,I2504),1,0))</f>
        <v/>
      </c>
    </row>
    <row r="2505" customFormat="false" ht="15" hidden="false" customHeight="false" outlineLevel="0" collapsed="false">
      <c r="I2505" s="15" t="str">
        <f aca="false">IF(A2505="","",INT(A2505))</f>
        <v/>
      </c>
      <c r="J2505" s="16" t="str">
        <f aca="false">IF(B2505="","",IF(A2505=_xlfn.MINIFS($A$2:$A$5001,$B$2:$B$5001,B2505),1,0))</f>
        <v/>
      </c>
      <c r="K2505" s="16" t="str">
        <f aca="false">IF(B2505="","",IF(AND(D2505="Formalização",E2505="Concluído"),IF(COUNTIFS($B$2:$B$5001,B2505,$E$2:$E$5001,"Em ajustes",$A$2:$A$5001,"&lt;"&amp;I2505)&gt;0,1,0),0))</f>
        <v/>
      </c>
      <c r="L2505" s="16" t="str">
        <f aca="false">IF(B2505="","",IF(A2505=_xlfn.MAXIFS($A$2:$A$5001,$B$2:$B$5001,B2505,$I$2:$I$5001,I2505),1,0))</f>
        <v/>
      </c>
    </row>
    <row r="2506" customFormat="false" ht="15" hidden="false" customHeight="false" outlineLevel="0" collapsed="false">
      <c r="I2506" s="15" t="str">
        <f aca="false">IF(A2506="","",INT(A2506))</f>
        <v/>
      </c>
      <c r="J2506" s="16" t="str">
        <f aca="false">IF(B2506="","",IF(A2506=_xlfn.MINIFS($A$2:$A$5001,$B$2:$B$5001,B2506),1,0))</f>
        <v/>
      </c>
      <c r="K2506" s="16" t="str">
        <f aca="false">IF(B2506="","",IF(AND(D2506="Formalização",E2506="Concluído"),IF(COUNTIFS($B$2:$B$5001,B2506,$E$2:$E$5001,"Em ajustes",$A$2:$A$5001,"&lt;"&amp;I2506)&gt;0,1,0),0))</f>
        <v/>
      </c>
      <c r="L2506" s="16" t="str">
        <f aca="false">IF(B2506="","",IF(A2506=_xlfn.MAXIFS($A$2:$A$5001,$B$2:$B$5001,B2506,$I$2:$I$5001,I2506),1,0))</f>
        <v/>
      </c>
    </row>
    <row r="2507" customFormat="false" ht="15" hidden="false" customHeight="false" outlineLevel="0" collapsed="false">
      <c r="I2507" s="15" t="str">
        <f aca="false">IF(A2507="","",INT(A2507))</f>
        <v/>
      </c>
      <c r="J2507" s="16" t="str">
        <f aca="false">IF(B2507="","",IF(A2507=_xlfn.MINIFS($A$2:$A$5001,$B$2:$B$5001,B2507),1,0))</f>
        <v/>
      </c>
      <c r="K2507" s="16" t="str">
        <f aca="false">IF(B2507="","",IF(AND(D2507="Formalização",E2507="Concluído"),IF(COUNTIFS($B$2:$B$5001,B2507,$E$2:$E$5001,"Em ajustes",$A$2:$A$5001,"&lt;"&amp;I2507)&gt;0,1,0),0))</f>
        <v/>
      </c>
      <c r="L2507" s="16" t="str">
        <f aca="false">IF(B2507="","",IF(A2507=_xlfn.MAXIFS($A$2:$A$5001,$B$2:$B$5001,B2507,$I$2:$I$5001,I2507),1,0))</f>
        <v/>
      </c>
    </row>
    <row r="2508" customFormat="false" ht="15" hidden="false" customHeight="false" outlineLevel="0" collapsed="false">
      <c r="I2508" s="15" t="str">
        <f aca="false">IF(A2508="","",INT(A2508))</f>
        <v/>
      </c>
      <c r="J2508" s="16" t="str">
        <f aca="false">IF(B2508="","",IF(A2508=_xlfn.MINIFS($A$2:$A$5001,$B$2:$B$5001,B2508),1,0))</f>
        <v/>
      </c>
      <c r="K2508" s="16" t="str">
        <f aca="false">IF(B2508="","",IF(AND(D2508="Formalização",E2508="Concluído"),IF(COUNTIFS($B$2:$B$5001,B2508,$E$2:$E$5001,"Em ajustes",$A$2:$A$5001,"&lt;"&amp;I2508)&gt;0,1,0),0))</f>
        <v/>
      </c>
      <c r="L2508" s="16" t="str">
        <f aca="false">IF(B2508="","",IF(A2508=_xlfn.MAXIFS($A$2:$A$5001,$B$2:$B$5001,B2508,$I$2:$I$5001,I2508),1,0))</f>
        <v/>
      </c>
    </row>
    <row r="2509" customFormat="false" ht="15" hidden="false" customHeight="false" outlineLevel="0" collapsed="false">
      <c r="I2509" s="15" t="str">
        <f aca="false">IF(A2509="","",INT(A2509))</f>
        <v/>
      </c>
      <c r="J2509" s="16" t="str">
        <f aca="false">IF(B2509="","",IF(A2509=_xlfn.MINIFS($A$2:$A$5001,$B$2:$B$5001,B2509),1,0))</f>
        <v/>
      </c>
      <c r="K2509" s="16" t="str">
        <f aca="false">IF(B2509="","",IF(AND(D2509="Formalização",E2509="Concluído"),IF(COUNTIFS($B$2:$B$5001,B2509,$E$2:$E$5001,"Em ajustes",$A$2:$A$5001,"&lt;"&amp;I2509)&gt;0,1,0),0))</f>
        <v/>
      </c>
      <c r="L2509" s="16" t="str">
        <f aca="false">IF(B2509="","",IF(A2509=_xlfn.MAXIFS($A$2:$A$5001,$B$2:$B$5001,B2509,$I$2:$I$5001,I2509),1,0))</f>
        <v/>
      </c>
    </row>
    <row r="2510" customFormat="false" ht="15" hidden="false" customHeight="false" outlineLevel="0" collapsed="false">
      <c r="I2510" s="15" t="str">
        <f aca="false">IF(A2510="","",INT(A2510))</f>
        <v/>
      </c>
      <c r="J2510" s="16" t="str">
        <f aca="false">IF(B2510="","",IF(A2510=_xlfn.MINIFS($A$2:$A$5001,$B$2:$B$5001,B2510),1,0))</f>
        <v/>
      </c>
      <c r="K2510" s="16" t="str">
        <f aca="false">IF(B2510="","",IF(AND(D2510="Formalização",E2510="Concluído"),IF(COUNTIFS($B$2:$B$5001,B2510,$E$2:$E$5001,"Em ajustes",$A$2:$A$5001,"&lt;"&amp;I2510)&gt;0,1,0),0))</f>
        <v/>
      </c>
      <c r="L2510" s="16" t="str">
        <f aca="false">IF(B2510="","",IF(A2510=_xlfn.MAXIFS($A$2:$A$5001,$B$2:$B$5001,B2510,$I$2:$I$5001,I2510),1,0))</f>
        <v/>
      </c>
    </row>
    <row r="2511" customFormat="false" ht="15" hidden="false" customHeight="false" outlineLevel="0" collapsed="false">
      <c r="I2511" s="15" t="str">
        <f aca="false">IF(A2511="","",INT(A2511))</f>
        <v/>
      </c>
      <c r="J2511" s="16" t="str">
        <f aca="false">IF(B2511="","",IF(A2511=_xlfn.MINIFS($A$2:$A$5001,$B$2:$B$5001,B2511),1,0))</f>
        <v/>
      </c>
      <c r="K2511" s="16" t="str">
        <f aca="false">IF(B2511="","",IF(AND(D2511="Formalização",E2511="Concluído"),IF(COUNTIFS($B$2:$B$5001,B2511,$E$2:$E$5001,"Em ajustes",$A$2:$A$5001,"&lt;"&amp;I2511)&gt;0,1,0),0))</f>
        <v/>
      </c>
      <c r="L2511" s="16" t="str">
        <f aca="false">IF(B2511="","",IF(A2511=_xlfn.MAXIFS($A$2:$A$5001,$B$2:$B$5001,B2511,$I$2:$I$5001,I2511),1,0))</f>
        <v/>
      </c>
    </row>
    <row r="2512" customFormat="false" ht="15" hidden="false" customHeight="false" outlineLevel="0" collapsed="false">
      <c r="I2512" s="15" t="str">
        <f aca="false">IF(A2512="","",INT(A2512))</f>
        <v/>
      </c>
      <c r="J2512" s="16" t="str">
        <f aca="false">IF(B2512="","",IF(A2512=_xlfn.MINIFS($A$2:$A$5001,$B$2:$B$5001,B2512),1,0))</f>
        <v/>
      </c>
      <c r="K2512" s="16" t="str">
        <f aca="false">IF(B2512="","",IF(AND(D2512="Formalização",E2512="Concluído"),IF(COUNTIFS($B$2:$B$5001,B2512,$E$2:$E$5001,"Em ajustes",$A$2:$A$5001,"&lt;"&amp;I2512)&gt;0,1,0),0))</f>
        <v/>
      </c>
      <c r="L2512" s="16" t="str">
        <f aca="false">IF(B2512="","",IF(A2512=_xlfn.MAXIFS($A$2:$A$5001,$B$2:$B$5001,B2512,$I$2:$I$5001,I2512),1,0))</f>
        <v/>
      </c>
    </row>
    <row r="2513" customFormat="false" ht="15" hidden="false" customHeight="false" outlineLevel="0" collapsed="false">
      <c r="I2513" s="15" t="str">
        <f aca="false">IF(A2513="","",INT(A2513))</f>
        <v/>
      </c>
      <c r="J2513" s="16" t="str">
        <f aca="false">IF(B2513="","",IF(A2513=_xlfn.MINIFS($A$2:$A$5001,$B$2:$B$5001,B2513),1,0))</f>
        <v/>
      </c>
      <c r="K2513" s="16" t="str">
        <f aca="false">IF(B2513="","",IF(AND(D2513="Formalização",E2513="Concluído"),IF(COUNTIFS($B$2:$B$5001,B2513,$E$2:$E$5001,"Em ajustes",$A$2:$A$5001,"&lt;"&amp;I2513)&gt;0,1,0),0))</f>
        <v/>
      </c>
      <c r="L2513" s="16" t="str">
        <f aca="false">IF(B2513="","",IF(A2513=_xlfn.MAXIFS($A$2:$A$5001,$B$2:$B$5001,B2513,$I$2:$I$5001,I2513),1,0))</f>
        <v/>
      </c>
    </row>
    <row r="2514" customFormat="false" ht="15" hidden="false" customHeight="false" outlineLevel="0" collapsed="false">
      <c r="I2514" s="15" t="str">
        <f aca="false">IF(A2514="","",INT(A2514))</f>
        <v/>
      </c>
      <c r="J2514" s="16" t="str">
        <f aca="false">IF(B2514="","",IF(A2514=_xlfn.MINIFS($A$2:$A$5001,$B$2:$B$5001,B2514),1,0))</f>
        <v/>
      </c>
      <c r="K2514" s="16" t="str">
        <f aca="false">IF(B2514="","",IF(AND(D2514="Formalização",E2514="Concluído"),IF(COUNTIFS($B$2:$B$5001,B2514,$E$2:$E$5001,"Em ajustes",$A$2:$A$5001,"&lt;"&amp;I2514)&gt;0,1,0),0))</f>
        <v/>
      </c>
      <c r="L2514" s="16" t="str">
        <f aca="false">IF(B2514="","",IF(A2514=_xlfn.MAXIFS($A$2:$A$5001,$B$2:$B$5001,B2514,$I$2:$I$5001,I2514),1,0))</f>
        <v/>
      </c>
    </row>
    <row r="2515" customFormat="false" ht="15" hidden="false" customHeight="false" outlineLevel="0" collapsed="false">
      <c r="I2515" s="15" t="str">
        <f aca="false">IF(A2515="","",INT(A2515))</f>
        <v/>
      </c>
      <c r="J2515" s="16" t="str">
        <f aca="false">IF(B2515="","",IF(A2515=_xlfn.MINIFS($A$2:$A$5001,$B$2:$B$5001,B2515),1,0))</f>
        <v/>
      </c>
      <c r="K2515" s="16" t="str">
        <f aca="false">IF(B2515="","",IF(AND(D2515="Formalização",E2515="Concluído"),IF(COUNTIFS($B$2:$B$5001,B2515,$E$2:$E$5001,"Em ajustes",$A$2:$A$5001,"&lt;"&amp;I2515)&gt;0,1,0),0))</f>
        <v/>
      </c>
      <c r="L2515" s="16" t="str">
        <f aca="false">IF(B2515="","",IF(A2515=_xlfn.MAXIFS($A$2:$A$5001,$B$2:$B$5001,B2515,$I$2:$I$5001,I2515),1,0))</f>
        <v/>
      </c>
    </row>
    <row r="2516" customFormat="false" ht="15" hidden="false" customHeight="false" outlineLevel="0" collapsed="false">
      <c r="I2516" s="15" t="str">
        <f aca="false">IF(A2516="","",INT(A2516))</f>
        <v/>
      </c>
      <c r="J2516" s="16" t="str">
        <f aca="false">IF(B2516="","",IF(A2516=_xlfn.MINIFS($A$2:$A$5001,$B$2:$B$5001,B2516),1,0))</f>
        <v/>
      </c>
      <c r="K2516" s="16" t="str">
        <f aca="false">IF(B2516="","",IF(AND(D2516="Formalização",E2516="Concluído"),IF(COUNTIFS($B$2:$B$5001,B2516,$E$2:$E$5001,"Em ajustes",$A$2:$A$5001,"&lt;"&amp;I2516)&gt;0,1,0),0))</f>
        <v/>
      </c>
      <c r="L2516" s="16" t="str">
        <f aca="false">IF(B2516="","",IF(A2516=_xlfn.MAXIFS($A$2:$A$5001,$B$2:$B$5001,B2516,$I$2:$I$5001,I2516),1,0))</f>
        <v/>
      </c>
    </row>
    <row r="2517" customFormat="false" ht="15" hidden="false" customHeight="false" outlineLevel="0" collapsed="false">
      <c r="I2517" s="15" t="str">
        <f aca="false">IF(A2517="","",INT(A2517))</f>
        <v/>
      </c>
      <c r="J2517" s="16" t="str">
        <f aca="false">IF(B2517="","",IF(A2517=_xlfn.MINIFS($A$2:$A$5001,$B$2:$B$5001,B2517),1,0))</f>
        <v/>
      </c>
      <c r="K2517" s="16" t="str">
        <f aca="false">IF(B2517="","",IF(AND(D2517="Formalização",E2517="Concluído"),IF(COUNTIFS($B$2:$B$5001,B2517,$E$2:$E$5001,"Em ajustes",$A$2:$A$5001,"&lt;"&amp;I2517)&gt;0,1,0),0))</f>
        <v/>
      </c>
      <c r="L2517" s="16" t="str">
        <f aca="false">IF(B2517="","",IF(A2517=_xlfn.MAXIFS($A$2:$A$5001,$B$2:$B$5001,B2517,$I$2:$I$5001,I2517),1,0))</f>
        <v/>
      </c>
    </row>
    <row r="2518" customFormat="false" ht="15" hidden="false" customHeight="false" outlineLevel="0" collapsed="false">
      <c r="I2518" s="15" t="str">
        <f aca="false">IF(A2518="","",INT(A2518))</f>
        <v/>
      </c>
      <c r="J2518" s="16" t="str">
        <f aca="false">IF(B2518="","",IF(A2518=_xlfn.MINIFS($A$2:$A$5001,$B$2:$B$5001,B2518),1,0))</f>
        <v/>
      </c>
      <c r="K2518" s="16" t="str">
        <f aca="false">IF(B2518="","",IF(AND(D2518="Formalização",E2518="Concluído"),IF(COUNTIFS($B$2:$B$5001,B2518,$E$2:$E$5001,"Em ajustes",$A$2:$A$5001,"&lt;"&amp;I2518)&gt;0,1,0),0))</f>
        <v/>
      </c>
      <c r="L2518" s="16" t="str">
        <f aca="false">IF(B2518="","",IF(A2518=_xlfn.MAXIFS($A$2:$A$5001,$B$2:$B$5001,B2518,$I$2:$I$5001,I2518),1,0))</f>
        <v/>
      </c>
    </row>
    <row r="2519" customFormat="false" ht="15" hidden="false" customHeight="false" outlineLevel="0" collapsed="false">
      <c r="I2519" s="15" t="str">
        <f aca="false">IF(A2519="","",INT(A2519))</f>
        <v/>
      </c>
      <c r="J2519" s="16" t="str">
        <f aca="false">IF(B2519="","",IF(A2519=_xlfn.MINIFS($A$2:$A$5001,$B$2:$B$5001,B2519),1,0))</f>
        <v/>
      </c>
      <c r="K2519" s="16" t="str">
        <f aca="false">IF(B2519="","",IF(AND(D2519="Formalização",E2519="Concluído"),IF(COUNTIFS($B$2:$B$5001,B2519,$E$2:$E$5001,"Em ajustes",$A$2:$A$5001,"&lt;"&amp;I2519)&gt;0,1,0),0))</f>
        <v/>
      </c>
      <c r="L2519" s="16" t="str">
        <f aca="false">IF(B2519="","",IF(A2519=_xlfn.MAXIFS($A$2:$A$5001,$B$2:$B$5001,B2519,$I$2:$I$5001,I2519),1,0))</f>
        <v/>
      </c>
    </row>
    <row r="2520" customFormat="false" ht="15" hidden="false" customHeight="false" outlineLevel="0" collapsed="false">
      <c r="I2520" s="15" t="str">
        <f aca="false">IF(A2520="","",INT(A2520))</f>
        <v/>
      </c>
      <c r="J2520" s="16" t="str">
        <f aca="false">IF(B2520="","",IF(A2520=_xlfn.MINIFS($A$2:$A$5001,$B$2:$B$5001,B2520),1,0))</f>
        <v/>
      </c>
      <c r="K2520" s="16" t="str">
        <f aca="false">IF(B2520="","",IF(AND(D2520="Formalização",E2520="Concluído"),IF(COUNTIFS($B$2:$B$5001,B2520,$E$2:$E$5001,"Em ajustes",$A$2:$A$5001,"&lt;"&amp;I2520)&gt;0,1,0),0))</f>
        <v/>
      </c>
      <c r="L2520" s="16" t="str">
        <f aca="false">IF(B2520="","",IF(A2520=_xlfn.MAXIFS($A$2:$A$5001,$B$2:$B$5001,B2520,$I$2:$I$5001,I2520),1,0))</f>
        <v/>
      </c>
    </row>
    <row r="2521" customFormat="false" ht="15" hidden="false" customHeight="false" outlineLevel="0" collapsed="false">
      <c r="I2521" s="15" t="str">
        <f aca="false">IF(A2521="","",INT(A2521))</f>
        <v/>
      </c>
      <c r="J2521" s="16" t="str">
        <f aca="false">IF(B2521="","",IF(A2521=_xlfn.MINIFS($A$2:$A$5001,$B$2:$B$5001,B2521),1,0))</f>
        <v/>
      </c>
      <c r="K2521" s="16" t="str">
        <f aca="false">IF(B2521="","",IF(AND(D2521="Formalização",E2521="Concluído"),IF(COUNTIFS($B$2:$B$5001,B2521,$E$2:$E$5001,"Em ajustes",$A$2:$A$5001,"&lt;"&amp;I2521)&gt;0,1,0),0))</f>
        <v/>
      </c>
      <c r="L2521" s="16" t="str">
        <f aca="false">IF(B2521="","",IF(A2521=_xlfn.MAXIFS($A$2:$A$5001,$B$2:$B$5001,B2521,$I$2:$I$5001,I2521),1,0))</f>
        <v/>
      </c>
    </row>
    <row r="2522" customFormat="false" ht="15" hidden="false" customHeight="false" outlineLevel="0" collapsed="false">
      <c r="I2522" s="15" t="str">
        <f aca="false">IF(A2522="","",INT(A2522))</f>
        <v/>
      </c>
      <c r="J2522" s="16" t="str">
        <f aca="false">IF(B2522="","",IF(A2522=_xlfn.MINIFS($A$2:$A$5001,$B$2:$B$5001,B2522),1,0))</f>
        <v/>
      </c>
      <c r="K2522" s="16" t="str">
        <f aca="false">IF(B2522="","",IF(AND(D2522="Formalização",E2522="Concluído"),IF(COUNTIFS($B$2:$B$5001,B2522,$E$2:$E$5001,"Em ajustes",$A$2:$A$5001,"&lt;"&amp;I2522)&gt;0,1,0),0))</f>
        <v/>
      </c>
      <c r="L2522" s="16" t="str">
        <f aca="false">IF(B2522="","",IF(A2522=_xlfn.MAXIFS($A$2:$A$5001,$B$2:$B$5001,B2522,$I$2:$I$5001,I2522),1,0))</f>
        <v/>
      </c>
    </row>
    <row r="2523" customFormat="false" ht="15" hidden="false" customHeight="false" outlineLevel="0" collapsed="false">
      <c r="I2523" s="15" t="str">
        <f aca="false">IF(A2523="","",INT(A2523))</f>
        <v/>
      </c>
      <c r="J2523" s="16" t="str">
        <f aca="false">IF(B2523="","",IF(A2523=_xlfn.MINIFS($A$2:$A$5001,$B$2:$B$5001,B2523),1,0))</f>
        <v/>
      </c>
      <c r="K2523" s="16" t="str">
        <f aca="false">IF(B2523="","",IF(AND(D2523="Formalização",E2523="Concluído"),IF(COUNTIFS($B$2:$B$5001,B2523,$E$2:$E$5001,"Em ajustes",$A$2:$A$5001,"&lt;"&amp;I2523)&gt;0,1,0),0))</f>
        <v/>
      </c>
      <c r="L2523" s="16" t="str">
        <f aca="false">IF(B2523="","",IF(A2523=_xlfn.MAXIFS($A$2:$A$5001,$B$2:$B$5001,B2523,$I$2:$I$5001,I2523),1,0))</f>
        <v/>
      </c>
    </row>
    <row r="2524" customFormat="false" ht="15" hidden="false" customHeight="false" outlineLevel="0" collapsed="false">
      <c r="I2524" s="15" t="str">
        <f aca="false">IF(A2524="","",INT(A2524))</f>
        <v/>
      </c>
      <c r="J2524" s="16" t="str">
        <f aca="false">IF(B2524="","",IF(A2524=_xlfn.MINIFS($A$2:$A$5001,$B$2:$B$5001,B2524),1,0))</f>
        <v/>
      </c>
      <c r="K2524" s="16" t="str">
        <f aca="false">IF(B2524="","",IF(AND(D2524="Formalização",E2524="Concluído"),IF(COUNTIFS($B$2:$B$5001,B2524,$E$2:$E$5001,"Em ajustes",$A$2:$A$5001,"&lt;"&amp;I2524)&gt;0,1,0),0))</f>
        <v/>
      </c>
      <c r="L2524" s="16" t="str">
        <f aca="false">IF(B2524="","",IF(A2524=_xlfn.MAXIFS($A$2:$A$5001,$B$2:$B$5001,B2524,$I$2:$I$5001,I2524),1,0))</f>
        <v/>
      </c>
    </row>
    <row r="2525" customFormat="false" ht="15" hidden="false" customHeight="false" outlineLevel="0" collapsed="false">
      <c r="I2525" s="15" t="str">
        <f aca="false">IF(A2525="","",INT(A2525))</f>
        <v/>
      </c>
      <c r="J2525" s="16" t="str">
        <f aca="false">IF(B2525="","",IF(A2525=_xlfn.MINIFS($A$2:$A$5001,$B$2:$B$5001,B2525),1,0))</f>
        <v/>
      </c>
      <c r="K2525" s="16" t="str">
        <f aca="false">IF(B2525="","",IF(AND(D2525="Formalização",E2525="Concluído"),IF(COUNTIFS($B$2:$B$5001,B2525,$E$2:$E$5001,"Em ajustes",$A$2:$A$5001,"&lt;"&amp;I2525)&gt;0,1,0),0))</f>
        <v/>
      </c>
      <c r="L2525" s="16" t="str">
        <f aca="false">IF(B2525="","",IF(A2525=_xlfn.MAXIFS($A$2:$A$5001,$B$2:$B$5001,B2525,$I$2:$I$5001,I2525),1,0))</f>
        <v/>
      </c>
    </row>
    <row r="2526" customFormat="false" ht="15" hidden="false" customHeight="false" outlineLevel="0" collapsed="false">
      <c r="I2526" s="15" t="str">
        <f aca="false">IF(A2526="","",INT(A2526))</f>
        <v/>
      </c>
      <c r="J2526" s="16" t="str">
        <f aca="false">IF(B2526="","",IF(A2526=_xlfn.MINIFS($A$2:$A$5001,$B$2:$B$5001,B2526),1,0))</f>
        <v/>
      </c>
      <c r="K2526" s="16" t="str">
        <f aca="false">IF(B2526="","",IF(AND(D2526="Formalização",E2526="Concluído"),IF(COUNTIFS($B$2:$B$5001,B2526,$E$2:$E$5001,"Em ajustes",$A$2:$A$5001,"&lt;"&amp;I2526)&gt;0,1,0),0))</f>
        <v/>
      </c>
      <c r="L2526" s="16" t="str">
        <f aca="false">IF(B2526="","",IF(A2526=_xlfn.MAXIFS($A$2:$A$5001,$B$2:$B$5001,B2526,$I$2:$I$5001,I2526),1,0))</f>
        <v/>
      </c>
    </row>
    <row r="2527" customFormat="false" ht="15" hidden="false" customHeight="false" outlineLevel="0" collapsed="false">
      <c r="I2527" s="15" t="str">
        <f aca="false">IF(A2527="","",INT(A2527))</f>
        <v/>
      </c>
      <c r="J2527" s="16" t="str">
        <f aca="false">IF(B2527="","",IF(A2527=_xlfn.MINIFS($A$2:$A$5001,$B$2:$B$5001,B2527),1,0))</f>
        <v/>
      </c>
      <c r="K2527" s="16" t="str">
        <f aca="false">IF(B2527="","",IF(AND(D2527="Formalização",E2527="Concluído"),IF(COUNTIFS($B$2:$B$5001,B2527,$E$2:$E$5001,"Em ajustes",$A$2:$A$5001,"&lt;"&amp;I2527)&gt;0,1,0),0))</f>
        <v/>
      </c>
      <c r="L2527" s="16" t="str">
        <f aca="false">IF(B2527="","",IF(A2527=_xlfn.MAXIFS($A$2:$A$5001,$B$2:$B$5001,B2527,$I$2:$I$5001,I2527),1,0))</f>
        <v/>
      </c>
    </row>
    <row r="2528" customFormat="false" ht="15" hidden="false" customHeight="false" outlineLevel="0" collapsed="false">
      <c r="I2528" s="15" t="str">
        <f aca="false">IF(A2528="","",INT(A2528))</f>
        <v/>
      </c>
      <c r="J2528" s="16" t="str">
        <f aca="false">IF(B2528="","",IF(A2528=_xlfn.MINIFS($A$2:$A$5001,$B$2:$B$5001,B2528),1,0))</f>
        <v/>
      </c>
      <c r="K2528" s="16" t="str">
        <f aca="false">IF(B2528="","",IF(AND(D2528="Formalização",E2528="Concluído"),IF(COUNTIFS($B$2:$B$5001,B2528,$E$2:$E$5001,"Em ajustes",$A$2:$A$5001,"&lt;"&amp;I2528)&gt;0,1,0),0))</f>
        <v/>
      </c>
      <c r="L2528" s="16" t="str">
        <f aca="false">IF(B2528="","",IF(A2528=_xlfn.MAXIFS($A$2:$A$5001,$B$2:$B$5001,B2528,$I$2:$I$5001,I2528),1,0))</f>
        <v/>
      </c>
    </row>
    <row r="2529" customFormat="false" ht="15" hidden="false" customHeight="false" outlineLevel="0" collapsed="false">
      <c r="I2529" s="15" t="str">
        <f aca="false">IF(A2529="","",INT(A2529))</f>
        <v/>
      </c>
      <c r="J2529" s="16" t="str">
        <f aca="false">IF(B2529="","",IF(A2529=_xlfn.MINIFS($A$2:$A$5001,$B$2:$B$5001,B2529),1,0))</f>
        <v/>
      </c>
      <c r="K2529" s="16" t="str">
        <f aca="false">IF(B2529="","",IF(AND(D2529="Formalização",E2529="Concluído"),IF(COUNTIFS($B$2:$B$5001,B2529,$E$2:$E$5001,"Em ajustes",$A$2:$A$5001,"&lt;"&amp;I2529)&gt;0,1,0),0))</f>
        <v/>
      </c>
      <c r="L2529" s="16" t="str">
        <f aca="false">IF(B2529="","",IF(A2529=_xlfn.MAXIFS($A$2:$A$5001,$B$2:$B$5001,B2529,$I$2:$I$5001,I2529),1,0))</f>
        <v/>
      </c>
    </row>
    <row r="2530" customFormat="false" ht="15" hidden="false" customHeight="false" outlineLevel="0" collapsed="false">
      <c r="I2530" s="15" t="str">
        <f aca="false">IF(A2530="","",INT(A2530))</f>
        <v/>
      </c>
      <c r="J2530" s="16" t="str">
        <f aca="false">IF(B2530="","",IF(A2530=_xlfn.MINIFS($A$2:$A$5001,$B$2:$B$5001,B2530),1,0))</f>
        <v/>
      </c>
      <c r="K2530" s="16" t="str">
        <f aca="false">IF(B2530="","",IF(AND(D2530="Formalização",E2530="Concluído"),IF(COUNTIFS($B$2:$B$5001,B2530,$E$2:$E$5001,"Em ajustes",$A$2:$A$5001,"&lt;"&amp;I2530)&gt;0,1,0),0))</f>
        <v/>
      </c>
      <c r="L2530" s="16" t="str">
        <f aca="false">IF(B2530="","",IF(A2530=_xlfn.MAXIFS($A$2:$A$5001,$B$2:$B$5001,B2530,$I$2:$I$5001,I2530),1,0))</f>
        <v/>
      </c>
    </row>
    <row r="2531" customFormat="false" ht="15" hidden="false" customHeight="false" outlineLevel="0" collapsed="false">
      <c r="I2531" s="15" t="str">
        <f aca="false">IF(A2531="","",INT(A2531))</f>
        <v/>
      </c>
      <c r="J2531" s="16" t="str">
        <f aca="false">IF(B2531="","",IF(A2531=_xlfn.MINIFS($A$2:$A$5001,$B$2:$B$5001,B2531),1,0))</f>
        <v/>
      </c>
      <c r="K2531" s="16" t="str">
        <f aca="false">IF(B2531="","",IF(AND(D2531="Formalização",E2531="Concluído"),IF(COUNTIFS($B$2:$B$5001,B2531,$E$2:$E$5001,"Em ajustes",$A$2:$A$5001,"&lt;"&amp;I2531)&gt;0,1,0),0))</f>
        <v/>
      </c>
      <c r="L2531" s="16" t="str">
        <f aca="false">IF(B2531="","",IF(A2531=_xlfn.MAXIFS($A$2:$A$5001,$B$2:$B$5001,B2531,$I$2:$I$5001,I2531),1,0))</f>
        <v/>
      </c>
    </row>
    <row r="2532" customFormat="false" ht="15" hidden="false" customHeight="false" outlineLevel="0" collapsed="false">
      <c r="I2532" s="15" t="str">
        <f aca="false">IF(A2532="","",INT(A2532))</f>
        <v/>
      </c>
      <c r="J2532" s="16" t="str">
        <f aca="false">IF(B2532="","",IF(A2532=_xlfn.MINIFS($A$2:$A$5001,$B$2:$B$5001,B2532),1,0))</f>
        <v/>
      </c>
      <c r="K2532" s="16" t="str">
        <f aca="false">IF(B2532="","",IF(AND(D2532="Formalização",E2532="Concluído"),IF(COUNTIFS($B$2:$B$5001,B2532,$E$2:$E$5001,"Em ajustes",$A$2:$A$5001,"&lt;"&amp;I2532)&gt;0,1,0),0))</f>
        <v/>
      </c>
      <c r="L2532" s="16" t="str">
        <f aca="false">IF(B2532="","",IF(A2532=_xlfn.MAXIFS($A$2:$A$5001,$B$2:$B$5001,B2532,$I$2:$I$5001,I2532),1,0))</f>
        <v/>
      </c>
    </row>
    <row r="2533" customFormat="false" ht="15" hidden="false" customHeight="false" outlineLevel="0" collapsed="false">
      <c r="I2533" s="15" t="str">
        <f aca="false">IF(A2533="","",INT(A2533))</f>
        <v/>
      </c>
      <c r="J2533" s="16" t="str">
        <f aca="false">IF(B2533="","",IF(A2533=_xlfn.MINIFS($A$2:$A$5001,$B$2:$B$5001,B2533),1,0))</f>
        <v/>
      </c>
      <c r="K2533" s="16" t="str">
        <f aca="false">IF(B2533="","",IF(AND(D2533="Formalização",E2533="Concluído"),IF(COUNTIFS($B$2:$B$5001,B2533,$E$2:$E$5001,"Em ajustes",$A$2:$A$5001,"&lt;"&amp;I2533)&gt;0,1,0),0))</f>
        <v/>
      </c>
      <c r="L2533" s="16" t="str">
        <f aca="false">IF(B2533="","",IF(A2533=_xlfn.MAXIFS($A$2:$A$5001,$B$2:$B$5001,B2533,$I$2:$I$5001,I2533),1,0))</f>
        <v/>
      </c>
    </row>
    <row r="2534" customFormat="false" ht="15" hidden="false" customHeight="false" outlineLevel="0" collapsed="false">
      <c r="I2534" s="15" t="str">
        <f aca="false">IF(A2534="","",INT(A2534))</f>
        <v/>
      </c>
      <c r="J2534" s="16" t="str">
        <f aca="false">IF(B2534="","",IF(A2534=_xlfn.MINIFS($A$2:$A$5001,$B$2:$B$5001,B2534),1,0))</f>
        <v/>
      </c>
      <c r="K2534" s="16" t="str">
        <f aca="false">IF(B2534="","",IF(AND(D2534="Formalização",E2534="Concluído"),IF(COUNTIFS($B$2:$B$5001,B2534,$E$2:$E$5001,"Em ajustes",$A$2:$A$5001,"&lt;"&amp;I2534)&gt;0,1,0),0))</f>
        <v/>
      </c>
      <c r="L2534" s="16" t="str">
        <f aca="false">IF(B2534="","",IF(A2534=_xlfn.MAXIFS($A$2:$A$5001,$B$2:$B$5001,B2534,$I$2:$I$5001,I2534),1,0))</f>
        <v/>
      </c>
    </row>
    <row r="2535" customFormat="false" ht="15" hidden="false" customHeight="false" outlineLevel="0" collapsed="false">
      <c r="I2535" s="15" t="str">
        <f aca="false">IF(A2535="","",INT(A2535))</f>
        <v/>
      </c>
      <c r="J2535" s="16" t="str">
        <f aca="false">IF(B2535="","",IF(A2535=_xlfn.MINIFS($A$2:$A$5001,$B$2:$B$5001,B2535),1,0))</f>
        <v/>
      </c>
      <c r="K2535" s="16" t="str">
        <f aca="false">IF(B2535="","",IF(AND(D2535="Formalização",E2535="Concluído"),IF(COUNTIFS($B$2:$B$5001,B2535,$E$2:$E$5001,"Em ajustes",$A$2:$A$5001,"&lt;"&amp;I2535)&gt;0,1,0),0))</f>
        <v/>
      </c>
      <c r="L2535" s="16" t="str">
        <f aca="false">IF(B2535="","",IF(A2535=_xlfn.MAXIFS($A$2:$A$5001,$B$2:$B$5001,B2535,$I$2:$I$5001,I2535),1,0))</f>
        <v/>
      </c>
    </row>
    <row r="2536" customFormat="false" ht="15" hidden="false" customHeight="false" outlineLevel="0" collapsed="false">
      <c r="I2536" s="15" t="str">
        <f aca="false">IF(A2536="","",INT(A2536))</f>
        <v/>
      </c>
      <c r="J2536" s="16" t="str">
        <f aca="false">IF(B2536="","",IF(A2536=_xlfn.MINIFS($A$2:$A$5001,$B$2:$B$5001,B2536),1,0))</f>
        <v/>
      </c>
      <c r="K2536" s="16" t="str">
        <f aca="false">IF(B2536="","",IF(AND(D2536="Formalização",E2536="Concluído"),IF(COUNTIFS($B$2:$B$5001,B2536,$E$2:$E$5001,"Em ajustes",$A$2:$A$5001,"&lt;"&amp;I2536)&gt;0,1,0),0))</f>
        <v/>
      </c>
      <c r="L2536" s="16" t="str">
        <f aca="false">IF(B2536="","",IF(A2536=_xlfn.MAXIFS($A$2:$A$5001,$B$2:$B$5001,B2536,$I$2:$I$5001,I2536),1,0))</f>
        <v/>
      </c>
    </row>
    <row r="2537" customFormat="false" ht="15" hidden="false" customHeight="false" outlineLevel="0" collapsed="false">
      <c r="I2537" s="15" t="str">
        <f aca="false">IF(A2537="","",INT(A2537))</f>
        <v/>
      </c>
      <c r="J2537" s="16" t="str">
        <f aca="false">IF(B2537="","",IF(A2537=_xlfn.MINIFS($A$2:$A$5001,$B$2:$B$5001,B2537),1,0))</f>
        <v/>
      </c>
      <c r="K2537" s="16" t="str">
        <f aca="false">IF(B2537="","",IF(AND(D2537="Formalização",E2537="Concluído"),IF(COUNTIFS($B$2:$B$5001,B2537,$E$2:$E$5001,"Em ajustes",$A$2:$A$5001,"&lt;"&amp;I2537)&gt;0,1,0),0))</f>
        <v/>
      </c>
      <c r="L2537" s="16" t="str">
        <f aca="false">IF(B2537="","",IF(A2537=_xlfn.MAXIFS($A$2:$A$5001,$B$2:$B$5001,B2537,$I$2:$I$5001,I2537),1,0))</f>
        <v/>
      </c>
    </row>
    <row r="2538" customFormat="false" ht="15" hidden="false" customHeight="false" outlineLevel="0" collapsed="false">
      <c r="I2538" s="15" t="str">
        <f aca="false">IF(A2538="","",INT(A2538))</f>
        <v/>
      </c>
      <c r="J2538" s="16" t="str">
        <f aca="false">IF(B2538="","",IF(A2538=_xlfn.MINIFS($A$2:$A$5001,$B$2:$B$5001,B2538),1,0))</f>
        <v/>
      </c>
      <c r="K2538" s="16" t="str">
        <f aca="false">IF(B2538="","",IF(AND(D2538="Formalização",E2538="Concluído"),IF(COUNTIFS($B$2:$B$5001,B2538,$E$2:$E$5001,"Em ajustes",$A$2:$A$5001,"&lt;"&amp;I2538)&gt;0,1,0),0))</f>
        <v/>
      </c>
      <c r="L2538" s="16" t="str">
        <f aca="false">IF(B2538="","",IF(A2538=_xlfn.MAXIFS($A$2:$A$5001,$B$2:$B$5001,B2538,$I$2:$I$5001,I2538),1,0))</f>
        <v/>
      </c>
    </row>
    <row r="2539" customFormat="false" ht="15" hidden="false" customHeight="false" outlineLevel="0" collapsed="false">
      <c r="I2539" s="15" t="str">
        <f aca="false">IF(A2539="","",INT(A2539))</f>
        <v/>
      </c>
      <c r="J2539" s="16" t="str">
        <f aca="false">IF(B2539="","",IF(A2539=_xlfn.MINIFS($A$2:$A$5001,$B$2:$B$5001,B2539),1,0))</f>
        <v/>
      </c>
      <c r="K2539" s="16" t="str">
        <f aca="false">IF(B2539="","",IF(AND(D2539="Formalização",E2539="Concluído"),IF(COUNTIFS($B$2:$B$5001,B2539,$E$2:$E$5001,"Em ajustes",$A$2:$A$5001,"&lt;"&amp;I2539)&gt;0,1,0),0))</f>
        <v/>
      </c>
      <c r="L2539" s="16" t="str">
        <f aca="false">IF(B2539="","",IF(A2539=_xlfn.MAXIFS($A$2:$A$5001,$B$2:$B$5001,B2539,$I$2:$I$5001,I2539),1,0))</f>
        <v/>
      </c>
    </row>
    <row r="2540" customFormat="false" ht="15" hidden="false" customHeight="false" outlineLevel="0" collapsed="false">
      <c r="I2540" s="15" t="str">
        <f aca="false">IF(A2540="","",INT(A2540))</f>
        <v/>
      </c>
      <c r="J2540" s="16" t="str">
        <f aca="false">IF(B2540="","",IF(A2540=_xlfn.MINIFS($A$2:$A$5001,$B$2:$B$5001,B2540),1,0))</f>
        <v/>
      </c>
      <c r="K2540" s="16" t="str">
        <f aca="false">IF(B2540="","",IF(AND(D2540="Formalização",E2540="Concluído"),IF(COUNTIFS($B$2:$B$5001,B2540,$E$2:$E$5001,"Em ajustes",$A$2:$A$5001,"&lt;"&amp;I2540)&gt;0,1,0),0))</f>
        <v/>
      </c>
      <c r="L2540" s="16" t="str">
        <f aca="false">IF(B2540="","",IF(A2540=_xlfn.MAXIFS($A$2:$A$5001,$B$2:$B$5001,B2540,$I$2:$I$5001,I2540),1,0))</f>
        <v/>
      </c>
    </row>
    <row r="2541" customFormat="false" ht="15" hidden="false" customHeight="false" outlineLevel="0" collapsed="false">
      <c r="I2541" s="15" t="str">
        <f aca="false">IF(A2541="","",INT(A2541))</f>
        <v/>
      </c>
      <c r="J2541" s="16" t="str">
        <f aca="false">IF(B2541="","",IF(A2541=_xlfn.MINIFS($A$2:$A$5001,$B$2:$B$5001,B2541),1,0))</f>
        <v/>
      </c>
      <c r="K2541" s="16" t="str">
        <f aca="false">IF(B2541="","",IF(AND(D2541="Formalização",E2541="Concluído"),IF(COUNTIFS($B$2:$B$5001,B2541,$E$2:$E$5001,"Em ajustes",$A$2:$A$5001,"&lt;"&amp;I2541)&gt;0,1,0),0))</f>
        <v/>
      </c>
      <c r="L2541" s="16" t="str">
        <f aca="false">IF(B2541="","",IF(A2541=_xlfn.MAXIFS($A$2:$A$5001,$B$2:$B$5001,B2541,$I$2:$I$5001,I2541),1,0))</f>
        <v/>
      </c>
    </row>
    <row r="2542" customFormat="false" ht="15" hidden="false" customHeight="false" outlineLevel="0" collapsed="false">
      <c r="I2542" s="15" t="str">
        <f aca="false">IF(A2542="","",INT(A2542))</f>
        <v/>
      </c>
      <c r="J2542" s="16" t="str">
        <f aca="false">IF(B2542="","",IF(A2542=_xlfn.MINIFS($A$2:$A$5001,$B$2:$B$5001,B2542),1,0))</f>
        <v/>
      </c>
      <c r="K2542" s="16" t="str">
        <f aca="false">IF(B2542="","",IF(AND(D2542="Formalização",E2542="Concluído"),IF(COUNTIFS($B$2:$B$5001,B2542,$E$2:$E$5001,"Em ajustes",$A$2:$A$5001,"&lt;"&amp;I2542)&gt;0,1,0),0))</f>
        <v/>
      </c>
      <c r="L2542" s="16" t="str">
        <f aca="false">IF(B2542="","",IF(A2542=_xlfn.MAXIFS($A$2:$A$5001,$B$2:$B$5001,B2542,$I$2:$I$5001,I2542),1,0))</f>
        <v/>
      </c>
    </row>
    <row r="2543" customFormat="false" ht="15" hidden="false" customHeight="false" outlineLevel="0" collapsed="false">
      <c r="I2543" s="15" t="str">
        <f aca="false">IF(A2543="","",INT(A2543))</f>
        <v/>
      </c>
      <c r="J2543" s="16" t="str">
        <f aca="false">IF(B2543="","",IF(A2543=_xlfn.MINIFS($A$2:$A$5001,$B$2:$B$5001,B2543),1,0))</f>
        <v/>
      </c>
      <c r="K2543" s="16" t="str">
        <f aca="false">IF(B2543="","",IF(AND(D2543="Formalização",E2543="Concluído"),IF(COUNTIFS($B$2:$B$5001,B2543,$E$2:$E$5001,"Em ajustes",$A$2:$A$5001,"&lt;"&amp;I2543)&gt;0,1,0),0))</f>
        <v/>
      </c>
      <c r="L2543" s="16" t="str">
        <f aca="false">IF(B2543="","",IF(A2543=_xlfn.MAXIFS($A$2:$A$5001,$B$2:$B$5001,B2543,$I$2:$I$5001,I2543),1,0))</f>
        <v/>
      </c>
    </row>
    <row r="2544" customFormat="false" ht="15" hidden="false" customHeight="false" outlineLevel="0" collapsed="false">
      <c r="I2544" s="15" t="str">
        <f aca="false">IF(A2544="","",INT(A2544))</f>
        <v/>
      </c>
      <c r="J2544" s="16" t="str">
        <f aca="false">IF(B2544="","",IF(A2544=_xlfn.MINIFS($A$2:$A$5001,$B$2:$B$5001,B2544),1,0))</f>
        <v/>
      </c>
      <c r="K2544" s="16" t="str">
        <f aca="false">IF(B2544="","",IF(AND(D2544="Formalização",E2544="Concluído"),IF(COUNTIFS($B$2:$B$5001,B2544,$E$2:$E$5001,"Em ajustes",$A$2:$A$5001,"&lt;"&amp;I2544)&gt;0,1,0),0))</f>
        <v/>
      </c>
      <c r="L2544" s="16" t="str">
        <f aca="false">IF(B2544="","",IF(A2544=_xlfn.MAXIFS($A$2:$A$5001,$B$2:$B$5001,B2544,$I$2:$I$5001,I2544),1,0))</f>
        <v/>
      </c>
    </row>
    <row r="2545" customFormat="false" ht="15" hidden="false" customHeight="false" outlineLevel="0" collapsed="false">
      <c r="I2545" s="15" t="str">
        <f aca="false">IF(A2545="","",INT(A2545))</f>
        <v/>
      </c>
      <c r="J2545" s="16" t="str">
        <f aca="false">IF(B2545="","",IF(A2545=_xlfn.MINIFS($A$2:$A$5001,$B$2:$B$5001,B2545),1,0))</f>
        <v/>
      </c>
      <c r="K2545" s="16" t="str">
        <f aca="false">IF(B2545="","",IF(AND(D2545="Formalização",E2545="Concluído"),IF(COUNTIFS($B$2:$B$5001,B2545,$E$2:$E$5001,"Em ajustes",$A$2:$A$5001,"&lt;"&amp;I2545)&gt;0,1,0),0))</f>
        <v/>
      </c>
      <c r="L2545" s="16" t="str">
        <f aca="false">IF(B2545="","",IF(A2545=_xlfn.MAXIFS($A$2:$A$5001,$B$2:$B$5001,B2545,$I$2:$I$5001,I2545),1,0))</f>
        <v/>
      </c>
    </row>
    <row r="2546" customFormat="false" ht="15" hidden="false" customHeight="false" outlineLevel="0" collapsed="false">
      <c r="I2546" s="15" t="str">
        <f aca="false">IF(A2546="","",INT(A2546))</f>
        <v/>
      </c>
      <c r="J2546" s="16" t="str">
        <f aca="false">IF(B2546="","",IF(A2546=_xlfn.MINIFS($A$2:$A$5001,$B$2:$B$5001,B2546),1,0))</f>
        <v/>
      </c>
      <c r="K2546" s="16" t="str">
        <f aca="false">IF(B2546="","",IF(AND(D2546="Formalização",E2546="Concluído"),IF(COUNTIFS($B$2:$B$5001,B2546,$E$2:$E$5001,"Em ajustes",$A$2:$A$5001,"&lt;"&amp;I2546)&gt;0,1,0),0))</f>
        <v/>
      </c>
      <c r="L2546" s="16" t="str">
        <f aca="false">IF(B2546="","",IF(A2546=_xlfn.MAXIFS($A$2:$A$5001,$B$2:$B$5001,B2546,$I$2:$I$5001,I2546),1,0))</f>
        <v/>
      </c>
    </row>
    <row r="2547" customFormat="false" ht="15" hidden="false" customHeight="false" outlineLevel="0" collapsed="false">
      <c r="I2547" s="15" t="str">
        <f aca="false">IF(A2547="","",INT(A2547))</f>
        <v/>
      </c>
      <c r="J2547" s="16" t="str">
        <f aca="false">IF(B2547="","",IF(A2547=_xlfn.MINIFS($A$2:$A$5001,$B$2:$B$5001,B2547),1,0))</f>
        <v/>
      </c>
      <c r="K2547" s="16" t="str">
        <f aca="false">IF(B2547="","",IF(AND(D2547="Formalização",E2547="Concluído"),IF(COUNTIFS($B$2:$B$5001,B2547,$E$2:$E$5001,"Em ajustes",$A$2:$A$5001,"&lt;"&amp;I2547)&gt;0,1,0),0))</f>
        <v/>
      </c>
      <c r="L2547" s="16" t="str">
        <f aca="false">IF(B2547="","",IF(A2547=_xlfn.MAXIFS($A$2:$A$5001,$B$2:$B$5001,B2547,$I$2:$I$5001,I2547),1,0))</f>
        <v/>
      </c>
    </row>
    <row r="2548" customFormat="false" ht="15" hidden="false" customHeight="false" outlineLevel="0" collapsed="false">
      <c r="I2548" s="15" t="str">
        <f aca="false">IF(A2548="","",INT(A2548))</f>
        <v/>
      </c>
      <c r="J2548" s="16" t="str">
        <f aca="false">IF(B2548="","",IF(A2548=_xlfn.MINIFS($A$2:$A$5001,$B$2:$B$5001,B2548),1,0))</f>
        <v/>
      </c>
      <c r="K2548" s="16" t="str">
        <f aca="false">IF(B2548="","",IF(AND(D2548="Formalização",E2548="Concluído"),IF(COUNTIFS($B$2:$B$5001,B2548,$E$2:$E$5001,"Em ajustes",$A$2:$A$5001,"&lt;"&amp;I2548)&gt;0,1,0),0))</f>
        <v/>
      </c>
      <c r="L2548" s="16" t="str">
        <f aca="false">IF(B2548="","",IF(A2548=_xlfn.MAXIFS($A$2:$A$5001,$B$2:$B$5001,B2548,$I$2:$I$5001,I2548),1,0))</f>
        <v/>
      </c>
    </row>
    <row r="2549" customFormat="false" ht="15" hidden="false" customHeight="false" outlineLevel="0" collapsed="false">
      <c r="I2549" s="15" t="str">
        <f aca="false">IF(A2549="","",INT(A2549))</f>
        <v/>
      </c>
      <c r="J2549" s="16" t="str">
        <f aca="false">IF(B2549="","",IF(A2549=_xlfn.MINIFS($A$2:$A$5001,$B$2:$B$5001,B2549),1,0))</f>
        <v/>
      </c>
      <c r="K2549" s="16" t="str">
        <f aca="false">IF(B2549="","",IF(AND(D2549="Formalização",E2549="Concluído"),IF(COUNTIFS($B$2:$B$5001,B2549,$E$2:$E$5001,"Em ajustes",$A$2:$A$5001,"&lt;"&amp;I2549)&gt;0,1,0),0))</f>
        <v/>
      </c>
      <c r="L2549" s="16" t="str">
        <f aca="false">IF(B2549="","",IF(A2549=_xlfn.MAXIFS($A$2:$A$5001,$B$2:$B$5001,B2549,$I$2:$I$5001,I2549),1,0))</f>
        <v/>
      </c>
    </row>
    <row r="2550" customFormat="false" ht="15" hidden="false" customHeight="false" outlineLevel="0" collapsed="false">
      <c r="I2550" s="15" t="str">
        <f aca="false">IF(A2550="","",INT(A2550))</f>
        <v/>
      </c>
      <c r="J2550" s="16" t="str">
        <f aca="false">IF(B2550="","",IF(A2550=_xlfn.MINIFS($A$2:$A$5001,$B$2:$B$5001,B2550),1,0))</f>
        <v/>
      </c>
      <c r="K2550" s="16" t="str">
        <f aca="false">IF(B2550="","",IF(AND(D2550="Formalização",E2550="Concluído"),IF(COUNTIFS($B$2:$B$5001,B2550,$E$2:$E$5001,"Em ajustes",$A$2:$A$5001,"&lt;"&amp;I2550)&gt;0,1,0),0))</f>
        <v/>
      </c>
      <c r="L2550" s="16" t="str">
        <f aca="false">IF(B2550="","",IF(A2550=_xlfn.MAXIFS($A$2:$A$5001,$B$2:$B$5001,B2550,$I$2:$I$5001,I2550),1,0))</f>
        <v/>
      </c>
    </row>
    <row r="2551" customFormat="false" ht="15" hidden="false" customHeight="false" outlineLevel="0" collapsed="false">
      <c r="I2551" s="15" t="str">
        <f aca="false">IF(A2551="","",INT(A2551))</f>
        <v/>
      </c>
      <c r="J2551" s="16" t="str">
        <f aca="false">IF(B2551="","",IF(A2551=_xlfn.MINIFS($A$2:$A$5001,$B$2:$B$5001,B2551),1,0))</f>
        <v/>
      </c>
      <c r="K2551" s="16" t="str">
        <f aca="false">IF(B2551="","",IF(AND(D2551="Formalização",E2551="Concluído"),IF(COUNTIFS($B$2:$B$5001,B2551,$E$2:$E$5001,"Em ajustes",$A$2:$A$5001,"&lt;"&amp;I2551)&gt;0,1,0),0))</f>
        <v/>
      </c>
      <c r="L2551" s="16" t="str">
        <f aca="false">IF(B2551="","",IF(A2551=_xlfn.MAXIFS($A$2:$A$5001,$B$2:$B$5001,B2551,$I$2:$I$5001,I2551),1,0))</f>
        <v/>
      </c>
    </row>
    <row r="2552" customFormat="false" ht="15" hidden="false" customHeight="false" outlineLevel="0" collapsed="false">
      <c r="I2552" s="15" t="str">
        <f aca="false">IF(A2552="","",INT(A2552))</f>
        <v/>
      </c>
      <c r="J2552" s="16" t="str">
        <f aca="false">IF(B2552="","",IF(A2552=_xlfn.MINIFS($A$2:$A$5001,$B$2:$B$5001,B2552),1,0))</f>
        <v/>
      </c>
      <c r="K2552" s="16" t="str">
        <f aca="false">IF(B2552="","",IF(AND(D2552="Formalização",E2552="Concluído"),IF(COUNTIFS($B$2:$B$5001,B2552,$E$2:$E$5001,"Em ajustes",$A$2:$A$5001,"&lt;"&amp;I2552)&gt;0,1,0),0))</f>
        <v/>
      </c>
      <c r="L2552" s="16" t="str">
        <f aca="false">IF(B2552="","",IF(A2552=_xlfn.MAXIFS($A$2:$A$5001,$B$2:$B$5001,B2552,$I$2:$I$5001,I2552),1,0))</f>
        <v/>
      </c>
    </row>
    <row r="2553" customFormat="false" ht="15" hidden="false" customHeight="false" outlineLevel="0" collapsed="false">
      <c r="I2553" s="15" t="str">
        <f aca="false">IF(A2553="","",INT(A2553))</f>
        <v/>
      </c>
      <c r="J2553" s="16" t="str">
        <f aca="false">IF(B2553="","",IF(A2553=_xlfn.MINIFS($A$2:$A$5001,$B$2:$B$5001,B2553),1,0))</f>
        <v/>
      </c>
      <c r="K2553" s="16" t="str">
        <f aca="false">IF(B2553="","",IF(AND(D2553="Formalização",E2553="Concluído"),IF(COUNTIFS($B$2:$B$5001,B2553,$E$2:$E$5001,"Em ajustes",$A$2:$A$5001,"&lt;"&amp;I2553)&gt;0,1,0),0))</f>
        <v/>
      </c>
      <c r="L2553" s="16" t="str">
        <f aca="false">IF(B2553="","",IF(A2553=_xlfn.MAXIFS($A$2:$A$5001,$B$2:$B$5001,B2553,$I$2:$I$5001,I2553),1,0))</f>
        <v/>
      </c>
    </row>
    <row r="2554" customFormat="false" ht="15" hidden="false" customHeight="false" outlineLevel="0" collapsed="false">
      <c r="I2554" s="15" t="str">
        <f aca="false">IF(A2554="","",INT(A2554))</f>
        <v/>
      </c>
      <c r="J2554" s="16" t="str">
        <f aca="false">IF(B2554="","",IF(A2554=_xlfn.MINIFS($A$2:$A$5001,$B$2:$B$5001,B2554),1,0))</f>
        <v/>
      </c>
      <c r="K2554" s="16" t="str">
        <f aca="false">IF(B2554="","",IF(AND(D2554="Formalização",E2554="Concluído"),IF(COUNTIFS($B$2:$B$5001,B2554,$E$2:$E$5001,"Em ajustes",$A$2:$A$5001,"&lt;"&amp;I2554)&gt;0,1,0),0))</f>
        <v/>
      </c>
      <c r="L2554" s="16" t="str">
        <f aca="false">IF(B2554="","",IF(A2554=_xlfn.MAXIFS($A$2:$A$5001,$B$2:$B$5001,B2554,$I$2:$I$5001,I2554),1,0))</f>
        <v/>
      </c>
    </row>
    <row r="2555" customFormat="false" ht="15" hidden="false" customHeight="false" outlineLevel="0" collapsed="false">
      <c r="I2555" s="15" t="str">
        <f aca="false">IF(A2555="","",INT(A2555))</f>
        <v/>
      </c>
      <c r="J2555" s="16" t="str">
        <f aca="false">IF(B2555="","",IF(A2555=_xlfn.MINIFS($A$2:$A$5001,$B$2:$B$5001,B2555),1,0))</f>
        <v/>
      </c>
      <c r="K2555" s="16" t="str">
        <f aca="false">IF(B2555="","",IF(AND(D2555="Formalização",E2555="Concluído"),IF(COUNTIFS($B$2:$B$5001,B2555,$E$2:$E$5001,"Em ajustes",$A$2:$A$5001,"&lt;"&amp;I2555)&gt;0,1,0),0))</f>
        <v/>
      </c>
      <c r="L2555" s="16" t="str">
        <f aca="false">IF(B2555="","",IF(A2555=_xlfn.MAXIFS($A$2:$A$5001,$B$2:$B$5001,B2555,$I$2:$I$5001,I2555),1,0))</f>
        <v/>
      </c>
    </row>
    <row r="2556" customFormat="false" ht="15" hidden="false" customHeight="false" outlineLevel="0" collapsed="false">
      <c r="I2556" s="15" t="str">
        <f aca="false">IF(A2556="","",INT(A2556))</f>
        <v/>
      </c>
      <c r="J2556" s="16" t="str">
        <f aca="false">IF(B2556="","",IF(A2556=_xlfn.MINIFS($A$2:$A$5001,$B$2:$B$5001,B2556),1,0))</f>
        <v/>
      </c>
      <c r="K2556" s="16" t="str">
        <f aca="false">IF(B2556="","",IF(AND(D2556="Formalização",E2556="Concluído"),IF(COUNTIFS($B$2:$B$5001,B2556,$E$2:$E$5001,"Em ajustes",$A$2:$A$5001,"&lt;"&amp;I2556)&gt;0,1,0),0))</f>
        <v/>
      </c>
      <c r="L2556" s="16" t="str">
        <f aca="false">IF(B2556="","",IF(A2556=_xlfn.MAXIFS($A$2:$A$5001,$B$2:$B$5001,B2556,$I$2:$I$5001,I2556),1,0))</f>
        <v/>
      </c>
    </row>
    <row r="2557" customFormat="false" ht="15" hidden="false" customHeight="false" outlineLevel="0" collapsed="false">
      <c r="I2557" s="15" t="str">
        <f aca="false">IF(A2557="","",INT(A2557))</f>
        <v/>
      </c>
      <c r="J2557" s="16" t="str">
        <f aca="false">IF(B2557="","",IF(A2557=_xlfn.MINIFS($A$2:$A$5001,$B$2:$B$5001,B2557),1,0))</f>
        <v/>
      </c>
      <c r="K2557" s="16" t="str">
        <f aca="false">IF(B2557="","",IF(AND(D2557="Formalização",E2557="Concluído"),IF(COUNTIFS($B$2:$B$5001,B2557,$E$2:$E$5001,"Em ajustes",$A$2:$A$5001,"&lt;"&amp;I2557)&gt;0,1,0),0))</f>
        <v/>
      </c>
      <c r="L2557" s="16" t="str">
        <f aca="false">IF(B2557="","",IF(A2557=_xlfn.MAXIFS($A$2:$A$5001,$B$2:$B$5001,B2557,$I$2:$I$5001,I2557),1,0))</f>
        <v/>
      </c>
    </row>
    <row r="2558" customFormat="false" ht="15" hidden="false" customHeight="false" outlineLevel="0" collapsed="false">
      <c r="I2558" s="15" t="str">
        <f aca="false">IF(A2558="","",INT(A2558))</f>
        <v/>
      </c>
      <c r="J2558" s="16" t="str">
        <f aca="false">IF(B2558="","",IF(A2558=_xlfn.MINIFS($A$2:$A$5001,$B$2:$B$5001,B2558),1,0))</f>
        <v/>
      </c>
      <c r="K2558" s="16" t="str">
        <f aca="false">IF(B2558="","",IF(AND(D2558="Formalização",E2558="Concluído"),IF(COUNTIFS($B$2:$B$5001,B2558,$E$2:$E$5001,"Em ajustes",$A$2:$A$5001,"&lt;"&amp;I2558)&gt;0,1,0),0))</f>
        <v/>
      </c>
      <c r="L2558" s="16" t="str">
        <f aca="false">IF(B2558="","",IF(A2558=_xlfn.MAXIFS($A$2:$A$5001,$B$2:$B$5001,B2558,$I$2:$I$5001,I2558),1,0))</f>
        <v/>
      </c>
    </row>
    <row r="2559" customFormat="false" ht="15" hidden="false" customHeight="false" outlineLevel="0" collapsed="false">
      <c r="I2559" s="15" t="str">
        <f aca="false">IF(A2559="","",INT(A2559))</f>
        <v/>
      </c>
      <c r="J2559" s="16" t="str">
        <f aca="false">IF(B2559="","",IF(A2559=_xlfn.MINIFS($A$2:$A$5001,$B$2:$B$5001,B2559),1,0))</f>
        <v/>
      </c>
      <c r="K2559" s="16" t="str">
        <f aca="false">IF(B2559="","",IF(AND(D2559="Formalização",E2559="Concluído"),IF(COUNTIFS($B$2:$B$5001,B2559,$E$2:$E$5001,"Em ajustes",$A$2:$A$5001,"&lt;"&amp;I2559)&gt;0,1,0),0))</f>
        <v/>
      </c>
      <c r="L2559" s="16" t="str">
        <f aca="false">IF(B2559="","",IF(A2559=_xlfn.MAXIFS($A$2:$A$5001,$B$2:$B$5001,B2559,$I$2:$I$5001,I2559),1,0))</f>
        <v/>
      </c>
    </row>
    <row r="2560" customFormat="false" ht="15" hidden="false" customHeight="false" outlineLevel="0" collapsed="false">
      <c r="I2560" s="15" t="str">
        <f aca="false">IF(A2560="","",INT(A2560))</f>
        <v/>
      </c>
      <c r="J2560" s="16" t="str">
        <f aca="false">IF(B2560="","",IF(A2560=_xlfn.MINIFS($A$2:$A$5001,$B$2:$B$5001,B2560),1,0))</f>
        <v/>
      </c>
      <c r="K2560" s="16" t="str">
        <f aca="false">IF(B2560="","",IF(AND(D2560="Formalização",E2560="Concluído"),IF(COUNTIFS($B$2:$B$5001,B2560,$E$2:$E$5001,"Em ajustes",$A$2:$A$5001,"&lt;"&amp;I2560)&gt;0,1,0),0))</f>
        <v/>
      </c>
      <c r="L2560" s="16" t="str">
        <f aca="false">IF(B2560="","",IF(A2560=_xlfn.MAXIFS($A$2:$A$5001,$B$2:$B$5001,B2560,$I$2:$I$5001,I2560),1,0))</f>
        <v/>
      </c>
    </row>
    <row r="2561" customFormat="false" ht="15" hidden="false" customHeight="false" outlineLevel="0" collapsed="false">
      <c r="I2561" s="15" t="str">
        <f aca="false">IF(A2561="","",INT(A2561))</f>
        <v/>
      </c>
      <c r="J2561" s="16" t="str">
        <f aca="false">IF(B2561="","",IF(A2561=_xlfn.MINIFS($A$2:$A$5001,$B$2:$B$5001,B2561),1,0))</f>
        <v/>
      </c>
      <c r="K2561" s="16" t="str">
        <f aca="false">IF(B2561="","",IF(AND(D2561="Formalização",E2561="Concluído"),IF(COUNTIFS($B$2:$B$5001,B2561,$E$2:$E$5001,"Em ajustes",$A$2:$A$5001,"&lt;"&amp;I2561)&gt;0,1,0),0))</f>
        <v/>
      </c>
      <c r="L2561" s="16" t="str">
        <f aca="false">IF(B2561="","",IF(A2561=_xlfn.MAXIFS($A$2:$A$5001,$B$2:$B$5001,B2561,$I$2:$I$5001,I2561),1,0))</f>
        <v/>
      </c>
    </row>
    <row r="2562" customFormat="false" ht="15" hidden="false" customHeight="false" outlineLevel="0" collapsed="false">
      <c r="I2562" s="15" t="str">
        <f aca="false">IF(A2562="","",INT(A2562))</f>
        <v/>
      </c>
      <c r="J2562" s="16" t="str">
        <f aca="false">IF(B2562="","",IF(A2562=_xlfn.MINIFS($A$2:$A$5001,$B$2:$B$5001,B2562),1,0))</f>
        <v/>
      </c>
      <c r="K2562" s="16" t="str">
        <f aca="false">IF(B2562="","",IF(AND(D2562="Formalização",E2562="Concluído"),IF(COUNTIFS($B$2:$B$5001,B2562,$E$2:$E$5001,"Em ajustes",$A$2:$A$5001,"&lt;"&amp;I2562)&gt;0,1,0),0))</f>
        <v/>
      </c>
      <c r="L2562" s="16" t="str">
        <f aca="false">IF(B2562="","",IF(A2562=_xlfn.MAXIFS($A$2:$A$5001,$B$2:$B$5001,B2562,$I$2:$I$5001,I2562),1,0))</f>
        <v/>
      </c>
    </row>
    <row r="2563" customFormat="false" ht="15" hidden="false" customHeight="false" outlineLevel="0" collapsed="false">
      <c r="I2563" s="15" t="str">
        <f aca="false">IF(A2563="","",INT(A2563))</f>
        <v/>
      </c>
      <c r="J2563" s="16" t="str">
        <f aca="false">IF(B2563="","",IF(A2563=_xlfn.MINIFS($A$2:$A$5001,$B$2:$B$5001,B2563),1,0))</f>
        <v/>
      </c>
      <c r="K2563" s="16" t="str">
        <f aca="false">IF(B2563="","",IF(AND(D2563="Formalização",E2563="Concluído"),IF(COUNTIFS($B$2:$B$5001,B2563,$E$2:$E$5001,"Em ajustes",$A$2:$A$5001,"&lt;"&amp;I2563)&gt;0,1,0),0))</f>
        <v/>
      </c>
      <c r="L2563" s="16" t="str">
        <f aca="false">IF(B2563="","",IF(A2563=_xlfn.MAXIFS($A$2:$A$5001,$B$2:$B$5001,B2563,$I$2:$I$5001,I2563),1,0))</f>
        <v/>
      </c>
    </row>
    <row r="2564" customFormat="false" ht="15" hidden="false" customHeight="false" outlineLevel="0" collapsed="false">
      <c r="I2564" s="15" t="str">
        <f aca="false">IF(A2564="","",INT(A2564))</f>
        <v/>
      </c>
      <c r="J2564" s="16" t="str">
        <f aca="false">IF(B2564="","",IF(A2564=_xlfn.MINIFS($A$2:$A$5001,$B$2:$B$5001,B2564),1,0))</f>
        <v/>
      </c>
      <c r="K2564" s="16" t="str">
        <f aca="false">IF(B2564="","",IF(AND(D2564="Formalização",E2564="Concluído"),IF(COUNTIFS($B$2:$B$5001,B2564,$E$2:$E$5001,"Em ajustes",$A$2:$A$5001,"&lt;"&amp;I2564)&gt;0,1,0),0))</f>
        <v/>
      </c>
      <c r="L2564" s="16" t="str">
        <f aca="false">IF(B2564="","",IF(A2564=_xlfn.MAXIFS($A$2:$A$5001,$B$2:$B$5001,B2564,$I$2:$I$5001,I2564),1,0))</f>
        <v/>
      </c>
    </row>
    <row r="2565" customFormat="false" ht="15" hidden="false" customHeight="false" outlineLevel="0" collapsed="false">
      <c r="I2565" s="15" t="str">
        <f aca="false">IF(A2565="","",INT(A2565))</f>
        <v/>
      </c>
      <c r="J2565" s="16" t="str">
        <f aca="false">IF(B2565="","",IF(A2565=_xlfn.MINIFS($A$2:$A$5001,$B$2:$B$5001,B2565),1,0))</f>
        <v/>
      </c>
      <c r="K2565" s="16" t="str">
        <f aca="false">IF(B2565="","",IF(AND(D2565="Formalização",E2565="Concluído"),IF(COUNTIFS($B$2:$B$5001,B2565,$E$2:$E$5001,"Em ajustes",$A$2:$A$5001,"&lt;"&amp;I2565)&gt;0,1,0),0))</f>
        <v/>
      </c>
      <c r="L2565" s="16" t="str">
        <f aca="false">IF(B2565="","",IF(A2565=_xlfn.MAXIFS($A$2:$A$5001,$B$2:$B$5001,B2565,$I$2:$I$5001,I2565),1,0))</f>
        <v/>
      </c>
    </row>
    <row r="2566" customFormat="false" ht="15" hidden="false" customHeight="false" outlineLevel="0" collapsed="false">
      <c r="I2566" s="15" t="str">
        <f aca="false">IF(A2566="","",INT(A2566))</f>
        <v/>
      </c>
      <c r="J2566" s="16" t="str">
        <f aca="false">IF(B2566="","",IF(A2566=_xlfn.MINIFS($A$2:$A$5001,$B$2:$B$5001,B2566),1,0))</f>
        <v/>
      </c>
      <c r="K2566" s="16" t="str">
        <f aca="false">IF(B2566="","",IF(AND(D2566="Formalização",E2566="Concluído"),IF(COUNTIFS($B$2:$B$5001,B2566,$E$2:$E$5001,"Em ajustes",$A$2:$A$5001,"&lt;"&amp;I2566)&gt;0,1,0),0))</f>
        <v/>
      </c>
      <c r="L2566" s="16" t="str">
        <f aca="false">IF(B2566="","",IF(A2566=_xlfn.MAXIFS($A$2:$A$5001,$B$2:$B$5001,B2566,$I$2:$I$5001,I2566),1,0))</f>
        <v/>
      </c>
    </row>
    <row r="2567" customFormat="false" ht="15" hidden="false" customHeight="false" outlineLevel="0" collapsed="false">
      <c r="I2567" s="15" t="str">
        <f aca="false">IF(A2567="","",INT(A2567))</f>
        <v/>
      </c>
      <c r="J2567" s="16" t="str">
        <f aca="false">IF(B2567="","",IF(A2567=_xlfn.MINIFS($A$2:$A$5001,$B$2:$B$5001,B2567),1,0))</f>
        <v/>
      </c>
      <c r="K2567" s="16" t="str">
        <f aca="false">IF(B2567="","",IF(AND(D2567="Formalização",E2567="Concluído"),IF(COUNTIFS($B$2:$B$5001,B2567,$E$2:$E$5001,"Em ajustes",$A$2:$A$5001,"&lt;"&amp;I2567)&gt;0,1,0),0))</f>
        <v/>
      </c>
      <c r="L2567" s="16" t="str">
        <f aca="false">IF(B2567="","",IF(A2567=_xlfn.MAXIFS($A$2:$A$5001,$B$2:$B$5001,B2567,$I$2:$I$5001,I2567),1,0))</f>
        <v/>
      </c>
    </row>
    <row r="2568" customFormat="false" ht="15" hidden="false" customHeight="false" outlineLevel="0" collapsed="false">
      <c r="I2568" s="15" t="str">
        <f aca="false">IF(A2568="","",INT(A2568))</f>
        <v/>
      </c>
      <c r="J2568" s="16" t="str">
        <f aca="false">IF(B2568="","",IF(A2568=_xlfn.MINIFS($A$2:$A$5001,$B$2:$B$5001,B2568),1,0))</f>
        <v/>
      </c>
      <c r="K2568" s="16" t="str">
        <f aca="false">IF(B2568="","",IF(AND(D2568="Formalização",E2568="Concluído"),IF(COUNTIFS($B$2:$B$5001,B2568,$E$2:$E$5001,"Em ajustes",$A$2:$A$5001,"&lt;"&amp;I2568)&gt;0,1,0),0))</f>
        <v/>
      </c>
      <c r="L2568" s="16" t="str">
        <f aca="false">IF(B2568="","",IF(A2568=_xlfn.MAXIFS($A$2:$A$5001,$B$2:$B$5001,B2568,$I$2:$I$5001,I2568),1,0))</f>
        <v/>
      </c>
    </row>
    <row r="2569" customFormat="false" ht="15" hidden="false" customHeight="false" outlineLevel="0" collapsed="false">
      <c r="I2569" s="15" t="str">
        <f aca="false">IF(A2569="","",INT(A2569))</f>
        <v/>
      </c>
      <c r="J2569" s="16" t="str">
        <f aca="false">IF(B2569="","",IF(A2569=_xlfn.MINIFS($A$2:$A$5001,$B$2:$B$5001,B2569),1,0))</f>
        <v/>
      </c>
      <c r="K2569" s="16" t="str">
        <f aca="false">IF(B2569="","",IF(AND(D2569="Formalização",E2569="Concluído"),IF(COUNTIFS($B$2:$B$5001,B2569,$E$2:$E$5001,"Em ajustes",$A$2:$A$5001,"&lt;"&amp;I2569)&gt;0,1,0),0))</f>
        <v/>
      </c>
      <c r="L2569" s="16" t="str">
        <f aca="false">IF(B2569="","",IF(A2569=_xlfn.MAXIFS($A$2:$A$5001,$B$2:$B$5001,B2569,$I$2:$I$5001,I2569),1,0))</f>
        <v/>
      </c>
    </row>
    <row r="2570" customFormat="false" ht="15" hidden="false" customHeight="false" outlineLevel="0" collapsed="false">
      <c r="I2570" s="15" t="str">
        <f aca="false">IF(A2570="","",INT(A2570))</f>
        <v/>
      </c>
      <c r="J2570" s="16" t="str">
        <f aca="false">IF(B2570="","",IF(A2570=_xlfn.MINIFS($A$2:$A$5001,$B$2:$B$5001,B2570),1,0))</f>
        <v/>
      </c>
      <c r="K2570" s="16" t="str">
        <f aca="false">IF(B2570="","",IF(AND(D2570="Formalização",E2570="Concluído"),IF(COUNTIFS($B$2:$B$5001,B2570,$E$2:$E$5001,"Em ajustes",$A$2:$A$5001,"&lt;"&amp;I2570)&gt;0,1,0),0))</f>
        <v/>
      </c>
      <c r="L2570" s="16" t="str">
        <f aca="false">IF(B2570="","",IF(A2570=_xlfn.MAXIFS($A$2:$A$5001,$B$2:$B$5001,B2570,$I$2:$I$5001,I2570),1,0))</f>
        <v/>
      </c>
    </row>
    <row r="2571" customFormat="false" ht="15" hidden="false" customHeight="false" outlineLevel="0" collapsed="false">
      <c r="I2571" s="15" t="str">
        <f aca="false">IF(A2571="","",INT(A2571))</f>
        <v/>
      </c>
      <c r="J2571" s="16" t="str">
        <f aca="false">IF(B2571="","",IF(A2571=_xlfn.MINIFS($A$2:$A$5001,$B$2:$B$5001,B2571),1,0))</f>
        <v/>
      </c>
      <c r="K2571" s="16" t="str">
        <f aca="false">IF(B2571="","",IF(AND(D2571="Formalização",E2571="Concluído"),IF(COUNTIFS($B$2:$B$5001,B2571,$E$2:$E$5001,"Em ajustes",$A$2:$A$5001,"&lt;"&amp;I2571)&gt;0,1,0),0))</f>
        <v/>
      </c>
      <c r="L2571" s="16" t="str">
        <f aca="false">IF(B2571="","",IF(A2571=_xlfn.MAXIFS($A$2:$A$5001,$B$2:$B$5001,B2571,$I$2:$I$5001,I2571),1,0))</f>
        <v/>
      </c>
    </row>
    <row r="2572" customFormat="false" ht="15" hidden="false" customHeight="false" outlineLevel="0" collapsed="false">
      <c r="I2572" s="15" t="str">
        <f aca="false">IF(A2572="","",INT(A2572))</f>
        <v/>
      </c>
      <c r="J2572" s="16" t="str">
        <f aca="false">IF(B2572="","",IF(A2572=_xlfn.MINIFS($A$2:$A$5001,$B$2:$B$5001,B2572),1,0))</f>
        <v/>
      </c>
      <c r="K2572" s="16" t="str">
        <f aca="false">IF(B2572="","",IF(AND(D2572="Formalização",E2572="Concluído"),IF(COUNTIFS($B$2:$B$5001,B2572,$E$2:$E$5001,"Em ajustes",$A$2:$A$5001,"&lt;"&amp;I2572)&gt;0,1,0),0))</f>
        <v/>
      </c>
      <c r="L2572" s="16" t="str">
        <f aca="false">IF(B2572="","",IF(A2572=_xlfn.MAXIFS($A$2:$A$5001,$B$2:$B$5001,B2572,$I$2:$I$5001,I2572),1,0))</f>
        <v/>
      </c>
    </row>
    <row r="2573" customFormat="false" ht="15" hidden="false" customHeight="false" outlineLevel="0" collapsed="false">
      <c r="I2573" s="15" t="str">
        <f aca="false">IF(A2573="","",INT(A2573))</f>
        <v/>
      </c>
      <c r="J2573" s="16" t="str">
        <f aca="false">IF(B2573="","",IF(A2573=_xlfn.MINIFS($A$2:$A$5001,$B$2:$B$5001,B2573),1,0))</f>
        <v/>
      </c>
      <c r="K2573" s="16" t="str">
        <f aca="false">IF(B2573="","",IF(AND(D2573="Formalização",E2573="Concluído"),IF(COUNTIFS($B$2:$B$5001,B2573,$E$2:$E$5001,"Em ajustes",$A$2:$A$5001,"&lt;"&amp;I2573)&gt;0,1,0),0))</f>
        <v/>
      </c>
      <c r="L2573" s="16" t="str">
        <f aca="false">IF(B2573="","",IF(A2573=_xlfn.MAXIFS($A$2:$A$5001,$B$2:$B$5001,B2573,$I$2:$I$5001,I2573),1,0))</f>
        <v/>
      </c>
    </row>
    <row r="2574" customFormat="false" ht="15" hidden="false" customHeight="false" outlineLevel="0" collapsed="false">
      <c r="I2574" s="15" t="str">
        <f aca="false">IF(A2574="","",INT(A2574))</f>
        <v/>
      </c>
      <c r="J2574" s="16" t="str">
        <f aca="false">IF(B2574="","",IF(A2574=_xlfn.MINIFS($A$2:$A$5001,$B$2:$B$5001,B2574),1,0))</f>
        <v/>
      </c>
      <c r="K2574" s="16" t="str">
        <f aca="false">IF(B2574="","",IF(AND(D2574="Formalização",E2574="Concluído"),IF(COUNTIFS($B$2:$B$5001,B2574,$E$2:$E$5001,"Em ajustes",$A$2:$A$5001,"&lt;"&amp;I2574)&gt;0,1,0),0))</f>
        <v/>
      </c>
      <c r="L2574" s="16" t="str">
        <f aca="false">IF(B2574="","",IF(A2574=_xlfn.MAXIFS($A$2:$A$5001,$B$2:$B$5001,B2574,$I$2:$I$5001,I2574),1,0))</f>
        <v/>
      </c>
    </row>
    <row r="2575" customFormat="false" ht="15" hidden="false" customHeight="false" outlineLevel="0" collapsed="false">
      <c r="I2575" s="15" t="str">
        <f aca="false">IF(A2575="","",INT(A2575))</f>
        <v/>
      </c>
      <c r="J2575" s="16" t="str">
        <f aca="false">IF(B2575="","",IF(A2575=_xlfn.MINIFS($A$2:$A$5001,$B$2:$B$5001,B2575),1,0))</f>
        <v/>
      </c>
      <c r="K2575" s="16" t="str">
        <f aca="false">IF(B2575="","",IF(AND(D2575="Formalização",E2575="Concluído"),IF(COUNTIFS($B$2:$B$5001,B2575,$E$2:$E$5001,"Em ajustes",$A$2:$A$5001,"&lt;"&amp;I2575)&gt;0,1,0),0))</f>
        <v/>
      </c>
      <c r="L2575" s="16" t="str">
        <f aca="false">IF(B2575="","",IF(A2575=_xlfn.MAXIFS($A$2:$A$5001,$B$2:$B$5001,B2575,$I$2:$I$5001,I2575),1,0))</f>
        <v/>
      </c>
    </row>
    <row r="2576" customFormat="false" ht="15" hidden="false" customHeight="false" outlineLevel="0" collapsed="false">
      <c r="I2576" s="15" t="str">
        <f aca="false">IF(A2576="","",INT(A2576))</f>
        <v/>
      </c>
      <c r="J2576" s="16" t="str">
        <f aca="false">IF(B2576="","",IF(A2576=_xlfn.MINIFS($A$2:$A$5001,$B$2:$B$5001,B2576),1,0))</f>
        <v/>
      </c>
      <c r="K2576" s="16" t="str">
        <f aca="false">IF(B2576="","",IF(AND(D2576="Formalização",E2576="Concluído"),IF(COUNTIFS($B$2:$B$5001,B2576,$E$2:$E$5001,"Em ajustes",$A$2:$A$5001,"&lt;"&amp;I2576)&gt;0,1,0),0))</f>
        <v/>
      </c>
      <c r="L2576" s="16" t="str">
        <f aca="false">IF(B2576="","",IF(A2576=_xlfn.MAXIFS($A$2:$A$5001,$B$2:$B$5001,B2576,$I$2:$I$5001,I2576),1,0))</f>
        <v/>
      </c>
    </row>
    <row r="2577" customFormat="false" ht="15" hidden="false" customHeight="false" outlineLevel="0" collapsed="false">
      <c r="I2577" s="15" t="str">
        <f aca="false">IF(A2577="","",INT(A2577))</f>
        <v/>
      </c>
      <c r="J2577" s="16" t="str">
        <f aca="false">IF(B2577="","",IF(A2577=_xlfn.MINIFS($A$2:$A$5001,$B$2:$B$5001,B2577),1,0))</f>
        <v/>
      </c>
      <c r="K2577" s="16" t="str">
        <f aca="false">IF(B2577="","",IF(AND(D2577="Formalização",E2577="Concluído"),IF(COUNTIFS($B$2:$B$5001,B2577,$E$2:$E$5001,"Em ajustes",$A$2:$A$5001,"&lt;"&amp;I2577)&gt;0,1,0),0))</f>
        <v/>
      </c>
      <c r="L2577" s="16" t="str">
        <f aca="false">IF(B2577="","",IF(A2577=_xlfn.MAXIFS($A$2:$A$5001,$B$2:$B$5001,B2577,$I$2:$I$5001,I2577),1,0))</f>
        <v/>
      </c>
    </row>
    <row r="2578" customFormat="false" ht="15" hidden="false" customHeight="false" outlineLevel="0" collapsed="false">
      <c r="I2578" s="15" t="str">
        <f aca="false">IF(A2578="","",INT(A2578))</f>
        <v/>
      </c>
      <c r="J2578" s="16" t="str">
        <f aca="false">IF(B2578="","",IF(A2578=_xlfn.MINIFS($A$2:$A$5001,$B$2:$B$5001,B2578),1,0))</f>
        <v/>
      </c>
      <c r="K2578" s="16" t="str">
        <f aca="false">IF(B2578="","",IF(AND(D2578="Formalização",E2578="Concluído"),IF(COUNTIFS($B$2:$B$5001,B2578,$E$2:$E$5001,"Em ajustes",$A$2:$A$5001,"&lt;"&amp;I2578)&gt;0,1,0),0))</f>
        <v/>
      </c>
      <c r="L2578" s="16" t="str">
        <f aca="false">IF(B2578="","",IF(A2578=_xlfn.MAXIFS($A$2:$A$5001,$B$2:$B$5001,B2578,$I$2:$I$5001,I2578),1,0))</f>
        <v/>
      </c>
    </row>
    <row r="2579" customFormat="false" ht="15" hidden="false" customHeight="false" outlineLevel="0" collapsed="false">
      <c r="I2579" s="15" t="str">
        <f aca="false">IF(A2579="","",INT(A2579))</f>
        <v/>
      </c>
      <c r="J2579" s="16" t="str">
        <f aca="false">IF(B2579="","",IF(A2579=_xlfn.MINIFS($A$2:$A$5001,$B$2:$B$5001,B2579),1,0))</f>
        <v/>
      </c>
      <c r="K2579" s="16" t="str">
        <f aca="false">IF(B2579="","",IF(AND(D2579="Formalização",E2579="Concluído"),IF(COUNTIFS($B$2:$B$5001,B2579,$E$2:$E$5001,"Em ajustes",$A$2:$A$5001,"&lt;"&amp;I2579)&gt;0,1,0),0))</f>
        <v/>
      </c>
      <c r="L2579" s="16" t="str">
        <f aca="false">IF(B2579="","",IF(A2579=_xlfn.MAXIFS($A$2:$A$5001,$B$2:$B$5001,B2579,$I$2:$I$5001,I2579),1,0))</f>
        <v/>
      </c>
    </row>
    <row r="2580" customFormat="false" ht="15" hidden="false" customHeight="false" outlineLevel="0" collapsed="false">
      <c r="I2580" s="15" t="str">
        <f aca="false">IF(A2580="","",INT(A2580))</f>
        <v/>
      </c>
      <c r="J2580" s="16" t="str">
        <f aca="false">IF(B2580="","",IF(A2580=_xlfn.MINIFS($A$2:$A$5001,$B$2:$B$5001,B2580),1,0))</f>
        <v/>
      </c>
      <c r="K2580" s="16" t="str">
        <f aca="false">IF(B2580="","",IF(AND(D2580="Formalização",E2580="Concluído"),IF(COUNTIFS($B$2:$B$5001,B2580,$E$2:$E$5001,"Em ajustes",$A$2:$A$5001,"&lt;"&amp;I2580)&gt;0,1,0),0))</f>
        <v/>
      </c>
      <c r="L2580" s="16" t="str">
        <f aca="false">IF(B2580="","",IF(A2580=_xlfn.MAXIFS($A$2:$A$5001,$B$2:$B$5001,B2580,$I$2:$I$5001,I2580),1,0))</f>
        <v/>
      </c>
    </row>
    <row r="2581" customFormat="false" ht="15" hidden="false" customHeight="false" outlineLevel="0" collapsed="false">
      <c r="I2581" s="15" t="str">
        <f aca="false">IF(A2581="","",INT(A2581))</f>
        <v/>
      </c>
      <c r="J2581" s="16" t="str">
        <f aca="false">IF(B2581="","",IF(A2581=_xlfn.MINIFS($A$2:$A$5001,$B$2:$B$5001,B2581),1,0))</f>
        <v/>
      </c>
      <c r="K2581" s="16" t="str">
        <f aca="false">IF(B2581="","",IF(AND(D2581="Formalização",E2581="Concluído"),IF(COUNTIFS($B$2:$B$5001,B2581,$E$2:$E$5001,"Em ajustes",$A$2:$A$5001,"&lt;"&amp;I2581)&gt;0,1,0),0))</f>
        <v/>
      </c>
      <c r="L2581" s="16" t="str">
        <f aca="false">IF(B2581="","",IF(A2581=_xlfn.MAXIFS($A$2:$A$5001,$B$2:$B$5001,B2581,$I$2:$I$5001,I2581),1,0))</f>
        <v/>
      </c>
    </row>
    <row r="2582" customFormat="false" ht="15" hidden="false" customHeight="false" outlineLevel="0" collapsed="false">
      <c r="I2582" s="15" t="str">
        <f aca="false">IF(A2582="","",INT(A2582))</f>
        <v/>
      </c>
      <c r="J2582" s="16" t="str">
        <f aca="false">IF(B2582="","",IF(A2582=_xlfn.MINIFS($A$2:$A$5001,$B$2:$B$5001,B2582),1,0))</f>
        <v/>
      </c>
      <c r="K2582" s="16" t="str">
        <f aca="false">IF(B2582="","",IF(AND(D2582="Formalização",E2582="Concluído"),IF(COUNTIFS($B$2:$B$5001,B2582,$E$2:$E$5001,"Em ajustes",$A$2:$A$5001,"&lt;"&amp;I2582)&gt;0,1,0),0))</f>
        <v/>
      </c>
      <c r="L2582" s="16" t="str">
        <f aca="false">IF(B2582="","",IF(A2582=_xlfn.MAXIFS($A$2:$A$5001,$B$2:$B$5001,B2582,$I$2:$I$5001,I2582),1,0))</f>
        <v/>
      </c>
    </row>
    <row r="2583" customFormat="false" ht="15" hidden="false" customHeight="false" outlineLevel="0" collapsed="false">
      <c r="I2583" s="15" t="str">
        <f aca="false">IF(A2583="","",INT(A2583))</f>
        <v/>
      </c>
      <c r="J2583" s="16" t="str">
        <f aca="false">IF(B2583="","",IF(A2583=_xlfn.MINIFS($A$2:$A$5001,$B$2:$B$5001,B2583),1,0))</f>
        <v/>
      </c>
      <c r="K2583" s="16" t="str">
        <f aca="false">IF(B2583="","",IF(AND(D2583="Formalização",E2583="Concluído"),IF(COUNTIFS($B$2:$B$5001,B2583,$E$2:$E$5001,"Em ajustes",$A$2:$A$5001,"&lt;"&amp;I2583)&gt;0,1,0),0))</f>
        <v/>
      </c>
      <c r="L2583" s="16" t="str">
        <f aca="false">IF(B2583="","",IF(A2583=_xlfn.MAXIFS($A$2:$A$5001,$B$2:$B$5001,B2583,$I$2:$I$5001,I2583),1,0))</f>
        <v/>
      </c>
    </row>
    <row r="2584" customFormat="false" ht="15" hidden="false" customHeight="false" outlineLevel="0" collapsed="false">
      <c r="I2584" s="15" t="str">
        <f aca="false">IF(A2584="","",INT(A2584))</f>
        <v/>
      </c>
      <c r="J2584" s="16" t="str">
        <f aca="false">IF(B2584="","",IF(A2584=_xlfn.MINIFS($A$2:$A$5001,$B$2:$B$5001,B2584),1,0))</f>
        <v/>
      </c>
      <c r="K2584" s="16" t="str">
        <f aca="false">IF(B2584="","",IF(AND(D2584="Formalização",E2584="Concluído"),IF(COUNTIFS($B$2:$B$5001,B2584,$E$2:$E$5001,"Em ajustes",$A$2:$A$5001,"&lt;"&amp;I2584)&gt;0,1,0),0))</f>
        <v/>
      </c>
      <c r="L2584" s="16" t="str">
        <f aca="false">IF(B2584="","",IF(A2584=_xlfn.MAXIFS($A$2:$A$5001,$B$2:$B$5001,B2584,$I$2:$I$5001,I2584),1,0))</f>
        <v/>
      </c>
    </row>
    <row r="2585" customFormat="false" ht="15" hidden="false" customHeight="false" outlineLevel="0" collapsed="false">
      <c r="I2585" s="15" t="str">
        <f aca="false">IF(A2585="","",INT(A2585))</f>
        <v/>
      </c>
      <c r="J2585" s="16" t="str">
        <f aca="false">IF(B2585="","",IF(A2585=_xlfn.MINIFS($A$2:$A$5001,$B$2:$B$5001,B2585),1,0))</f>
        <v/>
      </c>
      <c r="K2585" s="16" t="str">
        <f aca="false">IF(B2585="","",IF(AND(D2585="Formalização",E2585="Concluído"),IF(COUNTIFS($B$2:$B$5001,B2585,$E$2:$E$5001,"Em ajustes",$A$2:$A$5001,"&lt;"&amp;I2585)&gt;0,1,0),0))</f>
        <v/>
      </c>
      <c r="L2585" s="16" t="str">
        <f aca="false">IF(B2585="","",IF(A2585=_xlfn.MAXIFS($A$2:$A$5001,$B$2:$B$5001,B2585,$I$2:$I$5001,I2585),1,0))</f>
        <v/>
      </c>
    </row>
    <row r="2586" customFormat="false" ht="15" hidden="false" customHeight="false" outlineLevel="0" collapsed="false">
      <c r="I2586" s="15" t="str">
        <f aca="false">IF(A2586="","",INT(A2586))</f>
        <v/>
      </c>
      <c r="J2586" s="16" t="str">
        <f aca="false">IF(B2586="","",IF(A2586=_xlfn.MINIFS($A$2:$A$5001,$B$2:$B$5001,B2586),1,0))</f>
        <v/>
      </c>
      <c r="K2586" s="16" t="str">
        <f aca="false">IF(B2586="","",IF(AND(D2586="Formalização",E2586="Concluído"),IF(COUNTIFS($B$2:$B$5001,B2586,$E$2:$E$5001,"Em ajustes",$A$2:$A$5001,"&lt;"&amp;I2586)&gt;0,1,0),0))</f>
        <v/>
      </c>
      <c r="L2586" s="16" t="str">
        <f aca="false">IF(B2586="","",IF(A2586=_xlfn.MAXIFS($A$2:$A$5001,$B$2:$B$5001,B2586,$I$2:$I$5001,I2586),1,0))</f>
        <v/>
      </c>
    </row>
    <row r="2587" customFormat="false" ht="15" hidden="false" customHeight="false" outlineLevel="0" collapsed="false">
      <c r="I2587" s="15" t="str">
        <f aca="false">IF(A2587="","",INT(A2587))</f>
        <v/>
      </c>
      <c r="J2587" s="16" t="str">
        <f aca="false">IF(B2587="","",IF(A2587=_xlfn.MINIFS($A$2:$A$5001,$B$2:$B$5001,B2587),1,0))</f>
        <v/>
      </c>
      <c r="K2587" s="16" t="str">
        <f aca="false">IF(B2587="","",IF(AND(D2587="Formalização",E2587="Concluído"),IF(COUNTIFS($B$2:$B$5001,B2587,$E$2:$E$5001,"Em ajustes",$A$2:$A$5001,"&lt;"&amp;I2587)&gt;0,1,0),0))</f>
        <v/>
      </c>
      <c r="L2587" s="16" t="str">
        <f aca="false">IF(B2587="","",IF(A2587=_xlfn.MAXIFS($A$2:$A$5001,$B$2:$B$5001,B2587,$I$2:$I$5001,I2587),1,0))</f>
        <v/>
      </c>
    </row>
    <row r="2588" customFormat="false" ht="15" hidden="false" customHeight="false" outlineLevel="0" collapsed="false">
      <c r="I2588" s="15" t="str">
        <f aca="false">IF(A2588="","",INT(A2588))</f>
        <v/>
      </c>
      <c r="J2588" s="16" t="str">
        <f aca="false">IF(B2588="","",IF(A2588=_xlfn.MINIFS($A$2:$A$5001,$B$2:$B$5001,B2588),1,0))</f>
        <v/>
      </c>
      <c r="K2588" s="16" t="str">
        <f aca="false">IF(B2588="","",IF(AND(D2588="Formalização",E2588="Concluído"),IF(COUNTIFS($B$2:$B$5001,B2588,$E$2:$E$5001,"Em ajustes",$A$2:$A$5001,"&lt;"&amp;I2588)&gt;0,1,0),0))</f>
        <v/>
      </c>
      <c r="L2588" s="16" t="str">
        <f aca="false">IF(B2588="","",IF(A2588=_xlfn.MAXIFS($A$2:$A$5001,$B$2:$B$5001,B2588,$I$2:$I$5001,I2588),1,0))</f>
        <v/>
      </c>
    </row>
    <row r="2589" customFormat="false" ht="15" hidden="false" customHeight="false" outlineLevel="0" collapsed="false">
      <c r="I2589" s="15" t="str">
        <f aca="false">IF(A2589="","",INT(A2589))</f>
        <v/>
      </c>
      <c r="J2589" s="16" t="str">
        <f aca="false">IF(B2589="","",IF(A2589=_xlfn.MINIFS($A$2:$A$5001,$B$2:$B$5001,B2589),1,0))</f>
        <v/>
      </c>
      <c r="K2589" s="16" t="str">
        <f aca="false">IF(B2589="","",IF(AND(D2589="Formalização",E2589="Concluído"),IF(COUNTIFS($B$2:$B$5001,B2589,$E$2:$E$5001,"Em ajustes",$A$2:$A$5001,"&lt;"&amp;I2589)&gt;0,1,0),0))</f>
        <v/>
      </c>
      <c r="L2589" s="16" t="str">
        <f aca="false">IF(B2589="","",IF(A2589=_xlfn.MAXIFS($A$2:$A$5001,$B$2:$B$5001,B2589,$I$2:$I$5001,I2589),1,0))</f>
        <v/>
      </c>
    </row>
    <row r="2590" customFormat="false" ht="15" hidden="false" customHeight="false" outlineLevel="0" collapsed="false">
      <c r="I2590" s="15" t="str">
        <f aca="false">IF(A2590="","",INT(A2590))</f>
        <v/>
      </c>
      <c r="J2590" s="16" t="str">
        <f aca="false">IF(B2590="","",IF(A2590=_xlfn.MINIFS($A$2:$A$5001,$B$2:$B$5001,B2590),1,0))</f>
        <v/>
      </c>
      <c r="K2590" s="16" t="str">
        <f aca="false">IF(B2590="","",IF(AND(D2590="Formalização",E2590="Concluído"),IF(COUNTIFS($B$2:$B$5001,B2590,$E$2:$E$5001,"Em ajustes",$A$2:$A$5001,"&lt;"&amp;I2590)&gt;0,1,0),0))</f>
        <v/>
      </c>
      <c r="L2590" s="16" t="str">
        <f aca="false">IF(B2590="","",IF(A2590=_xlfn.MAXIFS($A$2:$A$5001,$B$2:$B$5001,B2590,$I$2:$I$5001,I2590),1,0))</f>
        <v/>
      </c>
    </row>
    <row r="2591" customFormat="false" ht="15" hidden="false" customHeight="false" outlineLevel="0" collapsed="false">
      <c r="I2591" s="15" t="str">
        <f aca="false">IF(A2591="","",INT(A2591))</f>
        <v/>
      </c>
      <c r="J2591" s="16" t="str">
        <f aca="false">IF(B2591="","",IF(A2591=_xlfn.MINIFS($A$2:$A$5001,$B$2:$B$5001,B2591),1,0))</f>
        <v/>
      </c>
      <c r="K2591" s="16" t="str">
        <f aca="false">IF(B2591="","",IF(AND(D2591="Formalização",E2591="Concluído"),IF(COUNTIFS($B$2:$B$5001,B2591,$E$2:$E$5001,"Em ajustes",$A$2:$A$5001,"&lt;"&amp;I2591)&gt;0,1,0),0))</f>
        <v/>
      </c>
      <c r="L2591" s="16" t="str">
        <f aca="false">IF(B2591="","",IF(A2591=_xlfn.MAXIFS($A$2:$A$5001,$B$2:$B$5001,B2591,$I$2:$I$5001,I2591),1,0))</f>
        <v/>
      </c>
    </row>
    <row r="2592" customFormat="false" ht="15" hidden="false" customHeight="false" outlineLevel="0" collapsed="false">
      <c r="I2592" s="15" t="str">
        <f aca="false">IF(A2592="","",INT(A2592))</f>
        <v/>
      </c>
      <c r="J2592" s="16" t="str">
        <f aca="false">IF(B2592="","",IF(A2592=_xlfn.MINIFS($A$2:$A$5001,$B$2:$B$5001,B2592),1,0))</f>
        <v/>
      </c>
      <c r="K2592" s="16" t="str">
        <f aca="false">IF(B2592="","",IF(AND(D2592="Formalização",E2592="Concluído"),IF(COUNTIFS($B$2:$B$5001,B2592,$E$2:$E$5001,"Em ajustes",$A$2:$A$5001,"&lt;"&amp;I2592)&gt;0,1,0),0))</f>
        <v/>
      </c>
      <c r="L2592" s="16" t="str">
        <f aca="false">IF(B2592="","",IF(A2592=_xlfn.MAXIFS($A$2:$A$5001,$B$2:$B$5001,B2592,$I$2:$I$5001,I2592),1,0))</f>
        <v/>
      </c>
    </row>
    <row r="2593" customFormat="false" ht="15" hidden="false" customHeight="false" outlineLevel="0" collapsed="false">
      <c r="I2593" s="15" t="str">
        <f aca="false">IF(A2593="","",INT(A2593))</f>
        <v/>
      </c>
      <c r="J2593" s="16" t="str">
        <f aca="false">IF(B2593="","",IF(A2593=_xlfn.MINIFS($A$2:$A$5001,$B$2:$B$5001,B2593),1,0))</f>
        <v/>
      </c>
      <c r="K2593" s="16" t="str">
        <f aca="false">IF(B2593="","",IF(AND(D2593="Formalização",E2593="Concluído"),IF(COUNTIFS($B$2:$B$5001,B2593,$E$2:$E$5001,"Em ajustes",$A$2:$A$5001,"&lt;"&amp;I2593)&gt;0,1,0),0))</f>
        <v/>
      </c>
      <c r="L2593" s="16" t="str">
        <f aca="false">IF(B2593="","",IF(A2593=_xlfn.MAXIFS($A$2:$A$5001,$B$2:$B$5001,B2593,$I$2:$I$5001,I2593),1,0))</f>
        <v/>
      </c>
    </row>
    <row r="2594" customFormat="false" ht="15" hidden="false" customHeight="false" outlineLevel="0" collapsed="false">
      <c r="I2594" s="15" t="str">
        <f aca="false">IF(A2594="","",INT(A2594))</f>
        <v/>
      </c>
      <c r="J2594" s="16" t="str">
        <f aca="false">IF(B2594="","",IF(A2594=_xlfn.MINIFS($A$2:$A$5001,$B$2:$B$5001,B2594),1,0))</f>
        <v/>
      </c>
      <c r="K2594" s="16" t="str">
        <f aca="false">IF(B2594="","",IF(AND(D2594="Formalização",E2594="Concluído"),IF(COUNTIFS($B$2:$B$5001,B2594,$E$2:$E$5001,"Em ajustes",$A$2:$A$5001,"&lt;"&amp;I2594)&gt;0,1,0),0))</f>
        <v/>
      </c>
      <c r="L2594" s="16" t="str">
        <f aca="false">IF(B2594="","",IF(A2594=_xlfn.MAXIFS($A$2:$A$5001,$B$2:$B$5001,B2594,$I$2:$I$5001,I2594),1,0))</f>
        <v/>
      </c>
    </row>
    <row r="2595" customFormat="false" ht="15" hidden="false" customHeight="false" outlineLevel="0" collapsed="false">
      <c r="I2595" s="15" t="str">
        <f aca="false">IF(A2595="","",INT(A2595))</f>
        <v/>
      </c>
      <c r="J2595" s="16" t="str">
        <f aca="false">IF(B2595="","",IF(A2595=_xlfn.MINIFS($A$2:$A$5001,$B$2:$B$5001,B2595),1,0))</f>
        <v/>
      </c>
      <c r="K2595" s="16" t="str">
        <f aca="false">IF(B2595="","",IF(AND(D2595="Formalização",E2595="Concluído"),IF(COUNTIFS($B$2:$B$5001,B2595,$E$2:$E$5001,"Em ajustes",$A$2:$A$5001,"&lt;"&amp;I2595)&gt;0,1,0),0))</f>
        <v/>
      </c>
      <c r="L2595" s="16" t="str">
        <f aca="false">IF(B2595="","",IF(A2595=_xlfn.MAXIFS($A$2:$A$5001,$B$2:$B$5001,B2595,$I$2:$I$5001,I2595),1,0))</f>
        <v/>
      </c>
    </row>
    <row r="2596" customFormat="false" ht="15" hidden="false" customHeight="false" outlineLevel="0" collapsed="false">
      <c r="I2596" s="15" t="str">
        <f aca="false">IF(A2596="","",INT(A2596))</f>
        <v/>
      </c>
      <c r="J2596" s="16" t="str">
        <f aca="false">IF(B2596="","",IF(A2596=_xlfn.MINIFS($A$2:$A$5001,$B$2:$B$5001,B2596),1,0))</f>
        <v/>
      </c>
      <c r="K2596" s="16" t="str">
        <f aca="false">IF(B2596="","",IF(AND(D2596="Formalização",E2596="Concluído"),IF(COUNTIFS($B$2:$B$5001,B2596,$E$2:$E$5001,"Em ajustes",$A$2:$A$5001,"&lt;"&amp;I2596)&gt;0,1,0),0))</f>
        <v/>
      </c>
      <c r="L2596" s="16" t="str">
        <f aca="false">IF(B2596="","",IF(A2596=_xlfn.MAXIFS($A$2:$A$5001,$B$2:$B$5001,B2596,$I$2:$I$5001,I2596),1,0))</f>
        <v/>
      </c>
    </row>
    <row r="2597" customFormat="false" ht="15" hidden="false" customHeight="false" outlineLevel="0" collapsed="false">
      <c r="I2597" s="15" t="str">
        <f aca="false">IF(A2597="","",INT(A2597))</f>
        <v/>
      </c>
      <c r="J2597" s="16" t="str">
        <f aca="false">IF(B2597="","",IF(A2597=_xlfn.MINIFS($A$2:$A$5001,$B$2:$B$5001,B2597),1,0))</f>
        <v/>
      </c>
      <c r="K2597" s="16" t="str">
        <f aca="false">IF(B2597="","",IF(AND(D2597="Formalização",E2597="Concluído"),IF(COUNTIFS($B$2:$B$5001,B2597,$E$2:$E$5001,"Em ajustes",$A$2:$A$5001,"&lt;"&amp;I2597)&gt;0,1,0),0))</f>
        <v/>
      </c>
      <c r="L2597" s="16" t="str">
        <f aca="false">IF(B2597="","",IF(A2597=_xlfn.MAXIFS($A$2:$A$5001,$B$2:$B$5001,B2597,$I$2:$I$5001,I2597),1,0))</f>
        <v/>
      </c>
    </row>
    <row r="2598" customFormat="false" ht="15" hidden="false" customHeight="false" outlineLevel="0" collapsed="false">
      <c r="I2598" s="15" t="str">
        <f aca="false">IF(A2598="","",INT(A2598))</f>
        <v/>
      </c>
      <c r="J2598" s="16" t="str">
        <f aca="false">IF(B2598="","",IF(A2598=_xlfn.MINIFS($A$2:$A$5001,$B$2:$B$5001,B2598),1,0))</f>
        <v/>
      </c>
      <c r="K2598" s="16" t="str">
        <f aca="false">IF(B2598="","",IF(AND(D2598="Formalização",E2598="Concluído"),IF(COUNTIFS($B$2:$B$5001,B2598,$E$2:$E$5001,"Em ajustes",$A$2:$A$5001,"&lt;"&amp;I2598)&gt;0,1,0),0))</f>
        <v/>
      </c>
      <c r="L2598" s="16" t="str">
        <f aca="false">IF(B2598="","",IF(A2598=_xlfn.MAXIFS($A$2:$A$5001,$B$2:$B$5001,B2598,$I$2:$I$5001,I2598),1,0))</f>
        <v/>
      </c>
    </row>
    <row r="2599" customFormat="false" ht="15" hidden="false" customHeight="false" outlineLevel="0" collapsed="false">
      <c r="I2599" s="15" t="str">
        <f aca="false">IF(A2599="","",INT(A2599))</f>
        <v/>
      </c>
      <c r="J2599" s="16" t="str">
        <f aca="false">IF(B2599="","",IF(A2599=_xlfn.MINIFS($A$2:$A$5001,$B$2:$B$5001,B2599),1,0))</f>
        <v/>
      </c>
      <c r="K2599" s="16" t="str">
        <f aca="false">IF(B2599="","",IF(AND(D2599="Formalização",E2599="Concluído"),IF(COUNTIFS($B$2:$B$5001,B2599,$E$2:$E$5001,"Em ajustes",$A$2:$A$5001,"&lt;"&amp;I2599)&gt;0,1,0),0))</f>
        <v/>
      </c>
      <c r="L2599" s="16" t="str">
        <f aca="false">IF(B2599="","",IF(A2599=_xlfn.MAXIFS($A$2:$A$5001,$B$2:$B$5001,B2599,$I$2:$I$5001,I2599),1,0))</f>
        <v/>
      </c>
    </row>
    <row r="2600" customFormat="false" ht="15" hidden="false" customHeight="false" outlineLevel="0" collapsed="false">
      <c r="I2600" s="15" t="str">
        <f aca="false">IF(A2600="","",INT(A2600))</f>
        <v/>
      </c>
      <c r="J2600" s="16" t="str">
        <f aca="false">IF(B2600="","",IF(A2600=_xlfn.MINIFS($A$2:$A$5001,$B$2:$B$5001,B2600),1,0))</f>
        <v/>
      </c>
      <c r="K2600" s="16" t="str">
        <f aca="false">IF(B2600="","",IF(AND(D2600="Formalização",E2600="Concluído"),IF(COUNTIFS($B$2:$B$5001,B2600,$E$2:$E$5001,"Em ajustes",$A$2:$A$5001,"&lt;"&amp;I2600)&gt;0,1,0),0))</f>
        <v/>
      </c>
      <c r="L2600" s="16" t="str">
        <f aca="false">IF(B2600="","",IF(A2600=_xlfn.MAXIFS($A$2:$A$5001,$B$2:$B$5001,B2600,$I$2:$I$5001,I2600),1,0))</f>
        <v/>
      </c>
    </row>
    <row r="2601" customFormat="false" ht="15" hidden="false" customHeight="false" outlineLevel="0" collapsed="false">
      <c r="I2601" s="15" t="str">
        <f aca="false">IF(A2601="","",INT(A2601))</f>
        <v/>
      </c>
      <c r="J2601" s="16" t="str">
        <f aca="false">IF(B2601="","",IF(A2601=_xlfn.MINIFS($A$2:$A$5001,$B$2:$B$5001,B2601),1,0))</f>
        <v/>
      </c>
      <c r="K2601" s="16" t="str">
        <f aca="false">IF(B2601="","",IF(AND(D2601="Formalização",E2601="Concluído"),IF(COUNTIFS($B$2:$B$5001,B2601,$E$2:$E$5001,"Em ajustes",$A$2:$A$5001,"&lt;"&amp;I2601)&gt;0,1,0),0))</f>
        <v/>
      </c>
      <c r="L2601" s="16" t="str">
        <f aca="false">IF(B2601="","",IF(A2601=_xlfn.MAXIFS($A$2:$A$5001,$B$2:$B$5001,B2601,$I$2:$I$5001,I2601),1,0))</f>
        <v/>
      </c>
    </row>
    <row r="2602" customFormat="false" ht="15" hidden="false" customHeight="false" outlineLevel="0" collapsed="false">
      <c r="I2602" s="15" t="str">
        <f aca="false">IF(A2602="","",INT(A2602))</f>
        <v/>
      </c>
      <c r="J2602" s="16" t="str">
        <f aca="false">IF(B2602="","",IF(A2602=_xlfn.MINIFS($A$2:$A$5001,$B$2:$B$5001,B2602),1,0))</f>
        <v/>
      </c>
      <c r="K2602" s="16" t="str">
        <f aca="false">IF(B2602="","",IF(AND(D2602="Formalização",E2602="Concluído"),IF(COUNTIFS($B$2:$B$5001,B2602,$E$2:$E$5001,"Em ajustes",$A$2:$A$5001,"&lt;"&amp;I2602)&gt;0,1,0),0))</f>
        <v/>
      </c>
      <c r="L2602" s="16" t="str">
        <f aca="false">IF(B2602="","",IF(A2602=_xlfn.MAXIFS($A$2:$A$5001,$B$2:$B$5001,B2602,$I$2:$I$5001,I2602),1,0))</f>
        <v/>
      </c>
    </row>
    <row r="2603" customFormat="false" ht="15" hidden="false" customHeight="false" outlineLevel="0" collapsed="false">
      <c r="I2603" s="15" t="str">
        <f aca="false">IF(A2603="","",INT(A2603))</f>
        <v/>
      </c>
      <c r="J2603" s="16" t="str">
        <f aca="false">IF(B2603="","",IF(A2603=_xlfn.MINIFS($A$2:$A$5001,$B$2:$B$5001,B2603),1,0))</f>
        <v/>
      </c>
      <c r="K2603" s="16" t="str">
        <f aca="false">IF(B2603="","",IF(AND(D2603="Formalização",E2603="Concluído"),IF(COUNTIFS($B$2:$B$5001,B2603,$E$2:$E$5001,"Em ajustes",$A$2:$A$5001,"&lt;"&amp;I2603)&gt;0,1,0),0))</f>
        <v/>
      </c>
      <c r="L2603" s="16" t="str">
        <f aca="false">IF(B2603="","",IF(A2603=_xlfn.MAXIFS($A$2:$A$5001,$B$2:$B$5001,B2603,$I$2:$I$5001,I2603),1,0))</f>
        <v/>
      </c>
    </row>
    <row r="2604" customFormat="false" ht="15" hidden="false" customHeight="false" outlineLevel="0" collapsed="false">
      <c r="I2604" s="15" t="str">
        <f aca="false">IF(A2604="","",INT(A2604))</f>
        <v/>
      </c>
      <c r="J2604" s="16" t="str">
        <f aca="false">IF(B2604="","",IF(A2604=_xlfn.MINIFS($A$2:$A$5001,$B$2:$B$5001,B2604),1,0))</f>
        <v/>
      </c>
      <c r="K2604" s="16" t="str">
        <f aca="false">IF(B2604="","",IF(AND(D2604="Formalização",E2604="Concluído"),IF(COUNTIFS($B$2:$B$5001,B2604,$E$2:$E$5001,"Em ajustes",$A$2:$A$5001,"&lt;"&amp;I2604)&gt;0,1,0),0))</f>
        <v/>
      </c>
      <c r="L2604" s="16" t="str">
        <f aca="false">IF(B2604="","",IF(A2604=_xlfn.MAXIFS($A$2:$A$5001,$B$2:$B$5001,B2604,$I$2:$I$5001,I2604),1,0))</f>
        <v/>
      </c>
    </row>
    <row r="2605" customFormat="false" ht="15" hidden="false" customHeight="false" outlineLevel="0" collapsed="false">
      <c r="I2605" s="15" t="str">
        <f aca="false">IF(A2605="","",INT(A2605))</f>
        <v/>
      </c>
      <c r="J2605" s="16" t="str">
        <f aca="false">IF(B2605="","",IF(A2605=_xlfn.MINIFS($A$2:$A$5001,$B$2:$B$5001,B2605),1,0))</f>
        <v/>
      </c>
      <c r="K2605" s="16" t="str">
        <f aca="false">IF(B2605="","",IF(AND(D2605="Formalização",E2605="Concluído"),IF(COUNTIFS($B$2:$B$5001,B2605,$E$2:$E$5001,"Em ajustes",$A$2:$A$5001,"&lt;"&amp;I2605)&gt;0,1,0),0))</f>
        <v/>
      </c>
      <c r="L2605" s="16" t="str">
        <f aca="false">IF(B2605="","",IF(A2605=_xlfn.MAXIFS($A$2:$A$5001,$B$2:$B$5001,B2605,$I$2:$I$5001,I2605),1,0))</f>
        <v/>
      </c>
    </row>
    <row r="2606" customFormat="false" ht="15" hidden="false" customHeight="false" outlineLevel="0" collapsed="false">
      <c r="I2606" s="15" t="str">
        <f aca="false">IF(A2606="","",INT(A2606))</f>
        <v/>
      </c>
      <c r="J2606" s="16" t="str">
        <f aca="false">IF(B2606="","",IF(A2606=_xlfn.MINIFS($A$2:$A$5001,$B$2:$B$5001,B2606),1,0))</f>
        <v/>
      </c>
      <c r="K2606" s="16" t="str">
        <f aca="false">IF(B2606="","",IF(AND(D2606="Formalização",E2606="Concluído"),IF(COUNTIFS($B$2:$B$5001,B2606,$E$2:$E$5001,"Em ajustes",$A$2:$A$5001,"&lt;"&amp;I2606)&gt;0,1,0),0))</f>
        <v/>
      </c>
      <c r="L2606" s="16" t="str">
        <f aca="false">IF(B2606="","",IF(A2606=_xlfn.MAXIFS($A$2:$A$5001,$B$2:$B$5001,B2606,$I$2:$I$5001,I2606),1,0))</f>
        <v/>
      </c>
    </row>
    <row r="2607" customFormat="false" ht="15" hidden="false" customHeight="false" outlineLevel="0" collapsed="false">
      <c r="I2607" s="15" t="str">
        <f aca="false">IF(A2607="","",INT(A2607))</f>
        <v/>
      </c>
      <c r="J2607" s="16" t="str">
        <f aca="false">IF(B2607="","",IF(A2607=_xlfn.MINIFS($A$2:$A$5001,$B$2:$B$5001,B2607),1,0))</f>
        <v/>
      </c>
      <c r="K2607" s="16" t="str">
        <f aca="false">IF(B2607="","",IF(AND(D2607="Formalização",E2607="Concluído"),IF(COUNTIFS($B$2:$B$5001,B2607,$E$2:$E$5001,"Em ajustes",$A$2:$A$5001,"&lt;"&amp;I2607)&gt;0,1,0),0))</f>
        <v/>
      </c>
      <c r="L2607" s="16" t="str">
        <f aca="false">IF(B2607="","",IF(A2607=_xlfn.MAXIFS($A$2:$A$5001,$B$2:$B$5001,B2607,$I$2:$I$5001,I2607),1,0))</f>
        <v/>
      </c>
    </row>
    <row r="2608" customFormat="false" ht="15" hidden="false" customHeight="false" outlineLevel="0" collapsed="false">
      <c r="I2608" s="15" t="str">
        <f aca="false">IF(A2608="","",INT(A2608))</f>
        <v/>
      </c>
      <c r="J2608" s="16" t="str">
        <f aca="false">IF(B2608="","",IF(A2608=_xlfn.MINIFS($A$2:$A$5001,$B$2:$B$5001,B2608),1,0))</f>
        <v/>
      </c>
      <c r="K2608" s="16" t="str">
        <f aca="false">IF(B2608="","",IF(AND(D2608="Formalização",E2608="Concluído"),IF(COUNTIFS($B$2:$B$5001,B2608,$E$2:$E$5001,"Em ajustes",$A$2:$A$5001,"&lt;"&amp;I2608)&gt;0,1,0),0))</f>
        <v/>
      </c>
      <c r="L2608" s="16" t="str">
        <f aca="false">IF(B2608="","",IF(A2608=_xlfn.MAXIFS($A$2:$A$5001,$B$2:$B$5001,B2608,$I$2:$I$5001,I2608),1,0))</f>
        <v/>
      </c>
    </row>
    <row r="2609" customFormat="false" ht="15" hidden="false" customHeight="false" outlineLevel="0" collapsed="false">
      <c r="I2609" s="15" t="str">
        <f aca="false">IF(A2609="","",INT(A2609))</f>
        <v/>
      </c>
      <c r="J2609" s="16" t="str">
        <f aca="false">IF(B2609="","",IF(A2609=_xlfn.MINIFS($A$2:$A$5001,$B$2:$B$5001,B2609),1,0))</f>
        <v/>
      </c>
      <c r="K2609" s="16" t="str">
        <f aca="false">IF(B2609="","",IF(AND(D2609="Formalização",E2609="Concluído"),IF(COUNTIFS($B$2:$B$5001,B2609,$E$2:$E$5001,"Em ajustes",$A$2:$A$5001,"&lt;"&amp;I2609)&gt;0,1,0),0))</f>
        <v/>
      </c>
      <c r="L2609" s="16" t="str">
        <f aca="false">IF(B2609="","",IF(A2609=_xlfn.MAXIFS($A$2:$A$5001,$B$2:$B$5001,B2609,$I$2:$I$5001,I2609),1,0))</f>
        <v/>
      </c>
    </row>
    <row r="2610" customFormat="false" ht="15" hidden="false" customHeight="false" outlineLevel="0" collapsed="false">
      <c r="I2610" s="15" t="str">
        <f aca="false">IF(A2610="","",INT(A2610))</f>
        <v/>
      </c>
      <c r="J2610" s="16" t="str">
        <f aca="false">IF(B2610="","",IF(A2610=_xlfn.MINIFS($A$2:$A$5001,$B$2:$B$5001,B2610),1,0))</f>
        <v/>
      </c>
      <c r="K2610" s="16" t="str">
        <f aca="false">IF(B2610="","",IF(AND(D2610="Formalização",E2610="Concluído"),IF(COUNTIFS($B$2:$B$5001,B2610,$E$2:$E$5001,"Em ajustes",$A$2:$A$5001,"&lt;"&amp;I2610)&gt;0,1,0),0))</f>
        <v/>
      </c>
      <c r="L2610" s="16" t="str">
        <f aca="false">IF(B2610="","",IF(A2610=_xlfn.MAXIFS($A$2:$A$5001,$B$2:$B$5001,B2610,$I$2:$I$5001,I2610),1,0))</f>
        <v/>
      </c>
    </row>
    <row r="2611" customFormat="false" ht="15" hidden="false" customHeight="false" outlineLevel="0" collapsed="false">
      <c r="I2611" s="15" t="str">
        <f aca="false">IF(A2611="","",INT(A2611))</f>
        <v/>
      </c>
      <c r="J2611" s="16" t="str">
        <f aca="false">IF(B2611="","",IF(A2611=_xlfn.MINIFS($A$2:$A$5001,$B$2:$B$5001,B2611),1,0))</f>
        <v/>
      </c>
      <c r="K2611" s="16" t="str">
        <f aca="false">IF(B2611="","",IF(AND(D2611="Formalização",E2611="Concluído"),IF(COUNTIFS($B$2:$B$5001,B2611,$E$2:$E$5001,"Em ajustes",$A$2:$A$5001,"&lt;"&amp;I2611)&gt;0,1,0),0))</f>
        <v/>
      </c>
      <c r="L2611" s="16" t="str">
        <f aca="false">IF(B2611="","",IF(A2611=_xlfn.MAXIFS($A$2:$A$5001,$B$2:$B$5001,B2611,$I$2:$I$5001,I2611),1,0))</f>
        <v/>
      </c>
    </row>
    <row r="2612" customFormat="false" ht="15" hidden="false" customHeight="false" outlineLevel="0" collapsed="false">
      <c r="I2612" s="15" t="str">
        <f aca="false">IF(A2612="","",INT(A2612))</f>
        <v/>
      </c>
      <c r="J2612" s="16" t="str">
        <f aca="false">IF(B2612="","",IF(A2612=_xlfn.MINIFS($A$2:$A$5001,$B$2:$B$5001,B2612),1,0))</f>
        <v/>
      </c>
      <c r="K2612" s="16" t="str">
        <f aca="false">IF(B2612="","",IF(AND(D2612="Formalização",E2612="Concluído"),IF(COUNTIFS($B$2:$B$5001,B2612,$E$2:$E$5001,"Em ajustes",$A$2:$A$5001,"&lt;"&amp;I2612)&gt;0,1,0),0))</f>
        <v/>
      </c>
      <c r="L2612" s="16" t="str">
        <f aca="false">IF(B2612="","",IF(A2612=_xlfn.MAXIFS($A$2:$A$5001,$B$2:$B$5001,B2612,$I$2:$I$5001,I2612),1,0))</f>
        <v/>
      </c>
    </row>
    <row r="2613" customFormat="false" ht="15" hidden="false" customHeight="false" outlineLevel="0" collapsed="false">
      <c r="I2613" s="15" t="str">
        <f aca="false">IF(A2613="","",INT(A2613))</f>
        <v/>
      </c>
      <c r="J2613" s="16" t="str">
        <f aca="false">IF(B2613="","",IF(A2613=_xlfn.MINIFS($A$2:$A$5001,$B$2:$B$5001,B2613),1,0))</f>
        <v/>
      </c>
      <c r="K2613" s="16" t="str">
        <f aca="false">IF(B2613="","",IF(AND(D2613="Formalização",E2613="Concluído"),IF(COUNTIFS($B$2:$B$5001,B2613,$E$2:$E$5001,"Em ajustes",$A$2:$A$5001,"&lt;"&amp;I2613)&gt;0,1,0),0))</f>
        <v/>
      </c>
      <c r="L2613" s="16" t="str">
        <f aca="false">IF(B2613="","",IF(A2613=_xlfn.MAXIFS($A$2:$A$5001,$B$2:$B$5001,B2613,$I$2:$I$5001,I2613),1,0))</f>
        <v/>
      </c>
    </row>
    <row r="2614" customFormat="false" ht="15" hidden="false" customHeight="false" outlineLevel="0" collapsed="false">
      <c r="I2614" s="15" t="str">
        <f aca="false">IF(A2614="","",INT(A2614))</f>
        <v/>
      </c>
      <c r="J2614" s="16" t="str">
        <f aca="false">IF(B2614="","",IF(A2614=_xlfn.MINIFS($A$2:$A$5001,$B$2:$B$5001,B2614),1,0))</f>
        <v/>
      </c>
      <c r="K2614" s="16" t="str">
        <f aca="false">IF(B2614="","",IF(AND(D2614="Formalização",E2614="Concluído"),IF(COUNTIFS($B$2:$B$5001,B2614,$E$2:$E$5001,"Em ajustes",$A$2:$A$5001,"&lt;"&amp;I2614)&gt;0,1,0),0))</f>
        <v/>
      </c>
      <c r="L2614" s="16" t="str">
        <f aca="false">IF(B2614="","",IF(A2614=_xlfn.MAXIFS($A$2:$A$5001,$B$2:$B$5001,B2614,$I$2:$I$5001,I2614),1,0))</f>
        <v/>
      </c>
    </row>
    <row r="2615" customFormat="false" ht="15" hidden="false" customHeight="false" outlineLevel="0" collapsed="false">
      <c r="I2615" s="15" t="str">
        <f aca="false">IF(A2615="","",INT(A2615))</f>
        <v/>
      </c>
      <c r="J2615" s="16" t="str">
        <f aca="false">IF(B2615="","",IF(A2615=_xlfn.MINIFS($A$2:$A$5001,$B$2:$B$5001,B2615),1,0))</f>
        <v/>
      </c>
      <c r="K2615" s="16" t="str">
        <f aca="false">IF(B2615="","",IF(AND(D2615="Formalização",E2615="Concluído"),IF(COUNTIFS($B$2:$B$5001,B2615,$E$2:$E$5001,"Em ajustes",$A$2:$A$5001,"&lt;"&amp;I2615)&gt;0,1,0),0))</f>
        <v/>
      </c>
      <c r="L2615" s="16" t="str">
        <f aca="false">IF(B2615="","",IF(A2615=_xlfn.MAXIFS($A$2:$A$5001,$B$2:$B$5001,B2615,$I$2:$I$5001,I2615),1,0))</f>
        <v/>
      </c>
    </row>
    <row r="2616" customFormat="false" ht="15" hidden="false" customHeight="false" outlineLevel="0" collapsed="false">
      <c r="I2616" s="15" t="str">
        <f aca="false">IF(A2616="","",INT(A2616))</f>
        <v/>
      </c>
      <c r="J2616" s="16" t="str">
        <f aca="false">IF(B2616="","",IF(A2616=_xlfn.MINIFS($A$2:$A$5001,$B$2:$B$5001,B2616),1,0))</f>
        <v/>
      </c>
      <c r="K2616" s="16" t="str">
        <f aca="false">IF(B2616="","",IF(AND(D2616="Formalização",E2616="Concluído"),IF(COUNTIFS($B$2:$B$5001,B2616,$E$2:$E$5001,"Em ajustes",$A$2:$A$5001,"&lt;"&amp;I2616)&gt;0,1,0),0))</f>
        <v/>
      </c>
      <c r="L2616" s="16" t="str">
        <f aca="false">IF(B2616="","",IF(A2616=_xlfn.MAXIFS($A$2:$A$5001,$B$2:$B$5001,B2616,$I$2:$I$5001,I2616),1,0))</f>
        <v/>
      </c>
    </row>
    <row r="2617" customFormat="false" ht="15" hidden="false" customHeight="false" outlineLevel="0" collapsed="false">
      <c r="I2617" s="15" t="str">
        <f aca="false">IF(A2617="","",INT(A2617))</f>
        <v/>
      </c>
      <c r="J2617" s="16" t="str">
        <f aca="false">IF(B2617="","",IF(A2617=_xlfn.MINIFS($A$2:$A$5001,$B$2:$B$5001,B2617),1,0))</f>
        <v/>
      </c>
      <c r="K2617" s="16" t="str">
        <f aca="false">IF(B2617="","",IF(AND(D2617="Formalização",E2617="Concluído"),IF(COUNTIFS($B$2:$B$5001,B2617,$E$2:$E$5001,"Em ajustes",$A$2:$A$5001,"&lt;"&amp;I2617)&gt;0,1,0),0))</f>
        <v/>
      </c>
      <c r="L2617" s="16" t="str">
        <f aca="false">IF(B2617="","",IF(A2617=_xlfn.MAXIFS($A$2:$A$5001,$B$2:$B$5001,B2617,$I$2:$I$5001,I2617),1,0))</f>
        <v/>
      </c>
    </row>
    <row r="2618" customFormat="false" ht="15" hidden="false" customHeight="false" outlineLevel="0" collapsed="false">
      <c r="I2618" s="15" t="str">
        <f aca="false">IF(A2618="","",INT(A2618))</f>
        <v/>
      </c>
      <c r="J2618" s="16" t="str">
        <f aca="false">IF(B2618="","",IF(A2618=_xlfn.MINIFS($A$2:$A$5001,$B$2:$B$5001,B2618),1,0))</f>
        <v/>
      </c>
      <c r="K2618" s="16" t="str">
        <f aca="false">IF(B2618="","",IF(AND(D2618="Formalização",E2618="Concluído"),IF(COUNTIFS($B$2:$B$5001,B2618,$E$2:$E$5001,"Em ajustes",$A$2:$A$5001,"&lt;"&amp;I2618)&gt;0,1,0),0))</f>
        <v/>
      </c>
      <c r="L2618" s="16" t="str">
        <f aca="false">IF(B2618="","",IF(A2618=_xlfn.MAXIFS($A$2:$A$5001,$B$2:$B$5001,B2618,$I$2:$I$5001,I2618),1,0))</f>
        <v/>
      </c>
    </row>
    <row r="2619" customFormat="false" ht="15" hidden="false" customHeight="false" outlineLevel="0" collapsed="false">
      <c r="I2619" s="15" t="str">
        <f aca="false">IF(A2619="","",INT(A2619))</f>
        <v/>
      </c>
      <c r="J2619" s="16" t="str">
        <f aca="false">IF(B2619="","",IF(A2619=_xlfn.MINIFS($A$2:$A$5001,$B$2:$B$5001,B2619),1,0))</f>
        <v/>
      </c>
      <c r="K2619" s="16" t="str">
        <f aca="false">IF(B2619="","",IF(AND(D2619="Formalização",E2619="Concluído"),IF(COUNTIFS($B$2:$B$5001,B2619,$E$2:$E$5001,"Em ajustes",$A$2:$A$5001,"&lt;"&amp;I2619)&gt;0,1,0),0))</f>
        <v/>
      </c>
      <c r="L2619" s="16" t="str">
        <f aca="false">IF(B2619="","",IF(A2619=_xlfn.MAXIFS($A$2:$A$5001,$B$2:$B$5001,B2619,$I$2:$I$5001,I2619),1,0))</f>
        <v/>
      </c>
    </row>
    <row r="2620" customFormat="false" ht="15" hidden="false" customHeight="false" outlineLevel="0" collapsed="false">
      <c r="I2620" s="15" t="str">
        <f aca="false">IF(A2620="","",INT(A2620))</f>
        <v/>
      </c>
      <c r="J2620" s="16" t="str">
        <f aca="false">IF(B2620="","",IF(A2620=_xlfn.MINIFS($A$2:$A$5001,$B$2:$B$5001,B2620),1,0))</f>
        <v/>
      </c>
      <c r="K2620" s="16" t="str">
        <f aca="false">IF(B2620="","",IF(AND(D2620="Formalização",E2620="Concluído"),IF(COUNTIFS($B$2:$B$5001,B2620,$E$2:$E$5001,"Em ajustes",$A$2:$A$5001,"&lt;"&amp;I2620)&gt;0,1,0),0))</f>
        <v/>
      </c>
      <c r="L2620" s="16" t="str">
        <f aca="false">IF(B2620="","",IF(A2620=_xlfn.MAXIFS($A$2:$A$5001,$B$2:$B$5001,B2620,$I$2:$I$5001,I2620),1,0))</f>
        <v/>
      </c>
    </row>
    <row r="2621" customFormat="false" ht="15" hidden="false" customHeight="false" outlineLevel="0" collapsed="false">
      <c r="I2621" s="15" t="str">
        <f aca="false">IF(A2621="","",INT(A2621))</f>
        <v/>
      </c>
      <c r="J2621" s="16" t="str">
        <f aca="false">IF(B2621="","",IF(A2621=_xlfn.MINIFS($A$2:$A$5001,$B$2:$B$5001,B2621),1,0))</f>
        <v/>
      </c>
      <c r="K2621" s="16" t="str">
        <f aca="false">IF(B2621="","",IF(AND(D2621="Formalização",E2621="Concluído"),IF(COUNTIFS($B$2:$B$5001,B2621,$E$2:$E$5001,"Em ajustes",$A$2:$A$5001,"&lt;"&amp;I2621)&gt;0,1,0),0))</f>
        <v/>
      </c>
      <c r="L2621" s="16" t="str">
        <f aca="false">IF(B2621="","",IF(A2621=_xlfn.MAXIFS($A$2:$A$5001,$B$2:$B$5001,B2621,$I$2:$I$5001,I2621),1,0))</f>
        <v/>
      </c>
    </row>
    <row r="2622" customFormat="false" ht="15" hidden="false" customHeight="false" outlineLevel="0" collapsed="false">
      <c r="I2622" s="15" t="str">
        <f aca="false">IF(A2622="","",INT(A2622))</f>
        <v/>
      </c>
      <c r="J2622" s="16" t="str">
        <f aca="false">IF(B2622="","",IF(A2622=_xlfn.MINIFS($A$2:$A$5001,$B$2:$B$5001,B2622),1,0))</f>
        <v/>
      </c>
      <c r="K2622" s="16" t="str">
        <f aca="false">IF(B2622="","",IF(AND(D2622="Formalização",E2622="Concluído"),IF(COUNTIFS($B$2:$B$5001,B2622,$E$2:$E$5001,"Em ajustes",$A$2:$A$5001,"&lt;"&amp;I2622)&gt;0,1,0),0))</f>
        <v/>
      </c>
      <c r="L2622" s="16" t="str">
        <f aca="false">IF(B2622="","",IF(A2622=_xlfn.MAXIFS($A$2:$A$5001,$B$2:$B$5001,B2622,$I$2:$I$5001,I2622),1,0))</f>
        <v/>
      </c>
    </row>
    <row r="2623" customFormat="false" ht="15" hidden="false" customHeight="false" outlineLevel="0" collapsed="false">
      <c r="I2623" s="15" t="str">
        <f aca="false">IF(A2623="","",INT(A2623))</f>
        <v/>
      </c>
      <c r="J2623" s="16" t="str">
        <f aca="false">IF(B2623="","",IF(A2623=_xlfn.MINIFS($A$2:$A$5001,$B$2:$B$5001,B2623),1,0))</f>
        <v/>
      </c>
      <c r="K2623" s="16" t="str">
        <f aca="false">IF(B2623="","",IF(AND(D2623="Formalização",E2623="Concluído"),IF(COUNTIFS($B$2:$B$5001,B2623,$E$2:$E$5001,"Em ajustes",$A$2:$A$5001,"&lt;"&amp;I2623)&gt;0,1,0),0))</f>
        <v/>
      </c>
      <c r="L2623" s="16" t="str">
        <f aca="false">IF(B2623="","",IF(A2623=_xlfn.MAXIFS($A$2:$A$5001,$B$2:$B$5001,B2623,$I$2:$I$5001,I2623),1,0))</f>
        <v/>
      </c>
    </row>
    <row r="2624" customFormat="false" ht="15" hidden="false" customHeight="false" outlineLevel="0" collapsed="false">
      <c r="I2624" s="15" t="str">
        <f aca="false">IF(A2624="","",INT(A2624))</f>
        <v/>
      </c>
      <c r="J2624" s="16" t="str">
        <f aca="false">IF(B2624="","",IF(A2624=_xlfn.MINIFS($A$2:$A$5001,$B$2:$B$5001,B2624),1,0))</f>
        <v/>
      </c>
      <c r="K2624" s="16" t="str">
        <f aca="false">IF(B2624="","",IF(AND(D2624="Formalização",E2624="Concluído"),IF(COUNTIFS($B$2:$B$5001,B2624,$E$2:$E$5001,"Em ajustes",$A$2:$A$5001,"&lt;"&amp;I2624)&gt;0,1,0),0))</f>
        <v/>
      </c>
      <c r="L2624" s="16" t="str">
        <f aca="false">IF(B2624="","",IF(A2624=_xlfn.MAXIFS($A$2:$A$5001,$B$2:$B$5001,B2624,$I$2:$I$5001,I2624),1,0))</f>
        <v/>
      </c>
    </row>
    <row r="2625" customFormat="false" ht="15" hidden="false" customHeight="false" outlineLevel="0" collapsed="false">
      <c r="I2625" s="15" t="str">
        <f aca="false">IF(A2625="","",INT(A2625))</f>
        <v/>
      </c>
      <c r="J2625" s="16" t="str">
        <f aca="false">IF(B2625="","",IF(A2625=_xlfn.MINIFS($A$2:$A$5001,$B$2:$B$5001,B2625),1,0))</f>
        <v/>
      </c>
      <c r="K2625" s="16" t="str">
        <f aca="false">IF(B2625="","",IF(AND(D2625="Formalização",E2625="Concluído"),IF(COUNTIFS($B$2:$B$5001,B2625,$E$2:$E$5001,"Em ajustes",$A$2:$A$5001,"&lt;"&amp;I2625)&gt;0,1,0),0))</f>
        <v/>
      </c>
      <c r="L2625" s="16" t="str">
        <f aca="false">IF(B2625="","",IF(A2625=_xlfn.MAXIFS($A$2:$A$5001,$B$2:$B$5001,B2625,$I$2:$I$5001,I2625),1,0))</f>
        <v/>
      </c>
    </row>
    <row r="2626" customFormat="false" ht="15" hidden="false" customHeight="false" outlineLevel="0" collapsed="false">
      <c r="I2626" s="15" t="str">
        <f aca="false">IF(A2626="","",INT(A2626))</f>
        <v/>
      </c>
      <c r="J2626" s="16" t="str">
        <f aca="false">IF(B2626="","",IF(A2626=_xlfn.MINIFS($A$2:$A$5001,$B$2:$B$5001,B2626),1,0))</f>
        <v/>
      </c>
      <c r="K2626" s="16" t="str">
        <f aca="false">IF(B2626="","",IF(AND(D2626="Formalização",E2626="Concluído"),IF(COUNTIFS($B$2:$B$5001,B2626,$E$2:$E$5001,"Em ajustes",$A$2:$A$5001,"&lt;"&amp;I2626)&gt;0,1,0),0))</f>
        <v/>
      </c>
      <c r="L2626" s="16" t="str">
        <f aca="false">IF(B2626="","",IF(A2626=_xlfn.MAXIFS($A$2:$A$5001,$B$2:$B$5001,B2626,$I$2:$I$5001,I2626),1,0))</f>
        <v/>
      </c>
    </row>
    <row r="2627" customFormat="false" ht="15" hidden="false" customHeight="false" outlineLevel="0" collapsed="false">
      <c r="I2627" s="15" t="str">
        <f aca="false">IF(A2627="","",INT(A2627))</f>
        <v/>
      </c>
      <c r="J2627" s="16" t="str">
        <f aca="false">IF(B2627="","",IF(A2627=_xlfn.MINIFS($A$2:$A$5001,$B$2:$B$5001,B2627),1,0))</f>
        <v/>
      </c>
      <c r="K2627" s="16" t="str">
        <f aca="false">IF(B2627="","",IF(AND(D2627="Formalização",E2627="Concluído"),IF(COUNTIFS($B$2:$B$5001,B2627,$E$2:$E$5001,"Em ajustes",$A$2:$A$5001,"&lt;"&amp;I2627)&gt;0,1,0),0))</f>
        <v/>
      </c>
      <c r="L2627" s="16" t="str">
        <f aca="false">IF(B2627="","",IF(A2627=_xlfn.MAXIFS($A$2:$A$5001,$B$2:$B$5001,B2627,$I$2:$I$5001,I2627),1,0))</f>
        <v/>
      </c>
    </row>
    <row r="2628" customFormat="false" ht="15" hidden="false" customHeight="false" outlineLevel="0" collapsed="false">
      <c r="I2628" s="15" t="str">
        <f aca="false">IF(A2628="","",INT(A2628))</f>
        <v/>
      </c>
      <c r="J2628" s="16" t="str">
        <f aca="false">IF(B2628="","",IF(A2628=_xlfn.MINIFS($A$2:$A$5001,$B$2:$B$5001,B2628),1,0))</f>
        <v/>
      </c>
      <c r="K2628" s="16" t="str">
        <f aca="false">IF(B2628="","",IF(AND(D2628="Formalização",E2628="Concluído"),IF(COUNTIFS($B$2:$B$5001,B2628,$E$2:$E$5001,"Em ajustes",$A$2:$A$5001,"&lt;"&amp;I2628)&gt;0,1,0),0))</f>
        <v/>
      </c>
      <c r="L2628" s="16" t="str">
        <f aca="false">IF(B2628="","",IF(A2628=_xlfn.MAXIFS($A$2:$A$5001,$B$2:$B$5001,B2628,$I$2:$I$5001,I2628),1,0))</f>
        <v/>
      </c>
    </row>
    <row r="2629" customFormat="false" ht="15" hidden="false" customHeight="false" outlineLevel="0" collapsed="false">
      <c r="I2629" s="15" t="str">
        <f aca="false">IF(A2629="","",INT(A2629))</f>
        <v/>
      </c>
      <c r="J2629" s="16" t="str">
        <f aca="false">IF(B2629="","",IF(A2629=_xlfn.MINIFS($A$2:$A$5001,$B$2:$B$5001,B2629),1,0))</f>
        <v/>
      </c>
      <c r="K2629" s="16" t="str">
        <f aca="false">IF(B2629="","",IF(AND(D2629="Formalização",E2629="Concluído"),IF(COUNTIFS($B$2:$B$5001,B2629,$E$2:$E$5001,"Em ajustes",$A$2:$A$5001,"&lt;"&amp;I2629)&gt;0,1,0),0))</f>
        <v/>
      </c>
      <c r="L2629" s="16" t="str">
        <f aca="false">IF(B2629="","",IF(A2629=_xlfn.MAXIFS($A$2:$A$5001,$B$2:$B$5001,B2629,$I$2:$I$5001,I2629),1,0))</f>
        <v/>
      </c>
    </row>
    <row r="2630" customFormat="false" ht="15" hidden="false" customHeight="false" outlineLevel="0" collapsed="false">
      <c r="I2630" s="15" t="str">
        <f aca="false">IF(A2630="","",INT(A2630))</f>
        <v/>
      </c>
      <c r="J2630" s="16" t="str">
        <f aca="false">IF(B2630="","",IF(A2630=_xlfn.MINIFS($A$2:$A$5001,$B$2:$B$5001,B2630),1,0))</f>
        <v/>
      </c>
      <c r="K2630" s="16" t="str">
        <f aca="false">IF(B2630="","",IF(AND(D2630="Formalização",E2630="Concluído"),IF(COUNTIFS($B$2:$B$5001,B2630,$E$2:$E$5001,"Em ajustes",$A$2:$A$5001,"&lt;"&amp;I2630)&gt;0,1,0),0))</f>
        <v/>
      </c>
      <c r="L2630" s="16" t="str">
        <f aca="false">IF(B2630="","",IF(A2630=_xlfn.MAXIFS($A$2:$A$5001,$B$2:$B$5001,B2630,$I$2:$I$5001,I2630),1,0))</f>
        <v/>
      </c>
    </row>
    <row r="2631" customFormat="false" ht="15" hidden="false" customHeight="false" outlineLevel="0" collapsed="false">
      <c r="I2631" s="15" t="str">
        <f aca="false">IF(A2631="","",INT(A2631))</f>
        <v/>
      </c>
      <c r="J2631" s="16" t="str">
        <f aca="false">IF(B2631="","",IF(A2631=_xlfn.MINIFS($A$2:$A$5001,$B$2:$B$5001,B2631),1,0))</f>
        <v/>
      </c>
      <c r="K2631" s="16" t="str">
        <f aca="false">IF(B2631="","",IF(AND(D2631="Formalização",E2631="Concluído"),IF(COUNTIFS($B$2:$B$5001,B2631,$E$2:$E$5001,"Em ajustes",$A$2:$A$5001,"&lt;"&amp;I2631)&gt;0,1,0),0))</f>
        <v/>
      </c>
      <c r="L2631" s="16" t="str">
        <f aca="false">IF(B2631="","",IF(A2631=_xlfn.MAXIFS($A$2:$A$5001,$B$2:$B$5001,B2631,$I$2:$I$5001,I2631),1,0))</f>
        <v/>
      </c>
    </row>
    <row r="2632" customFormat="false" ht="15" hidden="false" customHeight="false" outlineLevel="0" collapsed="false">
      <c r="I2632" s="15" t="str">
        <f aca="false">IF(A2632="","",INT(A2632))</f>
        <v/>
      </c>
      <c r="J2632" s="16" t="str">
        <f aca="false">IF(B2632="","",IF(A2632=_xlfn.MINIFS($A$2:$A$5001,$B$2:$B$5001,B2632),1,0))</f>
        <v/>
      </c>
      <c r="K2632" s="16" t="str">
        <f aca="false">IF(B2632="","",IF(AND(D2632="Formalização",E2632="Concluído"),IF(COUNTIFS($B$2:$B$5001,B2632,$E$2:$E$5001,"Em ajustes",$A$2:$A$5001,"&lt;"&amp;I2632)&gt;0,1,0),0))</f>
        <v/>
      </c>
      <c r="L2632" s="16" t="str">
        <f aca="false">IF(B2632="","",IF(A2632=_xlfn.MAXIFS($A$2:$A$5001,$B$2:$B$5001,B2632,$I$2:$I$5001,I2632),1,0))</f>
        <v/>
      </c>
    </row>
    <row r="2633" customFormat="false" ht="15" hidden="false" customHeight="false" outlineLevel="0" collapsed="false">
      <c r="I2633" s="15" t="str">
        <f aca="false">IF(A2633="","",INT(A2633))</f>
        <v/>
      </c>
      <c r="J2633" s="16" t="str">
        <f aca="false">IF(B2633="","",IF(A2633=_xlfn.MINIFS($A$2:$A$5001,$B$2:$B$5001,B2633),1,0))</f>
        <v/>
      </c>
      <c r="K2633" s="16" t="str">
        <f aca="false">IF(B2633="","",IF(AND(D2633="Formalização",E2633="Concluído"),IF(COUNTIFS($B$2:$B$5001,B2633,$E$2:$E$5001,"Em ajustes",$A$2:$A$5001,"&lt;"&amp;I2633)&gt;0,1,0),0))</f>
        <v/>
      </c>
      <c r="L2633" s="16" t="str">
        <f aca="false">IF(B2633="","",IF(A2633=_xlfn.MAXIFS($A$2:$A$5001,$B$2:$B$5001,B2633,$I$2:$I$5001,I2633),1,0))</f>
        <v/>
      </c>
    </row>
    <row r="2634" customFormat="false" ht="15" hidden="false" customHeight="false" outlineLevel="0" collapsed="false">
      <c r="I2634" s="15" t="str">
        <f aca="false">IF(A2634="","",INT(A2634))</f>
        <v/>
      </c>
      <c r="J2634" s="16" t="str">
        <f aca="false">IF(B2634="","",IF(A2634=_xlfn.MINIFS($A$2:$A$5001,$B$2:$B$5001,B2634),1,0))</f>
        <v/>
      </c>
      <c r="K2634" s="16" t="str">
        <f aca="false">IF(B2634="","",IF(AND(D2634="Formalização",E2634="Concluído"),IF(COUNTIFS($B$2:$B$5001,B2634,$E$2:$E$5001,"Em ajustes",$A$2:$A$5001,"&lt;"&amp;I2634)&gt;0,1,0),0))</f>
        <v/>
      </c>
      <c r="L2634" s="16" t="str">
        <f aca="false">IF(B2634="","",IF(A2634=_xlfn.MAXIFS($A$2:$A$5001,$B$2:$B$5001,B2634,$I$2:$I$5001,I2634),1,0))</f>
        <v/>
      </c>
    </row>
    <row r="2635" customFormat="false" ht="15" hidden="false" customHeight="false" outlineLevel="0" collapsed="false">
      <c r="I2635" s="15" t="str">
        <f aca="false">IF(A2635="","",INT(A2635))</f>
        <v/>
      </c>
      <c r="J2635" s="16" t="str">
        <f aca="false">IF(B2635="","",IF(A2635=_xlfn.MINIFS($A$2:$A$5001,$B$2:$B$5001,B2635),1,0))</f>
        <v/>
      </c>
      <c r="K2635" s="16" t="str">
        <f aca="false">IF(B2635="","",IF(AND(D2635="Formalização",E2635="Concluído"),IF(COUNTIFS($B$2:$B$5001,B2635,$E$2:$E$5001,"Em ajustes",$A$2:$A$5001,"&lt;"&amp;I2635)&gt;0,1,0),0))</f>
        <v/>
      </c>
      <c r="L2635" s="16" t="str">
        <f aca="false">IF(B2635="","",IF(A2635=_xlfn.MAXIFS($A$2:$A$5001,$B$2:$B$5001,B2635,$I$2:$I$5001,I2635),1,0))</f>
        <v/>
      </c>
    </row>
    <row r="2636" customFormat="false" ht="15" hidden="false" customHeight="false" outlineLevel="0" collapsed="false">
      <c r="I2636" s="15" t="str">
        <f aca="false">IF(A2636="","",INT(A2636))</f>
        <v/>
      </c>
      <c r="J2636" s="16" t="str">
        <f aca="false">IF(B2636="","",IF(A2636=_xlfn.MINIFS($A$2:$A$5001,$B$2:$B$5001,B2636),1,0))</f>
        <v/>
      </c>
      <c r="K2636" s="16" t="str">
        <f aca="false">IF(B2636="","",IF(AND(D2636="Formalização",E2636="Concluído"),IF(COUNTIFS($B$2:$B$5001,B2636,$E$2:$E$5001,"Em ajustes",$A$2:$A$5001,"&lt;"&amp;I2636)&gt;0,1,0),0))</f>
        <v/>
      </c>
      <c r="L2636" s="16" t="str">
        <f aca="false">IF(B2636="","",IF(A2636=_xlfn.MAXIFS($A$2:$A$5001,$B$2:$B$5001,B2636,$I$2:$I$5001,I2636),1,0))</f>
        <v/>
      </c>
    </row>
    <row r="2637" customFormat="false" ht="15" hidden="false" customHeight="false" outlineLevel="0" collapsed="false">
      <c r="I2637" s="15" t="str">
        <f aca="false">IF(A2637="","",INT(A2637))</f>
        <v/>
      </c>
      <c r="J2637" s="16" t="str">
        <f aca="false">IF(B2637="","",IF(A2637=_xlfn.MINIFS($A$2:$A$5001,$B$2:$B$5001,B2637),1,0))</f>
        <v/>
      </c>
      <c r="K2637" s="16" t="str">
        <f aca="false">IF(B2637="","",IF(AND(D2637="Formalização",E2637="Concluído"),IF(COUNTIFS($B$2:$B$5001,B2637,$E$2:$E$5001,"Em ajustes",$A$2:$A$5001,"&lt;"&amp;I2637)&gt;0,1,0),0))</f>
        <v/>
      </c>
      <c r="L2637" s="16" t="str">
        <f aca="false">IF(B2637="","",IF(A2637=_xlfn.MAXIFS($A$2:$A$5001,$B$2:$B$5001,B2637,$I$2:$I$5001,I2637),1,0))</f>
        <v/>
      </c>
    </row>
    <row r="2638" customFormat="false" ht="15" hidden="false" customHeight="false" outlineLevel="0" collapsed="false">
      <c r="I2638" s="15" t="str">
        <f aca="false">IF(A2638="","",INT(A2638))</f>
        <v/>
      </c>
      <c r="J2638" s="16" t="str">
        <f aca="false">IF(B2638="","",IF(A2638=_xlfn.MINIFS($A$2:$A$5001,$B$2:$B$5001,B2638),1,0))</f>
        <v/>
      </c>
      <c r="K2638" s="16" t="str">
        <f aca="false">IF(B2638="","",IF(AND(D2638="Formalização",E2638="Concluído"),IF(COUNTIFS($B$2:$B$5001,B2638,$E$2:$E$5001,"Em ajustes",$A$2:$A$5001,"&lt;"&amp;I2638)&gt;0,1,0),0))</f>
        <v/>
      </c>
      <c r="L2638" s="16" t="str">
        <f aca="false">IF(B2638="","",IF(A2638=_xlfn.MAXIFS($A$2:$A$5001,$B$2:$B$5001,B2638,$I$2:$I$5001,I2638),1,0))</f>
        <v/>
      </c>
    </row>
    <row r="2639" customFormat="false" ht="15" hidden="false" customHeight="false" outlineLevel="0" collapsed="false">
      <c r="I2639" s="15" t="str">
        <f aca="false">IF(A2639="","",INT(A2639))</f>
        <v/>
      </c>
      <c r="J2639" s="16" t="str">
        <f aca="false">IF(B2639="","",IF(A2639=_xlfn.MINIFS($A$2:$A$5001,$B$2:$B$5001,B2639),1,0))</f>
        <v/>
      </c>
      <c r="K2639" s="16" t="str">
        <f aca="false">IF(B2639="","",IF(AND(D2639="Formalização",E2639="Concluído"),IF(COUNTIFS($B$2:$B$5001,B2639,$E$2:$E$5001,"Em ajustes",$A$2:$A$5001,"&lt;"&amp;I2639)&gt;0,1,0),0))</f>
        <v/>
      </c>
      <c r="L2639" s="16" t="str">
        <f aca="false">IF(B2639="","",IF(A2639=_xlfn.MAXIFS($A$2:$A$5001,$B$2:$B$5001,B2639,$I$2:$I$5001,I2639),1,0))</f>
        <v/>
      </c>
    </row>
    <row r="2640" customFormat="false" ht="15" hidden="false" customHeight="false" outlineLevel="0" collapsed="false">
      <c r="I2640" s="15" t="str">
        <f aca="false">IF(A2640="","",INT(A2640))</f>
        <v/>
      </c>
      <c r="J2640" s="16" t="str">
        <f aca="false">IF(B2640="","",IF(A2640=_xlfn.MINIFS($A$2:$A$5001,$B$2:$B$5001,B2640),1,0))</f>
        <v/>
      </c>
      <c r="K2640" s="16" t="str">
        <f aca="false">IF(B2640="","",IF(AND(D2640="Formalização",E2640="Concluído"),IF(COUNTIFS($B$2:$B$5001,B2640,$E$2:$E$5001,"Em ajustes",$A$2:$A$5001,"&lt;"&amp;I2640)&gt;0,1,0),0))</f>
        <v/>
      </c>
      <c r="L2640" s="16" t="str">
        <f aca="false">IF(B2640="","",IF(A2640=_xlfn.MAXIFS($A$2:$A$5001,$B$2:$B$5001,B2640,$I$2:$I$5001,I2640),1,0))</f>
        <v/>
      </c>
    </row>
    <row r="2641" customFormat="false" ht="15" hidden="false" customHeight="false" outlineLevel="0" collapsed="false">
      <c r="I2641" s="15" t="str">
        <f aca="false">IF(A2641="","",INT(A2641))</f>
        <v/>
      </c>
      <c r="J2641" s="16" t="str">
        <f aca="false">IF(B2641="","",IF(A2641=_xlfn.MINIFS($A$2:$A$5001,$B$2:$B$5001,B2641),1,0))</f>
        <v/>
      </c>
      <c r="K2641" s="16" t="str">
        <f aca="false">IF(B2641="","",IF(AND(D2641="Formalização",E2641="Concluído"),IF(COUNTIFS($B$2:$B$5001,B2641,$E$2:$E$5001,"Em ajustes",$A$2:$A$5001,"&lt;"&amp;I2641)&gt;0,1,0),0))</f>
        <v/>
      </c>
      <c r="L2641" s="16" t="str">
        <f aca="false">IF(B2641="","",IF(A2641=_xlfn.MAXIFS($A$2:$A$5001,$B$2:$B$5001,B2641,$I$2:$I$5001,I2641),1,0))</f>
        <v/>
      </c>
    </row>
    <row r="2642" customFormat="false" ht="15" hidden="false" customHeight="false" outlineLevel="0" collapsed="false">
      <c r="I2642" s="15" t="str">
        <f aca="false">IF(A2642="","",INT(A2642))</f>
        <v/>
      </c>
      <c r="J2642" s="16" t="str">
        <f aca="false">IF(B2642="","",IF(A2642=_xlfn.MINIFS($A$2:$A$5001,$B$2:$B$5001,B2642),1,0))</f>
        <v/>
      </c>
      <c r="K2642" s="16" t="str">
        <f aca="false">IF(B2642="","",IF(AND(D2642="Formalização",E2642="Concluído"),IF(COUNTIFS($B$2:$B$5001,B2642,$E$2:$E$5001,"Em ajustes",$A$2:$A$5001,"&lt;"&amp;I2642)&gt;0,1,0),0))</f>
        <v/>
      </c>
      <c r="L2642" s="16" t="str">
        <f aca="false">IF(B2642="","",IF(A2642=_xlfn.MAXIFS($A$2:$A$5001,$B$2:$B$5001,B2642,$I$2:$I$5001,I2642),1,0))</f>
        <v/>
      </c>
    </row>
    <row r="2643" customFormat="false" ht="15" hidden="false" customHeight="false" outlineLevel="0" collapsed="false">
      <c r="I2643" s="15" t="str">
        <f aca="false">IF(A2643="","",INT(A2643))</f>
        <v/>
      </c>
      <c r="J2643" s="16" t="str">
        <f aca="false">IF(B2643="","",IF(A2643=_xlfn.MINIFS($A$2:$A$5001,$B$2:$B$5001,B2643),1,0))</f>
        <v/>
      </c>
      <c r="K2643" s="16" t="str">
        <f aca="false">IF(B2643="","",IF(AND(D2643="Formalização",E2643="Concluído"),IF(COUNTIFS($B$2:$B$5001,B2643,$E$2:$E$5001,"Em ajustes",$A$2:$A$5001,"&lt;"&amp;I2643)&gt;0,1,0),0))</f>
        <v/>
      </c>
      <c r="L2643" s="16" t="str">
        <f aca="false">IF(B2643="","",IF(A2643=_xlfn.MAXIFS($A$2:$A$5001,$B$2:$B$5001,B2643,$I$2:$I$5001,I2643),1,0))</f>
        <v/>
      </c>
    </row>
    <row r="2644" customFormat="false" ht="15" hidden="false" customHeight="false" outlineLevel="0" collapsed="false">
      <c r="I2644" s="15" t="str">
        <f aca="false">IF(A2644="","",INT(A2644))</f>
        <v/>
      </c>
      <c r="J2644" s="16" t="str">
        <f aca="false">IF(B2644="","",IF(A2644=_xlfn.MINIFS($A$2:$A$5001,$B$2:$B$5001,B2644),1,0))</f>
        <v/>
      </c>
      <c r="K2644" s="16" t="str">
        <f aca="false">IF(B2644="","",IF(AND(D2644="Formalização",E2644="Concluído"),IF(COUNTIFS($B$2:$B$5001,B2644,$E$2:$E$5001,"Em ajustes",$A$2:$A$5001,"&lt;"&amp;I2644)&gt;0,1,0),0))</f>
        <v/>
      </c>
      <c r="L2644" s="16" t="str">
        <f aca="false">IF(B2644="","",IF(A2644=_xlfn.MAXIFS($A$2:$A$5001,$B$2:$B$5001,B2644,$I$2:$I$5001,I2644),1,0))</f>
        <v/>
      </c>
    </row>
    <row r="2645" customFormat="false" ht="15" hidden="false" customHeight="false" outlineLevel="0" collapsed="false">
      <c r="I2645" s="15" t="str">
        <f aca="false">IF(A2645="","",INT(A2645))</f>
        <v/>
      </c>
      <c r="J2645" s="16" t="str">
        <f aca="false">IF(B2645="","",IF(A2645=_xlfn.MINIFS($A$2:$A$5001,$B$2:$B$5001,B2645),1,0))</f>
        <v/>
      </c>
      <c r="K2645" s="16" t="str">
        <f aca="false">IF(B2645="","",IF(AND(D2645="Formalização",E2645="Concluído"),IF(COUNTIFS($B$2:$B$5001,B2645,$E$2:$E$5001,"Em ajustes",$A$2:$A$5001,"&lt;"&amp;I2645)&gt;0,1,0),0))</f>
        <v/>
      </c>
      <c r="L2645" s="16" t="str">
        <f aca="false">IF(B2645="","",IF(A2645=_xlfn.MAXIFS($A$2:$A$5001,$B$2:$B$5001,B2645,$I$2:$I$5001,I2645),1,0))</f>
        <v/>
      </c>
    </row>
    <row r="2646" customFormat="false" ht="15" hidden="false" customHeight="false" outlineLevel="0" collapsed="false">
      <c r="I2646" s="15" t="str">
        <f aca="false">IF(A2646="","",INT(A2646))</f>
        <v/>
      </c>
      <c r="J2646" s="16" t="str">
        <f aca="false">IF(B2646="","",IF(A2646=_xlfn.MINIFS($A$2:$A$5001,$B$2:$B$5001,B2646),1,0))</f>
        <v/>
      </c>
      <c r="K2646" s="16" t="str">
        <f aca="false">IF(B2646="","",IF(AND(D2646="Formalização",E2646="Concluído"),IF(COUNTIFS($B$2:$B$5001,B2646,$E$2:$E$5001,"Em ajustes",$A$2:$A$5001,"&lt;"&amp;I2646)&gt;0,1,0),0))</f>
        <v/>
      </c>
      <c r="L2646" s="16" t="str">
        <f aca="false">IF(B2646="","",IF(A2646=_xlfn.MAXIFS($A$2:$A$5001,$B$2:$B$5001,B2646,$I$2:$I$5001,I2646),1,0))</f>
        <v/>
      </c>
    </row>
    <row r="2647" customFormat="false" ht="15" hidden="false" customHeight="false" outlineLevel="0" collapsed="false">
      <c r="I2647" s="15" t="str">
        <f aca="false">IF(A2647="","",INT(A2647))</f>
        <v/>
      </c>
      <c r="J2647" s="16" t="str">
        <f aca="false">IF(B2647="","",IF(A2647=_xlfn.MINIFS($A$2:$A$5001,$B$2:$B$5001,B2647),1,0))</f>
        <v/>
      </c>
      <c r="K2647" s="16" t="str">
        <f aca="false">IF(B2647="","",IF(AND(D2647="Formalização",E2647="Concluído"),IF(COUNTIFS($B$2:$B$5001,B2647,$E$2:$E$5001,"Em ajustes",$A$2:$A$5001,"&lt;"&amp;I2647)&gt;0,1,0),0))</f>
        <v/>
      </c>
      <c r="L2647" s="16" t="str">
        <f aca="false">IF(B2647="","",IF(A2647=_xlfn.MAXIFS($A$2:$A$5001,$B$2:$B$5001,B2647,$I$2:$I$5001,I2647),1,0))</f>
        <v/>
      </c>
    </row>
    <row r="2648" customFormat="false" ht="15" hidden="false" customHeight="false" outlineLevel="0" collapsed="false">
      <c r="I2648" s="15" t="str">
        <f aca="false">IF(A2648="","",INT(A2648))</f>
        <v/>
      </c>
      <c r="J2648" s="16" t="str">
        <f aca="false">IF(B2648="","",IF(A2648=_xlfn.MINIFS($A$2:$A$5001,$B$2:$B$5001,B2648),1,0))</f>
        <v/>
      </c>
      <c r="K2648" s="16" t="str">
        <f aca="false">IF(B2648="","",IF(AND(D2648="Formalização",E2648="Concluído"),IF(COUNTIFS($B$2:$B$5001,B2648,$E$2:$E$5001,"Em ajustes",$A$2:$A$5001,"&lt;"&amp;I2648)&gt;0,1,0),0))</f>
        <v/>
      </c>
      <c r="L2648" s="16" t="str">
        <f aca="false">IF(B2648="","",IF(A2648=_xlfn.MAXIFS($A$2:$A$5001,$B$2:$B$5001,B2648,$I$2:$I$5001,I2648),1,0))</f>
        <v/>
      </c>
    </row>
    <row r="2649" customFormat="false" ht="15" hidden="false" customHeight="false" outlineLevel="0" collapsed="false">
      <c r="I2649" s="15" t="str">
        <f aca="false">IF(A2649="","",INT(A2649))</f>
        <v/>
      </c>
      <c r="J2649" s="16" t="str">
        <f aca="false">IF(B2649="","",IF(A2649=_xlfn.MINIFS($A$2:$A$5001,$B$2:$B$5001,B2649),1,0))</f>
        <v/>
      </c>
      <c r="K2649" s="16" t="str">
        <f aca="false">IF(B2649="","",IF(AND(D2649="Formalização",E2649="Concluído"),IF(COUNTIFS($B$2:$B$5001,B2649,$E$2:$E$5001,"Em ajustes",$A$2:$A$5001,"&lt;"&amp;I2649)&gt;0,1,0),0))</f>
        <v/>
      </c>
      <c r="L2649" s="16" t="str">
        <f aca="false">IF(B2649="","",IF(A2649=_xlfn.MAXIFS($A$2:$A$5001,$B$2:$B$5001,B2649,$I$2:$I$5001,I2649),1,0))</f>
        <v/>
      </c>
    </row>
    <row r="2650" customFormat="false" ht="15" hidden="false" customHeight="false" outlineLevel="0" collapsed="false">
      <c r="I2650" s="15" t="str">
        <f aca="false">IF(A2650="","",INT(A2650))</f>
        <v/>
      </c>
      <c r="J2650" s="16" t="str">
        <f aca="false">IF(B2650="","",IF(A2650=_xlfn.MINIFS($A$2:$A$5001,$B$2:$B$5001,B2650),1,0))</f>
        <v/>
      </c>
      <c r="K2650" s="16" t="str">
        <f aca="false">IF(B2650="","",IF(AND(D2650="Formalização",E2650="Concluído"),IF(COUNTIFS($B$2:$B$5001,B2650,$E$2:$E$5001,"Em ajustes",$A$2:$A$5001,"&lt;"&amp;I2650)&gt;0,1,0),0))</f>
        <v/>
      </c>
      <c r="L2650" s="16" t="str">
        <f aca="false">IF(B2650="","",IF(A2650=_xlfn.MAXIFS($A$2:$A$5001,$B$2:$B$5001,B2650,$I$2:$I$5001,I2650),1,0))</f>
        <v/>
      </c>
    </row>
    <row r="2651" customFormat="false" ht="15" hidden="false" customHeight="false" outlineLevel="0" collapsed="false">
      <c r="I2651" s="15" t="str">
        <f aca="false">IF(A2651="","",INT(A2651))</f>
        <v/>
      </c>
      <c r="J2651" s="16" t="str">
        <f aca="false">IF(B2651="","",IF(A2651=_xlfn.MINIFS($A$2:$A$5001,$B$2:$B$5001,B2651),1,0))</f>
        <v/>
      </c>
      <c r="K2651" s="16" t="str">
        <f aca="false">IF(B2651="","",IF(AND(D2651="Formalização",E2651="Concluído"),IF(COUNTIFS($B$2:$B$5001,B2651,$E$2:$E$5001,"Em ajustes",$A$2:$A$5001,"&lt;"&amp;I2651)&gt;0,1,0),0))</f>
        <v/>
      </c>
      <c r="L2651" s="16" t="str">
        <f aca="false">IF(B2651="","",IF(A2651=_xlfn.MAXIFS($A$2:$A$5001,$B$2:$B$5001,B2651,$I$2:$I$5001,I2651),1,0))</f>
        <v/>
      </c>
    </row>
    <row r="2652" customFormat="false" ht="15" hidden="false" customHeight="false" outlineLevel="0" collapsed="false">
      <c r="I2652" s="15" t="str">
        <f aca="false">IF(A2652="","",INT(A2652))</f>
        <v/>
      </c>
      <c r="J2652" s="16" t="str">
        <f aca="false">IF(B2652="","",IF(A2652=_xlfn.MINIFS($A$2:$A$5001,$B$2:$B$5001,B2652),1,0))</f>
        <v/>
      </c>
      <c r="K2652" s="16" t="str">
        <f aca="false">IF(B2652="","",IF(AND(D2652="Formalização",E2652="Concluído"),IF(COUNTIFS($B$2:$B$5001,B2652,$E$2:$E$5001,"Em ajustes",$A$2:$A$5001,"&lt;"&amp;I2652)&gt;0,1,0),0))</f>
        <v/>
      </c>
      <c r="L2652" s="16" t="str">
        <f aca="false">IF(B2652="","",IF(A2652=_xlfn.MAXIFS($A$2:$A$5001,$B$2:$B$5001,B2652,$I$2:$I$5001,I2652),1,0))</f>
        <v/>
      </c>
    </row>
    <row r="2653" customFormat="false" ht="15" hidden="false" customHeight="false" outlineLevel="0" collapsed="false">
      <c r="I2653" s="15" t="str">
        <f aca="false">IF(A2653="","",INT(A2653))</f>
        <v/>
      </c>
      <c r="J2653" s="16" t="str">
        <f aca="false">IF(B2653="","",IF(A2653=_xlfn.MINIFS($A$2:$A$5001,$B$2:$B$5001,B2653),1,0))</f>
        <v/>
      </c>
      <c r="K2653" s="16" t="str">
        <f aca="false">IF(B2653="","",IF(AND(D2653="Formalização",E2653="Concluído"),IF(COUNTIFS($B$2:$B$5001,B2653,$E$2:$E$5001,"Em ajustes",$A$2:$A$5001,"&lt;"&amp;I2653)&gt;0,1,0),0))</f>
        <v/>
      </c>
      <c r="L2653" s="16" t="str">
        <f aca="false">IF(B2653="","",IF(A2653=_xlfn.MAXIFS($A$2:$A$5001,$B$2:$B$5001,B2653,$I$2:$I$5001,I2653),1,0))</f>
        <v/>
      </c>
    </row>
    <row r="2654" customFormat="false" ht="15" hidden="false" customHeight="false" outlineLevel="0" collapsed="false">
      <c r="I2654" s="15" t="str">
        <f aca="false">IF(A2654="","",INT(A2654))</f>
        <v/>
      </c>
      <c r="J2654" s="16" t="str">
        <f aca="false">IF(B2654="","",IF(A2654=_xlfn.MINIFS($A$2:$A$5001,$B$2:$B$5001,B2654),1,0))</f>
        <v/>
      </c>
      <c r="K2654" s="16" t="str">
        <f aca="false">IF(B2654="","",IF(AND(D2654="Formalização",E2654="Concluído"),IF(COUNTIFS($B$2:$B$5001,B2654,$E$2:$E$5001,"Em ajustes",$A$2:$A$5001,"&lt;"&amp;I2654)&gt;0,1,0),0))</f>
        <v/>
      </c>
      <c r="L2654" s="16" t="str">
        <f aca="false">IF(B2654="","",IF(A2654=_xlfn.MAXIFS($A$2:$A$5001,$B$2:$B$5001,B2654,$I$2:$I$5001,I2654),1,0))</f>
        <v/>
      </c>
    </row>
    <row r="2655" customFormat="false" ht="15" hidden="false" customHeight="false" outlineLevel="0" collapsed="false">
      <c r="I2655" s="15" t="str">
        <f aca="false">IF(A2655="","",INT(A2655))</f>
        <v/>
      </c>
      <c r="J2655" s="16" t="str">
        <f aca="false">IF(B2655="","",IF(A2655=_xlfn.MINIFS($A$2:$A$5001,$B$2:$B$5001,B2655),1,0))</f>
        <v/>
      </c>
      <c r="K2655" s="16" t="str">
        <f aca="false">IF(B2655="","",IF(AND(D2655="Formalização",E2655="Concluído"),IF(COUNTIFS($B$2:$B$5001,B2655,$E$2:$E$5001,"Em ajustes",$A$2:$A$5001,"&lt;"&amp;I2655)&gt;0,1,0),0))</f>
        <v/>
      </c>
      <c r="L2655" s="16" t="str">
        <f aca="false">IF(B2655="","",IF(A2655=_xlfn.MAXIFS($A$2:$A$5001,$B$2:$B$5001,B2655,$I$2:$I$5001,I2655),1,0))</f>
        <v/>
      </c>
    </row>
    <row r="2656" customFormat="false" ht="15" hidden="false" customHeight="false" outlineLevel="0" collapsed="false">
      <c r="I2656" s="15" t="str">
        <f aca="false">IF(A2656="","",INT(A2656))</f>
        <v/>
      </c>
      <c r="J2656" s="16" t="str">
        <f aca="false">IF(B2656="","",IF(A2656=_xlfn.MINIFS($A$2:$A$5001,$B$2:$B$5001,B2656),1,0))</f>
        <v/>
      </c>
      <c r="K2656" s="16" t="str">
        <f aca="false">IF(B2656="","",IF(AND(D2656="Formalização",E2656="Concluído"),IF(COUNTIFS($B$2:$B$5001,B2656,$E$2:$E$5001,"Em ajustes",$A$2:$A$5001,"&lt;"&amp;I2656)&gt;0,1,0),0))</f>
        <v/>
      </c>
      <c r="L2656" s="16" t="str">
        <f aca="false">IF(B2656="","",IF(A2656=_xlfn.MAXIFS($A$2:$A$5001,$B$2:$B$5001,B2656,$I$2:$I$5001,I2656),1,0))</f>
        <v/>
      </c>
    </row>
    <row r="2657" customFormat="false" ht="15" hidden="false" customHeight="false" outlineLevel="0" collapsed="false">
      <c r="I2657" s="15" t="str">
        <f aca="false">IF(A2657="","",INT(A2657))</f>
        <v/>
      </c>
      <c r="J2657" s="16" t="str">
        <f aca="false">IF(B2657="","",IF(A2657=_xlfn.MINIFS($A$2:$A$5001,$B$2:$B$5001,B2657),1,0))</f>
        <v/>
      </c>
      <c r="K2657" s="16" t="str">
        <f aca="false">IF(B2657="","",IF(AND(D2657="Formalização",E2657="Concluído"),IF(COUNTIFS($B$2:$B$5001,B2657,$E$2:$E$5001,"Em ajustes",$A$2:$A$5001,"&lt;"&amp;I2657)&gt;0,1,0),0))</f>
        <v/>
      </c>
      <c r="L2657" s="16" t="str">
        <f aca="false">IF(B2657="","",IF(A2657=_xlfn.MAXIFS($A$2:$A$5001,$B$2:$B$5001,B2657,$I$2:$I$5001,I2657),1,0))</f>
        <v/>
      </c>
    </row>
    <row r="2658" customFormat="false" ht="15" hidden="false" customHeight="false" outlineLevel="0" collapsed="false">
      <c r="I2658" s="15" t="str">
        <f aca="false">IF(A2658="","",INT(A2658))</f>
        <v/>
      </c>
      <c r="J2658" s="16" t="str">
        <f aca="false">IF(B2658="","",IF(A2658=_xlfn.MINIFS($A$2:$A$5001,$B$2:$B$5001,B2658),1,0))</f>
        <v/>
      </c>
      <c r="K2658" s="16" t="str">
        <f aca="false">IF(B2658="","",IF(AND(D2658="Formalização",E2658="Concluído"),IF(COUNTIFS($B$2:$B$5001,B2658,$E$2:$E$5001,"Em ajustes",$A$2:$A$5001,"&lt;"&amp;I2658)&gt;0,1,0),0))</f>
        <v/>
      </c>
      <c r="L2658" s="16" t="str">
        <f aca="false">IF(B2658="","",IF(A2658=_xlfn.MAXIFS($A$2:$A$5001,$B$2:$B$5001,B2658,$I$2:$I$5001,I2658),1,0))</f>
        <v/>
      </c>
    </row>
    <row r="2659" customFormat="false" ht="15" hidden="false" customHeight="false" outlineLevel="0" collapsed="false">
      <c r="I2659" s="15" t="str">
        <f aca="false">IF(A2659="","",INT(A2659))</f>
        <v/>
      </c>
      <c r="J2659" s="16" t="str">
        <f aca="false">IF(B2659="","",IF(A2659=_xlfn.MINIFS($A$2:$A$5001,$B$2:$B$5001,B2659),1,0))</f>
        <v/>
      </c>
      <c r="K2659" s="16" t="str">
        <f aca="false">IF(B2659="","",IF(AND(D2659="Formalização",E2659="Concluído"),IF(COUNTIFS($B$2:$B$5001,B2659,$E$2:$E$5001,"Em ajustes",$A$2:$A$5001,"&lt;"&amp;I2659)&gt;0,1,0),0))</f>
        <v/>
      </c>
      <c r="L2659" s="16" t="str">
        <f aca="false">IF(B2659="","",IF(A2659=_xlfn.MAXIFS($A$2:$A$5001,$B$2:$B$5001,B2659,$I$2:$I$5001,I2659),1,0))</f>
        <v/>
      </c>
    </row>
    <row r="2660" customFormat="false" ht="15" hidden="false" customHeight="false" outlineLevel="0" collapsed="false">
      <c r="I2660" s="15" t="str">
        <f aca="false">IF(A2660="","",INT(A2660))</f>
        <v/>
      </c>
      <c r="J2660" s="16" t="str">
        <f aca="false">IF(B2660="","",IF(A2660=_xlfn.MINIFS($A$2:$A$5001,$B$2:$B$5001,B2660),1,0))</f>
        <v/>
      </c>
      <c r="K2660" s="16" t="str">
        <f aca="false">IF(B2660="","",IF(AND(D2660="Formalização",E2660="Concluído"),IF(COUNTIFS($B$2:$B$5001,B2660,$E$2:$E$5001,"Em ajustes",$A$2:$A$5001,"&lt;"&amp;I2660)&gt;0,1,0),0))</f>
        <v/>
      </c>
      <c r="L2660" s="16" t="str">
        <f aca="false">IF(B2660="","",IF(A2660=_xlfn.MAXIFS($A$2:$A$5001,$B$2:$B$5001,B2660,$I$2:$I$5001,I2660),1,0))</f>
        <v/>
      </c>
    </row>
    <row r="2661" customFormat="false" ht="15" hidden="false" customHeight="false" outlineLevel="0" collapsed="false">
      <c r="I2661" s="15" t="str">
        <f aca="false">IF(A2661="","",INT(A2661))</f>
        <v/>
      </c>
      <c r="J2661" s="16" t="str">
        <f aca="false">IF(B2661="","",IF(A2661=_xlfn.MINIFS($A$2:$A$5001,$B$2:$B$5001,B2661),1,0))</f>
        <v/>
      </c>
      <c r="K2661" s="16" t="str">
        <f aca="false">IF(B2661="","",IF(AND(D2661="Formalização",E2661="Concluído"),IF(COUNTIFS($B$2:$B$5001,B2661,$E$2:$E$5001,"Em ajustes",$A$2:$A$5001,"&lt;"&amp;I2661)&gt;0,1,0),0))</f>
        <v/>
      </c>
      <c r="L2661" s="16" t="str">
        <f aca="false">IF(B2661="","",IF(A2661=_xlfn.MAXIFS($A$2:$A$5001,$B$2:$B$5001,B2661,$I$2:$I$5001,I2661),1,0))</f>
        <v/>
      </c>
    </row>
    <row r="2662" customFormat="false" ht="15" hidden="false" customHeight="false" outlineLevel="0" collapsed="false">
      <c r="I2662" s="15" t="str">
        <f aca="false">IF(A2662="","",INT(A2662))</f>
        <v/>
      </c>
      <c r="J2662" s="16" t="str">
        <f aca="false">IF(B2662="","",IF(A2662=_xlfn.MINIFS($A$2:$A$5001,$B$2:$B$5001,B2662),1,0))</f>
        <v/>
      </c>
      <c r="K2662" s="16" t="str">
        <f aca="false">IF(B2662="","",IF(AND(D2662="Formalização",E2662="Concluído"),IF(COUNTIFS($B$2:$B$5001,B2662,$E$2:$E$5001,"Em ajustes",$A$2:$A$5001,"&lt;"&amp;I2662)&gt;0,1,0),0))</f>
        <v/>
      </c>
      <c r="L2662" s="16" t="str">
        <f aca="false">IF(B2662="","",IF(A2662=_xlfn.MAXIFS($A$2:$A$5001,$B$2:$B$5001,B2662,$I$2:$I$5001,I2662),1,0))</f>
        <v/>
      </c>
    </row>
    <row r="2663" customFormat="false" ht="15" hidden="false" customHeight="false" outlineLevel="0" collapsed="false">
      <c r="I2663" s="15" t="str">
        <f aca="false">IF(A2663="","",INT(A2663))</f>
        <v/>
      </c>
      <c r="J2663" s="16" t="str">
        <f aca="false">IF(B2663="","",IF(A2663=_xlfn.MINIFS($A$2:$A$5001,$B$2:$B$5001,B2663),1,0))</f>
        <v/>
      </c>
      <c r="K2663" s="16" t="str">
        <f aca="false">IF(B2663="","",IF(AND(D2663="Formalização",E2663="Concluído"),IF(COUNTIFS($B$2:$B$5001,B2663,$E$2:$E$5001,"Em ajustes",$A$2:$A$5001,"&lt;"&amp;I2663)&gt;0,1,0),0))</f>
        <v/>
      </c>
      <c r="L2663" s="16" t="str">
        <f aca="false">IF(B2663="","",IF(A2663=_xlfn.MAXIFS($A$2:$A$5001,$B$2:$B$5001,B2663,$I$2:$I$5001,I2663),1,0))</f>
        <v/>
      </c>
    </row>
    <row r="2664" customFormat="false" ht="15" hidden="false" customHeight="false" outlineLevel="0" collapsed="false">
      <c r="I2664" s="15" t="str">
        <f aca="false">IF(A2664="","",INT(A2664))</f>
        <v/>
      </c>
      <c r="J2664" s="16" t="str">
        <f aca="false">IF(B2664="","",IF(A2664=_xlfn.MINIFS($A$2:$A$5001,$B$2:$B$5001,B2664),1,0))</f>
        <v/>
      </c>
      <c r="K2664" s="16" t="str">
        <f aca="false">IF(B2664="","",IF(AND(D2664="Formalização",E2664="Concluído"),IF(COUNTIFS($B$2:$B$5001,B2664,$E$2:$E$5001,"Em ajustes",$A$2:$A$5001,"&lt;"&amp;I2664)&gt;0,1,0),0))</f>
        <v/>
      </c>
      <c r="L2664" s="16" t="str">
        <f aca="false">IF(B2664="","",IF(A2664=_xlfn.MAXIFS($A$2:$A$5001,$B$2:$B$5001,B2664,$I$2:$I$5001,I2664),1,0))</f>
        <v/>
      </c>
    </row>
    <row r="2665" customFormat="false" ht="15" hidden="false" customHeight="false" outlineLevel="0" collapsed="false">
      <c r="I2665" s="15" t="str">
        <f aca="false">IF(A2665="","",INT(A2665))</f>
        <v/>
      </c>
      <c r="J2665" s="16" t="str">
        <f aca="false">IF(B2665="","",IF(A2665=_xlfn.MINIFS($A$2:$A$5001,$B$2:$B$5001,B2665),1,0))</f>
        <v/>
      </c>
      <c r="K2665" s="16" t="str">
        <f aca="false">IF(B2665="","",IF(AND(D2665="Formalização",E2665="Concluído"),IF(COUNTIFS($B$2:$B$5001,B2665,$E$2:$E$5001,"Em ajustes",$A$2:$A$5001,"&lt;"&amp;I2665)&gt;0,1,0),0))</f>
        <v/>
      </c>
      <c r="L2665" s="16" t="str">
        <f aca="false">IF(B2665="","",IF(A2665=_xlfn.MAXIFS($A$2:$A$5001,$B$2:$B$5001,B2665,$I$2:$I$5001,I2665),1,0))</f>
        <v/>
      </c>
    </row>
    <row r="2666" customFormat="false" ht="15" hidden="false" customHeight="false" outlineLevel="0" collapsed="false">
      <c r="I2666" s="15" t="str">
        <f aca="false">IF(A2666="","",INT(A2666))</f>
        <v/>
      </c>
      <c r="J2666" s="16" t="str">
        <f aca="false">IF(B2666="","",IF(A2666=_xlfn.MINIFS($A$2:$A$5001,$B$2:$B$5001,B2666),1,0))</f>
        <v/>
      </c>
      <c r="K2666" s="16" t="str">
        <f aca="false">IF(B2666="","",IF(AND(D2666="Formalização",E2666="Concluído"),IF(COUNTIFS($B$2:$B$5001,B2666,$E$2:$E$5001,"Em ajustes",$A$2:$A$5001,"&lt;"&amp;I2666)&gt;0,1,0),0))</f>
        <v/>
      </c>
      <c r="L2666" s="16" t="str">
        <f aca="false">IF(B2666="","",IF(A2666=_xlfn.MAXIFS($A$2:$A$5001,$B$2:$B$5001,B2666,$I$2:$I$5001,I2666),1,0))</f>
        <v/>
      </c>
    </row>
    <row r="2667" customFormat="false" ht="15" hidden="false" customHeight="false" outlineLevel="0" collapsed="false">
      <c r="I2667" s="15" t="str">
        <f aca="false">IF(A2667="","",INT(A2667))</f>
        <v/>
      </c>
      <c r="J2667" s="16" t="str">
        <f aca="false">IF(B2667="","",IF(A2667=_xlfn.MINIFS($A$2:$A$5001,$B$2:$B$5001,B2667),1,0))</f>
        <v/>
      </c>
      <c r="K2667" s="16" t="str">
        <f aca="false">IF(B2667="","",IF(AND(D2667="Formalização",E2667="Concluído"),IF(COUNTIFS($B$2:$B$5001,B2667,$E$2:$E$5001,"Em ajustes",$A$2:$A$5001,"&lt;"&amp;I2667)&gt;0,1,0),0))</f>
        <v/>
      </c>
      <c r="L2667" s="16" t="str">
        <f aca="false">IF(B2667="","",IF(A2667=_xlfn.MAXIFS($A$2:$A$5001,$B$2:$B$5001,B2667,$I$2:$I$5001,I2667),1,0))</f>
        <v/>
      </c>
    </row>
    <row r="2668" customFormat="false" ht="15" hidden="false" customHeight="false" outlineLevel="0" collapsed="false">
      <c r="I2668" s="15" t="str">
        <f aca="false">IF(A2668="","",INT(A2668))</f>
        <v/>
      </c>
      <c r="J2668" s="16" t="str">
        <f aca="false">IF(B2668="","",IF(A2668=_xlfn.MINIFS($A$2:$A$5001,$B$2:$B$5001,B2668),1,0))</f>
        <v/>
      </c>
      <c r="K2668" s="16" t="str">
        <f aca="false">IF(B2668="","",IF(AND(D2668="Formalização",E2668="Concluído"),IF(COUNTIFS($B$2:$B$5001,B2668,$E$2:$E$5001,"Em ajustes",$A$2:$A$5001,"&lt;"&amp;I2668)&gt;0,1,0),0))</f>
        <v/>
      </c>
      <c r="L2668" s="16" t="str">
        <f aca="false">IF(B2668="","",IF(A2668=_xlfn.MAXIFS($A$2:$A$5001,$B$2:$B$5001,B2668,$I$2:$I$5001,I2668),1,0))</f>
        <v/>
      </c>
    </row>
    <row r="2669" customFormat="false" ht="15" hidden="false" customHeight="false" outlineLevel="0" collapsed="false">
      <c r="I2669" s="15" t="str">
        <f aca="false">IF(A2669="","",INT(A2669))</f>
        <v/>
      </c>
      <c r="J2669" s="16" t="str">
        <f aca="false">IF(B2669="","",IF(A2669=_xlfn.MINIFS($A$2:$A$5001,$B$2:$B$5001,B2669),1,0))</f>
        <v/>
      </c>
      <c r="K2669" s="16" t="str">
        <f aca="false">IF(B2669="","",IF(AND(D2669="Formalização",E2669="Concluído"),IF(COUNTIFS($B$2:$B$5001,B2669,$E$2:$E$5001,"Em ajustes",$A$2:$A$5001,"&lt;"&amp;I2669)&gt;0,1,0),0))</f>
        <v/>
      </c>
      <c r="L2669" s="16" t="str">
        <f aca="false">IF(B2669="","",IF(A2669=_xlfn.MAXIFS($A$2:$A$5001,$B$2:$B$5001,B2669,$I$2:$I$5001,I2669),1,0))</f>
        <v/>
      </c>
    </row>
    <row r="2670" customFormat="false" ht="15" hidden="false" customHeight="false" outlineLevel="0" collapsed="false">
      <c r="I2670" s="15" t="str">
        <f aca="false">IF(A2670="","",INT(A2670))</f>
        <v/>
      </c>
      <c r="J2670" s="16" t="str">
        <f aca="false">IF(B2670="","",IF(A2670=_xlfn.MINIFS($A$2:$A$5001,$B$2:$B$5001,B2670),1,0))</f>
        <v/>
      </c>
      <c r="K2670" s="16" t="str">
        <f aca="false">IF(B2670="","",IF(AND(D2670="Formalização",E2670="Concluído"),IF(COUNTIFS($B$2:$B$5001,B2670,$E$2:$E$5001,"Em ajustes",$A$2:$A$5001,"&lt;"&amp;I2670)&gt;0,1,0),0))</f>
        <v/>
      </c>
      <c r="L2670" s="16" t="str">
        <f aca="false">IF(B2670="","",IF(A2670=_xlfn.MAXIFS($A$2:$A$5001,$B$2:$B$5001,B2670,$I$2:$I$5001,I2670),1,0))</f>
        <v/>
      </c>
    </row>
    <row r="2671" customFormat="false" ht="15" hidden="false" customHeight="false" outlineLevel="0" collapsed="false">
      <c r="I2671" s="15" t="str">
        <f aca="false">IF(A2671="","",INT(A2671))</f>
        <v/>
      </c>
      <c r="J2671" s="16" t="str">
        <f aca="false">IF(B2671="","",IF(A2671=_xlfn.MINIFS($A$2:$A$5001,$B$2:$B$5001,B2671),1,0))</f>
        <v/>
      </c>
      <c r="K2671" s="16" t="str">
        <f aca="false">IF(B2671="","",IF(AND(D2671="Formalização",E2671="Concluído"),IF(COUNTIFS($B$2:$B$5001,B2671,$E$2:$E$5001,"Em ajustes",$A$2:$A$5001,"&lt;"&amp;I2671)&gt;0,1,0),0))</f>
        <v/>
      </c>
      <c r="L2671" s="16" t="str">
        <f aca="false">IF(B2671="","",IF(A2671=_xlfn.MAXIFS($A$2:$A$5001,$B$2:$B$5001,B2671,$I$2:$I$5001,I2671),1,0))</f>
        <v/>
      </c>
    </row>
    <row r="2672" customFormat="false" ht="15" hidden="false" customHeight="false" outlineLevel="0" collapsed="false">
      <c r="I2672" s="15" t="str">
        <f aca="false">IF(A2672="","",INT(A2672))</f>
        <v/>
      </c>
      <c r="J2672" s="16" t="str">
        <f aca="false">IF(B2672="","",IF(A2672=_xlfn.MINIFS($A$2:$A$5001,$B$2:$B$5001,B2672),1,0))</f>
        <v/>
      </c>
      <c r="K2672" s="16" t="str">
        <f aca="false">IF(B2672="","",IF(AND(D2672="Formalização",E2672="Concluído"),IF(COUNTIFS($B$2:$B$5001,B2672,$E$2:$E$5001,"Em ajustes",$A$2:$A$5001,"&lt;"&amp;I2672)&gt;0,1,0),0))</f>
        <v/>
      </c>
      <c r="L2672" s="16" t="str">
        <f aca="false">IF(B2672="","",IF(A2672=_xlfn.MAXIFS($A$2:$A$5001,$B$2:$B$5001,B2672,$I$2:$I$5001,I2672),1,0))</f>
        <v/>
      </c>
    </row>
    <row r="2673" customFormat="false" ht="15" hidden="false" customHeight="false" outlineLevel="0" collapsed="false">
      <c r="I2673" s="15" t="str">
        <f aca="false">IF(A2673="","",INT(A2673))</f>
        <v/>
      </c>
      <c r="J2673" s="16" t="str">
        <f aca="false">IF(B2673="","",IF(A2673=_xlfn.MINIFS($A$2:$A$5001,$B$2:$B$5001,B2673),1,0))</f>
        <v/>
      </c>
      <c r="K2673" s="16" t="str">
        <f aca="false">IF(B2673="","",IF(AND(D2673="Formalização",E2673="Concluído"),IF(COUNTIFS($B$2:$B$5001,B2673,$E$2:$E$5001,"Em ajustes",$A$2:$A$5001,"&lt;"&amp;I2673)&gt;0,1,0),0))</f>
        <v/>
      </c>
      <c r="L2673" s="16" t="str">
        <f aca="false">IF(B2673="","",IF(A2673=_xlfn.MAXIFS($A$2:$A$5001,$B$2:$B$5001,B2673,$I$2:$I$5001,I2673),1,0))</f>
        <v/>
      </c>
    </row>
    <row r="2674" customFormat="false" ht="15" hidden="false" customHeight="false" outlineLevel="0" collapsed="false">
      <c r="I2674" s="15" t="str">
        <f aca="false">IF(A2674="","",INT(A2674))</f>
        <v/>
      </c>
      <c r="J2674" s="16" t="str">
        <f aca="false">IF(B2674="","",IF(A2674=_xlfn.MINIFS($A$2:$A$5001,$B$2:$B$5001,B2674),1,0))</f>
        <v/>
      </c>
      <c r="K2674" s="16" t="str">
        <f aca="false">IF(B2674="","",IF(AND(D2674="Formalização",E2674="Concluído"),IF(COUNTIFS($B$2:$B$5001,B2674,$E$2:$E$5001,"Em ajustes",$A$2:$A$5001,"&lt;"&amp;I2674)&gt;0,1,0),0))</f>
        <v/>
      </c>
      <c r="L2674" s="16" t="str">
        <f aca="false">IF(B2674="","",IF(A2674=_xlfn.MAXIFS($A$2:$A$5001,$B$2:$B$5001,B2674,$I$2:$I$5001,I2674),1,0))</f>
        <v/>
      </c>
    </row>
    <row r="2675" customFormat="false" ht="15" hidden="false" customHeight="false" outlineLevel="0" collapsed="false">
      <c r="I2675" s="15" t="str">
        <f aca="false">IF(A2675="","",INT(A2675))</f>
        <v/>
      </c>
      <c r="J2675" s="16" t="str">
        <f aca="false">IF(B2675="","",IF(A2675=_xlfn.MINIFS($A$2:$A$5001,$B$2:$B$5001,B2675),1,0))</f>
        <v/>
      </c>
      <c r="K2675" s="16" t="str">
        <f aca="false">IF(B2675="","",IF(AND(D2675="Formalização",E2675="Concluído"),IF(COUNTIFS($B$2:$B$5001,B2675,$E$2:$E$5001,"Em ajustes",$A$2:$A$5001,"&lt;"&amp;I2675)&gt;0,1,0),0))</f>
        <v/>
      </c>
      <c r="L2675" s="16" t="str">
        <f aca="false">IF(B2675="","",IF(A2675=_xlfn.MAXIFS($A$2:$A$5001,$B$2:$B$5001,B2675,$I$2:$I$5001,I2675),1,0))</f>
        <v/>
      </c>
    </row>
    <row r="2676" customFormat="false" ht="15" hidden="false" customHeight="false" outlineLevel="0" collapsed="false">
      <c r="I2676" s="15" t="str">
        <f aca="false">IF(A2676="","",INT(A2676))</f>
        <v/>
      </c>
      <c r="J2676" s="16" t="str">
        <f aca="false">IF(B2676="","",IF(A2676=_xlfn.MINIFS($A$2:$A$5001,$B$2:$B$5001,B2676),1,0))</f>
        <v/>
      </c>
      <c r="K2676" s="16" t="str">
        <f aca="false">IF(B2676="","",IF(AND(D2676="Formalização",E2676="Concluído"),IF(COUNTIFS($B$2:$B$5001,B2676,$E$2:$E$5001,"Em ajustes",$A$2:$A$5001,"&lt;"&amp;I2676)&gt;0,1,0),0))</f>
        <v/>
      </c>
      <c r="L2676" s="16" t="str">
        <f aca="false">IF(B2676="","",IF(A2676=_xlfn.MAXIFS($A$2:$A$5001,$B$2:$B$5001,B2676,$I$2:$I$5001,I2676),1,0))</f>
        <v/>
      </c>
    </row>
    <row r="2677" customFormat="false" ht="15" hidden="false" customHeight="false" outlineLevel="0" collapsed="false">
      <c r="I2677" s="15" t="str">
        <f aca="false">IF(A2677="","",INT(A2677))</f>
        <v/>
      </c>
      <c r="J2677" s="16" t="str">
        <f aca="false">IF(B2677="","",IF(A2677=_xlfn.MINIFS($A$2:$A$5001,$B$2:$B$5001,B2677),1,0))</f>
        <v/>
      </c>
      <c r="K2677" s="16" t="str">
        <f aca="false">IF(B2677="","",IF(AND(D2677="Formalização",E2677="Concluído"),IF(COUNTIFS($B$2:$B$5001,B2677,$E$2:$E$5001,"Em ajustes",$A$2:$A$5001,"&lt;"&amp;I2677)&gt;0,1,0),0))</f>
        <v/>
      </c>
      <c r="L2677" s="16" t="str">
        <f aca="false">IF(B2677="","",IF(A2677=_xlfn.MAXIFS($A$2:$A$5001,$B$2:$B$5001,B2677,$I$2:$I$5001,I2677),1,0))</f>
        <v/>
      </c>
    </row>
    <row r="2678" customFormat="false" ht="15" hidden="false" customHeight="false" outlineLevel="0" collapsed="false">
      <c r="I2678" s="15" t="str">
        <f aca="false">IF(A2678="","",INT(A2678))</f>
        <v/>
      </c>
      <c r="J2678" s="16" t="str">
        <f aca="false">IF(B2678="","",IF(A2678=_xlfn.MINIFS($A$2:$A$5001,$B$2:$B$5001,B2678),1,0))</f>
        <v/>
      </c>
      <c r="K2678" s="16" t="str">
        <f aca="false">IF(B2678="","",IF(AND(D2678="Formalização",E2678="Concluído"),IF(COUNTIFS($B$2:$B$5001,B2678,$E$2:$E$5001,"Em ajustes",$A$2:$A$5001,"&lt;"&amp;I2678)&gt;0,1,0),0))</f>
        <v/>
      </c>
      <c r="L2678" s="16" t="str">
        <f aca="false">IF(B2678="","",IF(A2678=_xlfn.MAXIFS($A$2:$A$5001,$B$2:$B$5001,B2678,$I$2:$I$5001,I2678),1,0))</f>
        <v/>
      </c>
    </row>
    <row r="2679" customFormat="false" ht="15" hidden="false" customHeight="false" outlineLevel="0" collapsed="false">
      <c r="I2679" s="15" t="str">
        <f aca="false">IF(A2679="","",INT(A2679))</f>
        <v/>
      </c>
      <c r="J2679" s="16" t="str">
        <f aca="false">IF(B2679="","",IF(A2679=_xlfn.MINIFS($A$2:$A$5001,$B$2:$B$5001,B2679),1,0))</f>
        <v/>
      </c>
      <c r="K2679" s="16" t="str">
        <f aca="false">IF(B2679="","",IF(AND(D2679="Formalização",E2679="Concluído"),IF(COUNTIFS($B$2:$B$5001,B2679,$E$2:$E$5001,"Em ajustes",$A$2:$A$5001,"&lt;"&amp;I2679)&gt;0,1,0),0))</f>
        <v/>
      </c>
      <c r="L2679" s="16" t="str">
        <f aca="false">IF(B2679="","",IF(A2679=_xlfn.MAXIFS($A$2:$A$5001,$B$2:$B$5001,B2679,$I$2:$I$5001,I2679),1,0))</f>
        <v/>
      </c>
    </row>
    <row r="2680" customFormat="false" ht="15" hidden="false" customHeight="false" outlineLevel="0" collapsed="false">
      <c r="I2680" s="15" t="str">
        <f aca="false">IF(A2680="","",INT(A2680))</f>
        <v/>
      </c>
      <c r="J2680" s="16" t="str">
        <f aca="false">IF(B2680="","",IF(A2680=_xlfn.MINIFS($A$2:$A$5001,$B$2:$B$5001,B2680),1,0))</f>
        <v/>
      </c>
      <c r="K2680" s="16" t="str">
        <f aca="false">IF(B2680="","",IF(AND(D2680="Formalização",E2680="Concluído"),IF(COUNTIFS($B$2:$B$5001,B2680,$E$2:$E$5001,"Em ajustes",$A$2:$A$5001,"&lt;"&amp;I2680)&gt;0,1,0),0))</f>
        <v/>
      </c>
      <c r="L2680" s="16" t="str">
        <f aca="false">IF(B2680="","",IF(A2680=_xlfn.MAXIFS($A$2:$A$5001,$B$2:$B$5001,B2680,$I$2:$I$5001,I2680),1,0))</f>
        <v/>
      </c>
    </row>
    <row r="2681" customFormat="false" ht="15" hidden="false" customHeight="false" outlineLevel="0" collapsed="false">
      <c r="I2681" s="15" t="str">
        <f aca="false">IF(A2681="","",INT(A2681))</f>
        <v/>
      </c>
      <c r="J2681" s="16" t="str">
        <f aca="false">IF(B2681="","",IF(A2681=_xlfn.MINIFS($A$2:$A$5001,$B$2:$B$5001,B2681),1,0))</f>
        <v/>
      </c>
      <c r="K2681" s="16" t="str">
        <f aca="false">IF(B2681="","",IF(AND(D2681="Formalização",E2681="Concluído"),IF(COUNTIFS($B$2:$B$5001,B2681,$E$2:$E$5001,"Em ajustes",$A$2:$A$5001,"&lt;"&amp;I2681)&gt;0,1,0),0))</f>
        <v/>
      </c>
      <c r="L2681" s="16" t="str">
        <f aca="false">IF(B2681="","",IF(A2681=_xlfn.MAXIFS($A$2:$A$5001,$B$2:$B$5001,B2681,$I$2:$I$5001,I2681),1,0))</f>
        <v/>
      </c>
    </row>
    <row r="2682" customFormat="false" ht="15" hidden="false" customHeight="false" outlineLevel="0" collapsed="false">
      <c r="I2682" s="15" t="str">
        <f aca="false">IF(A2682="","",INT(A2682))</f>
        <v/>
      </c>
      <c r="J2682" s="16" t="str">
        <f aca="false">IF(B2682="","",IF(A2682=_xlfn.MINIFS($A$2:$A$5001,$B$2:$B$5001,B2682),1,0))</f>
        <v/>
      </c>
      <c r="K2682" s="16" t="str">
        <f aca="false">IF(B2682="","",IF(AND(D2682="Formalização",E2682="Concluído"),IF(COUNTIFS($B$2:$B$5001,B2682,$E$2:$E$5001,"Em ajustes",$A$2:$A$5001,"&lt;"&amp;I2682)&gt;0,1,0),0))</f>
        <v/>
      </c>
      <c r="L2682" s="16" t="str">
        <f aca="false">IF(B2682="","",IF(A2682=_xlfn.MAXIFS($A$2:$A$5001,$B$2:$B$5001,B2682,$I$2:$I$5001,I2682),1,0))</f>
        <v/>
      </c>
    </row>
    <row r="2683" customFormat="false" ht="15" hidden="false" customHeight="false" outlineLevel="0" collapsed="false">
      <c r="I2683" s="15" t="str">
        <f aca="false">IF(A2683="","",INT(A2683))</f>
        <v/>
      </c>
      <c r="J2683" s="16" t="str">
        <f aca="false">IF(B2683="","",IF(A2683=_xlfn.MINIFS($A$2:$A$5001,$B$2:$B$5001,B2683),1,0))</f>
        <v/>
      </c>
      <c r="K2683" s="16" t="str">
        <f aca="false">IF(B2683="","",IF(AND(D2683="Formalização",E2683="Concluído"),IF(COUNTIFS($B$2:$B$5001,B2683,$E$2:$E$5001,"Em ajustes",$A$2:$A$5001,"&lt;"&amp;I2683)&gt;0,1,0),0))</f>
        <v/>
      </c>
      <c r="L2683" s="16" t="str">
        <f aca="false">IF(B2683="","",IF(A2683=_xlfn.MAXIFS($A$2:$A$5001,$B$2:$B$5001,B2683,$I$2:$I$5001,I2683),1,0))</f>
        <v/>
      </c>
    </row>
    <row r="2684" customFormat="false" ht="15" hidden="false" customHeight="false" outlineLevel="0" collapsed="false">
      <c r="I2684" s="15" t="str">
        <f aca="false">IF(A2684="","",INT(A2684))</f>
        <v/>
      </c>
      <c r="J2684" s="16" t="str">
        <f aca="false">IF(B2684="","",IF(A2684=_xlfn.MINIFS($A$2:$A$5001,$B$2:$B$5001,B2684),1,0))</f>
        <v/>
      </c>
      <c r="K2684" s="16" t="str">
        <f aca="false">IF(B2684="","",IF(AND(D2684="Formalização",E2684="Concluído"),IF(COUNTIFS($B$2:$B$5001,B2684,$E$2:$E$5001,"Em ajustes",$A$2:$A$5001,"&lt;"&amp;I2684)&gt;0,1,0),0))</f>
        <v/>
      </c>
      <c r="L2684" s="16" t="str">
        <f aca="false">IF(B2684="","",IF(A2684=_xlfn.MAXIFS($A$2:$A$5001,$B$2:$B$5001,B2684,$I$2:$I$5001,I2684),1,0))</f>
        <v/>
      </c>
    </row>
    <row r="2685" customFormat="false" ht="15" hidden="false" customHeight="false" outlineLevel="0" collapsed="false">
      <c r="I2685" s="15" t="str">
        <f aca="false">IF(A2685="","",INT(A2685))</f>
        <v/>
      </c>
      <c r="J2685" s="16" t="str">
        <f aca="false">IF(B2685="","",IF(A2685=_xlfn.MINIFS($A$2:$A$5001,$B$2:$B$5001,B2685),1,0))</f>
        <v/>
      </c>
      <c r="K2685" s="16" t="str">
        <f aca="false">IF(B2685="","",IF(AND(D2685="Formalização",E2685="Concluído"),IF(COUNTIFS($B$2:$B$5001,B2685,$E$2:$E$5001,"Em ajustes",$A$2:$A$5001,"&lt;"&amp;I2685)&gt;0,1,0),0))</f>
        <v/>
      </c>
      <c r="L2685" s="16" t="str">
        <f aca="false">IF(B2685="","",IF(A2685=_xlfn.MAXIFS($A$2:$A$5001,$B$2:$B$5001,B2685,$I$2:$I$5001,I2685),1,0))</f>
        <v/>
      </c>
    </row>
    <row r="2686" customFormat="false" ht="15" hidden="false" customHeight="false" outlineLevel="0" collapsed="false">
      <c r="I2686" s="15" t="str">
        <f aca="false">IF(A2686="","",INT(A2686))</f>
        <v/>
      </c>
      <c r="J2686" s="16" t="str">
        <f aca="false">IF(B2686="","",IF(A2686=_xlfn.MINIFS($A$2:$A$5001,$B$2:$B$5001,B2686),1,0))</f>
        <v/>
      </c>
      <c r="K2686" s="16" t="str">
        <f aca="false">IF(B2686="","",IF(AND(D2686="Formalização",E2686="Concluído"),IF(COUNTIFS($B$2:$B$5001,B2686,$E$2:$E$5001,"Em ajustes",$A$2:$A$5001,"&lt;"&amp;I2686)&gt;0,1,0),0))</f>
        <v/>
      </c>
      <c r="L2686" s="16" t="str">
        <f aca="false">IF(B2686="","",IF(A2686=_xlfn.MAXIFS($A$2:$A$5001,$B$2:$B$5001,B2686,$I$2:$I$5001,I2686),1,0))</f>
        <v/>
      </c>
    </row>
    <row r="2687" customFormat="false" ht="15" hidden="false" customHeight="false" outlineLevel="0" collapsed="false">
      <c r="I2687" s="15" t="str">
        <f aca="false">IF(A2687="","",INT(A2687))</f>
        <v/>
      </c>
      <c r="J2687" s="16" t="str">
        <f aca="false">IF(B2687="","",IF(A2687=_xlfn.MINIFS($A$2:$A$5001,$B$2:$B$5001,B2687),1,0))</f>
        <v/>
      </c>
      <c r="K2687" s="16" t="str">
        <f aca="false">IF(B2687="","",IF(AND(D2687="Formalização",E2687="Concluído"),IF(COUNTIFS($B$2:$B$5001,B2687,$E$2:$E$5001,"Em ajustes",$A$2:$A$5001,"&lt;"&amp;I2687)&gt;0,1,0),0))</f>
        <v/>
      </c>
      <c r="L2687" s="16" t="str">
        <f aca="false">IF(B2687="","",IF(A2687=_xlfn.MAXIFS($A$2:$A$5001,$B$2:$B$5001,B2687,$I$2:$I$5001,I2687),1,0))</f>
        <v/>
      </c>
    </row>
    <row r="2688" customFormat="false" ht="15" hidden="false" customHeight="false" outlineLevel="0" collapsed="false">
      <c r="I2688" s="15" t="str">
        <f aca="false">IF(A2688="","",INT(A2688))</f>
        <v/>
      </c>
      <c r="J2688" s="16" t="str">
        <f aca="false">IF(B2688="","",IF(A2688=_xlfn.MINIFS($A$2:$A$5001,$B$2:$B$5001,B2688),1,0))</f>
        <v/>
      </c>
      <c r="K2688" s="16" t="str">
        <f aca="false">IF(B2688="","",IF(AND(D2688="Formalização",E2688="Concluído"),IF(COUNTIFS($B$2:$B$5001,B2688,$E$2:$E$5001,"Em ajustes",$A$2:$A$5001,"&lt;"&amp;I2688)&gt;0,1,0),0))</f>
        <v/>
      </c>
      <c r="L2688" s="16" t="str">
        <f aca="false">IF(B2688="","",IF(A2688=_xlfn.MAXIFS($A$2:$A$5001,$B$2:$B$5001,B2688,$I$2:$I$5001,I2688),1,0))</f>
        <v/>
      </c>
    </row>
    <row r="2689" customFormat="false" ht="15" hidden="false" customHeight="false" outlineLevel="0" collapsed="false">
      <c r="I2689" s="15" t="str">
        <f aca="false">IF(A2689="","",INT(A2689))</f>
        <v/>
      </c>
      <c r="J2689" s="16" t="str">
        <f aca="false">IF(B2689="","",IF(A2689=_xlfn.MINIFS($A$2:$A$5001,$B$2:$B$5001,B2689),1,0))</f>
        <v/>
      </c>
      <c r="K2689" s="16" t="str">
        <f aca="false">IF(B2689="","",IF(AND(D2689="Formalização",E2689="Concluído"),IF(COUNTIFS($B$2:$B$5001,B2689,$E$2:$E$5001,"Em ajustes",$A$2:$A$5001,"&lt;"&amp;I2689)&gt;0,1,0),0))</f>
        <v/>
      </c>
      <c r="L2689" s="16" t="str">
        <f aca="false">IF(B2689="","",IF(A2689=_xlfn.MAXIFS($A$2:$A$5001,$B$2:$B$5001,B2689,$I$2:$I$5001,I2689),1,0))</f>
        <v/>
      </c>
    </row>
    <row r="2690" customFormat="false" ht="15" hidden="false" customHeight="false" outlineLevel="0" collapsed="false">
      <c r="I2690" s="15" t="str">
        <f aca="false">IF(A2690="","",INT(A2690))</f>
        <v/>
      </c>
      <c r="J2690" s="16" t="str">
        <f aca="false">IF(B2690="","",IF(A2690=_xlfn.MINIFS($A$2:$A$5001,$B$2:$B$5001,B2690),1,0))</f>
        <v/>
      </c>
      <c r="K2690" s="16" t="str">
        <f aca="false">IF(B2690="","",IF(AND(D2690="Formalização",E2690="Concluído"),IF(COUNTIFS($B$2:$B$5001,B2690,$E$2:$E$5001,"Em ajustes",$A$2:$A$5001,"&lt;"&amp;I2690)&gt;0,1,0),0))</f>
        <v/>
      </c>
      <c r="L2690" s="16" t="str">
        <f aca="false">IF(B2690="","",IF(A2690=_xlfn.MAXIFS($A$2:$A$5001,$B$2:$B$5001,B2690,$I$2:$I$5001,I2690),1,0))</f>
        <v/>
      </c>
    </row>
    <row r="2691" customFormat="false" ht="15" hidden="false" customHeight="false" outlineLevel="0" collapsed="false">
      <c r="I2691" s="15" t="str">
        <f aca="false">IF(A2691="","",INT(A2691))</f>
        <v/>
      </c>
      <c r="J2691" s="16" t="str">
        <f aca="false">IF(B2691="","",IF(A2691=_xlfn.MINIFS($A$2:$A$5001,$B$2:$B$5001,B2691),1,0))</f>
        <v/>
      </c>
      <c r="K2691" s="16" t="str">
        <f aca="false">IF(B2691="","",IF(AND(D2691="Formalização",E2691="Concluído"),IF(COUNTIFS($B$2:$B$5001,B2691,$E$2:$E$5001,"Em ajustes",$A$2:$A$5001,"&lt;"&amp;I2691)&gt;0,1,0),0))</f>
        <v/>
      </c>
      <c r="L2691" s="16" t="str">
        <f aca="false">IF(B2691="","",IF(A2691=_xlfn.MAXIFS($A$2:$A$5001,$B$2:$B$5001,B2691,$I$2:$I$5001,I2691),1,0))</f>
        <v/>
      </c>
    </row>
    <row r="2692" customFormat="false" ht="15" hidden="false" customHeight="false" outlineLevel="0" collapsed="false">
      <c r="I2692" s="15" t="str">
        <f aca="false">IF(A2692="","",INT(A2692))</f>
        <v/>
      </c>
      <c r="J2692" s="16" t="str">
        <f aca="false">IF(B2692="","",IF(A2692=_xlfn.MINIFS($A$2:$A$5001,$B$2:$B$5001,B2692),1,0))</f>
        <v/>
      </c>
      <c r="K2692" s="16" t="str">
        <f aca="false">IF(B2692="","",IF(AND(D2692="Formalização",E2692="Concluído"),IF(COUNTIFS($B$2:$B$5001,B2692,$E$2:$E$5001,"Em ajustes",$A$2:$A$5001,"&lt;"&amp;I2692)&gt;0,1,0),0))</f>
        <v/>
      </c>
      <c r="L2692" s="16" t="str">
        <f aca="false">IF(B2692="","",IF(A2692=_xlfn.MAXIFS($A$2:$A$5001,$B$2:$B$5001,B2692,$I$2:$I$5001,I2692),1,0))</f>
        <v/>
      </c>
    </row>
    <row r="2693" customFormat="false" ht="15" hidden="false" customHeight="false" outlineLevel="0" collapsed="false">
      <c r="I2693" s="15" t="str">
        <f aca="false">IF(A2693="","",INT(A2693))</f>
        <v/>
      </c>
      <c r="J2693" s="16" t="str">
        <f aca="false">IF(B2693="","",IF(A2693=_xlfn.MINIFS($A$2:$A$5001,$B$2:$B$5001,B2693),1,0))</f>
        <v/>
      </c>
      <c r="K2693" s="16" t="str">
        <f aca="false">IF(B2693="","",IF(AND(D2693="Formalização",E2693="Concluído"),IF(COUNTIFS($B$2:$B$5001,B2693,$E$2:$E$5001,"Em ajustes",$A$2:$A$5001,"&lt;"&amp;I2693)&gt;0,1,0),0))</f>
        <v/>
      </c>
      <c r="L2693" s="16" t="str">
        <f aca="false">IF(B2693="","",IF(A2693=_xlfn.MAXIFS($A$2:$A$5001,$B$2:$B$5001,B2693,$I$2:$I$5001,I2693),1,0))</f>
        <v/>
      </c>
    </row>
    <row r="2694" customFormat="false" ht="15" hidden="false" customHeight="false" outlineLevel="0" collapsed="false">
      <c r="I2694" s="15" t="str">
        <f aca="false">IF(A2694="","",INT(A2694))</f>
        <v/>
      </c>
      <c r="J2694" s="16" t="str">
        <f aca="false">IF(B2694="","",IF(A2694=_xlfn.MINIFS($A$2:$A$5001,$B$2:$B$5001,B2694),1,0))</f>
        <v/>
      </c>
      <c r="K2694" s="16" t="str">
        <f aca="false">IF(B2694="","",IF(AND(D2694="Formalização",E2694="Concluído"),IF(COUNTIFS($B$2:$B$5001,B2694,$E$2:$E$5001,"Em ajustes",$A$2:$A$5001,"&lt;"&amp;I2694)&gt;0,1,0),0))</f>
        <v/>
      </c>
      <c r="L2694" s="16" t="str">
        <f aca="false">IF(B2694="","",IF(A2694=_xlfn.MAXIFS($A$2:$A$5001,$B$2:$B$5001,B2694,$I$2:$I$5001,I2694),1,0))</f>
        <v/>
      </c>
    </row>
    <row r="2695" customFormat="false" ht="15" hidden="false" customHeight="false" outlineLevel="0" collapsed="false">
      <c r="I2695" s="15" t="str">
        <f aca="false">IF(A2695="","",INT(A2695))</f>
        <v/>
      </c>
      <c r="J2695" s="16" t="str">
        <f aca="false">IF(B2695="","",IF(A2695=_xlfn.MINIFS($A$2:$A$5001,$B$2:$B$5001,B2695),1,0))</f>
        <v/>
      </c>
      <c r="K2695" s="16" t="str">
        <f aca="false">IF(B2695="","",IF(AND(D2695="Formalização",E2695="Concluído"),IF(COUNTIFS($B$2:$B$5001,B2695,$E$2:$E$5001,"Em ajustes",$A$2:$A$5001,"&lt;"&amp;I2695)&gt;0,1,0),0))</f>
        <v/>
      </c>
      <c r="L2695" s="16" t="str">
        <f aca="false">IF(B2695="","",IF(A2695=_xlfn.MAXIFS($A$2:$A$5001,$B$2:$B$5001,B2695,$I$2:$I$5001,I2695),1,0))</f>
        <v/>
      </c>
    </row>
    <row r="2696" customFormat="false" ht="15" hidden="false" customHeight="false" outlineLevel="0" collapsed="false">
      <c r="I2696" s="15" t="str">
        <f aca="false">IF(A2696="","",INT(A2696))</f>
        <v/>
      </c>
      <c r="J2696" s="16" t="str">
        <f aca="false">IF(B2696="","",IF(A2696=_xlfn.MINIFS($A$2:$A$5001,$B$2:$B$5001,B2696),1,0))</f>
        <v/>
      </c>
      <c r="K2696" s="16" t="str">
        <f aca="false">IF(B2696="","",IF(AND(D2696="Formalização",E2696="Concluído"),IF(COUNTIFS($B$2:$B$5001,B2696,$E$2:$E$5001,"Em ajustes",$A$2:$A$5001,"&lt;"&amp;I2696)&gt;0,1,0),0))</f>
        <v/>
      </c>
      <c r="L2696" s="16" t="str">
        <f aca="false">IF(B2696="","",IF(A2696=_xlfn.MAXIFS($A$2:$A$5001,$B$2:$B$5001,B2696,$I$2:$I$5001,I2696),1,0))</f>
        <v/>
      </c>
    </row>
    <row r="2697" customFormat="false" ht="15" hidden="false" customHeight="false" outlineLevel="0" collapsed="false">
      <c r="I2697" s="15" t="str">
        <f aca="false">IF(A2697="","",INT(A2697))</f>
        <v/>
      </c>
      <c r="J2697" s="16" t="str">
        <f aca="false">IF(B2697="","",IF(A2697=_xlfn.MINIFS($A$2:$A$5001,$B$2:$B$5001,B2697),1,0))</f>
        <v/>
      </c>
      <c r="K2697" s="16" t="str">
        <f aca="false">IF(B2697="","",IF(AND(D2697="Formalização",E2697="Concluído"),IF(COUNTIFS($B$2:$B$5001,B2697,$E$2:$E$5001,"Em ajustes",$A$2:$A$5001,"&lt;"&amp;I2697)&gt;0,1,0),0))</f>
        <v/>
      </c>
      <c r="L2697" s="16" t="str">
        <f aca="false">IF(B2697="","",IF(A2697=_xlfn.MAXIFS($A$2:$A$5001,$B$2:$B$5001,B2697,$I$2:$I$5001,I2697),1,0))</f>
        <v/>
      </c>
    </row>
    <row r="2698" customFormat="false" ht="15" hidden="false" customHeight="false" outlineLevel="0" collapsed="false">
      <c r="I2698" s="15" t="str">
        <f aca="false">IF(A2698="","",INT(A2698))</f>
        <v/>
      </c>
      <c r="J2698" s="16" t="str">
        <f aca="false">IF(B2698="","",IF(A2698=_xlfn.MINIFS($A$2:$A$5001,$B$2:$B$5001,B2698),1,0))</f>
        <v/>
      </c>
      <c r="K2698" s="16" t="str">
        <f aca="false">IF(B2698="","",IF(AND(D2698="Formalização",E2698="Concluído"),IF(COUNTIFS($B$2:$B$5001,B2698,$E$2:$E$5001,"Em ajustes",$A$2:$A$5001,"&lt;"&amp;I2698)&gt;0,1,0),0))</f>
        <v/>
      </c>
      <c r="L2698" s="16" t="str">
        <f aca="false">IF(B2698="","",IF(A2698=_xlfn.MAXIFS($A$2:$A$5001,$B$2:$B$5001,B2698,$I$2:$I$5001,I2698),1,0))</f>
        <v/>
      </c>
    </row>
    <row r="2699" customFormat="false" ht="15" hidden="false" customHeight="false" outlineLevel="0" collapsed="false">
      <c r="I2699" s="15" t="str">
        <f aca="false">IF(A2699="","",INT(A2699))</f>
        <v/>
      </c>
      <c r="J2699" s="16" t="str">
        <f aca="false">IF(B2699="","",IF(A2699=_xlfn.MINIFS($A$2:$A$5001,$B$2:$B$5001,B2699),1,0))</f>
        <v/>
      </c>
      <c r="K2699" s="16" t="str">
        <f aca="false">IF(B2699="","",IF(AND(D2699="Formalização",E2699="Concluído"),IF(COUNTIFS($B$2:$B$5001,B2699,$E$2:$E$5001,"Em ajustes",$A$2:$A$5001,"&lt;"&amp;I2699)&gt;0,1,0),0))</f>
        <v/>
      </c>
      <c r="L2699" s="16" t="str">
        <f aca="false">IF(B2699="","",IF(A2699=_xlfn.MAXIFS($A$2:$A$5001,$B$2:$B$5001,B2699,$I$2:$I$5001,I2699),1,0))</f>
        <v/>
      </c>
    </row>
    <row r="2700" customFormat="false" ht="15" hidden="false" customHeight="false" outlineLevel="0" collapsed="false">
      <c r="I2700" s="15" t="str">
        <f aca="false">IF(A2700="","",INT(A2700))</f>
        <v/>
      </c>
      <c r="J2700" s="16" t="str">
        <f aca="false">IF(B2700="","",IF(A2700=_xlfn.MINIFS($A$2:$A$5001,$B$2:$B$5001,B2700),1,0))</f>
        <v/>
      </c>
      <c r="K2700" s="16" t="str">
        <f aca="false">IF(B2700="","",IF(AND(D2700="Formalização",E2700="Concluído"),IF(COUNTIFS($B$2:$B$5001,B2700,$E$2:$E$5001,"Em ajustes",$A$2:$A$5001,"&lt;"&amp;I2700)&gt;0,1,0),0))</f>
        <v/>
      </c>
      <c r="L2700" s="16" t="str">
        <f aca="false">IF(B2700="","",IF(A2700=_xlfn.MAXIFS($A$2:$A$5001,$B$2:$B$5001,B2700,$I$2:$I$5001,I2700),1,0))</f>
        <v/>
      </c>
    </row>
    <row r="2701" customFormat="false" ht="15" hidden="false" customHeight="false" outlineLevel="0" collapsed="false">
      <c r="I2701" s="15" t="str">
        <f aca="false">IF(A2701="","",INT(A2701))</f>
        <v/>
      </c>
      <c r="J2701" s="16" t="str">
        <f aca="false">IF(B2701="","",IF(A2701=_xlfn.MINIFS($A$2:$A$5001,$B$2:$B$5001,B2701),1,0))</f>
        <v/>
      </c>
      <c r="K2701" s="16" t="str">
        <f aca="false">IF(B2701="","",IF(AND(D2701="Formalização",E2701="Concluído"),IF(COUNTIFS($B$2:$B$5001,B2701,$E$2:$E$5001,"Em ajustes",$A$2:$A$5001,"&lt;"&amp;I2701)&gt;0,1,0),0))</f>
        <v/>
      </c>
      <c r="L2701" s="16" t="str">
        <f aca="false">IF(B2701="","",IF(A2701=_xlfn.MAXIFS($A$2:$A$5001,$B$2:$B$5001,B2701,$I$2:$I$5001,I2701),1,0))</f>
        <v/>
      </c>
    </row>
    <row r="2702" customFormat="false" ht="15" hidden="false" customHeight="false" outlineLevel="0" collapsed="false">
      <c r="I2702" s="15" t="str">
        <f aca="false">IF(A2702="","",INT(A2702))</f>
        <v/>
      </c>
      <c r="J2702" s="16" t="str">
        <f aca="false">IF(B2702="","",IF(A2702=_xlfn.MINIFS($A$2:$A$5001,$B$2:$B$5001,B2702),1,0))</f>
        <v/>
      </c>
      <c r="K2702" s="16" t="str">
        <f aca="false">IF(B2702="","",IF(AND(D2702="Formalização",E2702="Concluído"),IF(COUNTIFS($B$2:$B$5001,B2702,$E$2:$E$5001,"Em ajustes",$A$2:$A$5001,"&lt;"&amp;I2702)&gt;0,1,0),0))</f>
        <v/>
      </c>
      <c r="L2702" s="16" t="str">
        <f aca="false">IF(B2702="","",IF(A2702=_xlfn.MAXIFS($A$2:$A$5001,$B$2:$B$5001,B2702,$I$2:$I$5001,I2702),1,0))</f>
        <v/>
      </c>
    </row>
    <row r="2703" customFormat="false" ht="15" hidden="false" customHeight="false" outlineLevel="0" collapsed="false">
      <c r="I2703" s="15" t="str">
        <f aca="false">IF(A2703="","",INT(A2703))</f>
        <v/>
      </c>
      <c r="J2703" s="16" t="str">
        <f aca="false">IF(B2703="","",IF(A2703=_xlfn.MINIFS($A$2:$A$5001,$B$2:$B$5001,B2703),1,0))</f>
        <v/>
      </c>
      <c r="K2703" s="16" t="str">
        <f aca="false">IF(B2703="","",IF(AND(D2703="Formalização",E2703="Concluído"),IF(COUNTIFS($B$2:$B$5001,B2703,$E$2:$E$5001,"Em ajustes",$A$2:$A$5001,"&lt;"&amp;I2703)&gt;0,1,0),0))</f>
        <v/>
      </c>
      <c r="L2703" s="16" t="str">
        <f aca="false">IF(B2703="","",IF(A2703=_xlfn.MAXIFS($A$2:$A$5001,$B$2:$B$5001,B2703,$I$2:$I$5001,I2703),1,0))</f>
        <v/>
      </c>
    </row>
    <row r="2704" customFormat="false" ht="15" hidden="false" customHeight="false" outlineLevel="0" collapsed="false">
      <c r="I2704" s="15" t="str">
        <f aca="false">IF(A2704="","",INT(A2704))</f>
        <v/>
      </c>
      <c r="J2704" s="16" t="str">
        <f aca="false">IF(B2704="","",IF(A2704=_xlfn.MINIFS($A$2:$A$5001,$B$2:$B$5001,B2704),1,0))</f>
        <v/>
      </c>
      <c r="K2704" s="16" t="str">
        <f aca="false">IF(B2704="","",IF(AND(D2704="Formalização",E2704="Concluído"),IF(COUNTIFS($B$2:$B$5001,B2704,$E$2:$E$5001,"Em ajustes",$A$2:$A$5001,"&lt;"&amp;I2704)&gt;0,1,0),0))</f>
        <v/>
      </c>
      <c r="L2704" s="16" t="str">
        <f aca="false">IF(B2704="","",IF(A2704=_xlfn.MAXIFS($A$2:$A$5001,$B$2:$B$5001,B2704,$I$2:$I$5001,I2704),1,0))</f>
        <v/>
      </c>
    </row>
    <row r="2705" customFormat="false" ht="15" hidden="false" customHeight="false" outlineLevel="0" collapsed="false">
      <c r="I2705" s="15" t="str">
        <f aca="false">IF(A2705="","",INT(A2705))</f>
        <v/>
      </c>
      <c r="J2705" s="16" t="str">
        <f aca="false">IF(B2705="","",IF(A2705=_xlfn.MINIFS($A$2:$A$5001,$B$2:$B$5001,B2705),1,0))</f>
        <v/>
      </c>
      <c r="K2705" s="16" t="str">
        <f aca="false">IF(B2705="","",IF(AND(D2705="Formalização",E2705="Concluído"),IF(COUNTIFS($B$2:$B$5001,B2705,$E$2:$E$5001,"Em ajustes",$A$2:$A$5001,"&lt;"&amp;I2705)&gt;0,1,0),0))</f>
        <v/>
      </c>
      <c r="L2705" s="16" t="str">
        <f aca="false">IF(B2705="","",IF(A2705=_xlfn.MAXIFS($A$2:$A$5001,$B$2:$B$5001,B2705,$I$2:$I$5001,I2705),1,0))</f>
        <v/>
      </c>
    </row>
    <row r="2706" customFormat="false" ht="15" hidden="false" customHeight="false" outlineLevel="0" collapsed="false">
      <c r="I2706" s="15" t="str">
        <f aca="false">IF(A2706="","",INT(A2706))</f>
        <v/>
      </c>
      <c r="J2706" s="16" t="str">
        <f aca="false">IF(B2706="","",IF(A2706=_xlfn.MINIFS($A$2:$A$5001,$B$2:$B$5001,B2706),1,0))</f>
        <v/>
      </c>
      <c r="K2706" s="16" t="str">
        <f aca="false">IF(B2706="","",IF(AND(D2706="Formalização",E2706="Concluído"),IF(COUNTIFS($B$2:$B$5001,B2706,$E$2:$E$5001,"Em ajustes",$A$2:$A$5001,"&lt;"&amp;I2706)&gt;0,1,0),0))</f>
        <v/>
      </c>
      <c r="L2706" s="16" t="str">
        <f aca="false">IF(B2706="","",IF(A2706=_xlfn.MAXIFS($A$2:$A$5001,$B$2:$B$5001,B2706,$I$2:$I$5001,I2706),1,0))</f>
        <v/>
      </c>
    </row>
    <row r="2707" customFormat="false" ht="15" hidden="false" customHeight="false" outlineLevel="0" collapsed="false">
      <c r="I2707" s="15" t="str">
        <f aca="false">IF(A2707="","",INT(A2707))</f>
        <v/>
      </c>
      <c r="J2707" s="16" t="str">
        <f aca="false">IF(B2707="","",IF(A2707=_xlfn.MINIFS($A$2:$A$5001,$B$2:$B$5001,B2707),1,0))</f>
        <v/>
      </c>
      <c r="K2707" s="16" t="str">
        <f aca="false">IF(B2707="","",IF(AND(D2707="Formalização",E2707="Concluído"),IF(COUNTIFS($B$2:$B$5001,B2707,$E$2:$E$5001,"Em ajustes",$A$2:$A$5001,"&lt;"&amp;I2707)&gt;0,1,0),0))</f>
        <v/>
      </c>
      <c r="L2707" s="16" t="str">
        <f aca="false">IF(B2707="","",IF(A2707=_xlfn.MAXIFS($A$2:$A$5001,$B$2:$B$5001,B2707,$I$2:$I$5001,I2707),1,0))</f>
        <v/>
      </c>
    </row>
    <row r="2708" customFormat="false" ht="15" hidden="false" customHeight="false" outlineLevel="0" collapsed="false">
      <c r="I2708" s="15" t="str">
        <f aca="false">IF(A2708="","",INT(A2708))</f>
        <v/>
      </c>
      <c r="J2708" s="16" t="str">
        <f aca="false">IF(B2708="","",IF(A2708=_xlfn.MINIFS($A$2:$A$5001,$B$2:$B$5001,B2708),1,0))</f>
        <v/>
      </c>
      <c r="K2708" s="16" t="str">
        <f aca="false">IF(B2708="","",IF(AND(D2708="Formalização",E2708="Concluído"),IF(COUNTIFS($B$2:$B$5001,B2708,$E$2:$E$5001,"Em ajustes",$A$2:$A$5001,"&lt;"&amp;I2708)&gt;0,1,0),0))</f>
        <v/>
      </c>
      <c r="L2708" s="16" t="str">
        <f aca="false">IF(B2708="","",IF(A2708=_xlfn.MAXIFS($A$2:$A$5001,$B$2:$B$5001,B2708,$I$2:$I$5001,I2708),1,0))</f>
        <v/>
      </c>
    </row>
    <row r="2709" customFormat="false" ht="15" hidden="false" customHeight="false" outlineLevel="0" collapsed="false">
      <c r="I2709" s="15" t="str">
        <f aca="false">IF(A2709="","",INT(A2709))</f>
        <v/>
      </c>
      <c r="J2709" s="16" t="str">
        <f aca="false">IF(B2709="","",IF(A2709=_xlfn.MINIFS($A$2:$A$5001,$B$2:$B$5001,B2709),1,0))</f>
        <v/>
      </c>
      <c r="K2709" s="16" t="str">
        <f aca="false">IF(B2709="","",IF(AND(D2709="Formalização",E2709="Concluído"),IF(COUNTIFS($B$2:$B$5001,B2709,$E$2:$E$5001,"Em ajustes",$A$2:$A$5001,"&lt;"&amp;I2709)&gt;0,1,0),0))</f>
        <v/>
      </c>
      <c r="L2709" s="16" t="str">
        <f aca="false">IF(B2709="","",IF(A2709=_xlfn.MAXIFS($A$2:$A$5001,$B$2:$B$5001,B2709,$I$2:$I$5001,I2709),1,0))</f>
        <v/>
      </c>
    </row>
    <row r="2710" customFormat="false" ht="15" hidden="false" customHeight="false" outlineLevel="0" collapsed="false">
      <c r="I2710" s="15" t="str">
        <f aca="false">IF(A2710="","",INT(A2710))</f>
        <v/>
      </c>
      <c r="J2710" s="16" t="str">
        <f aca="false">IF(B2710="","",IF(A2710=_xlfn.MINIFS($A$2:$A$5001,$B$2:$B$5001,B2710),1,0))</f>
        <v/>
      </c>
      <c r="K2710" s="16" t="str">
        <f aca="false">IF(B2710="","",IF(AND(D2710="Formalização",E2710="Concluído"),IF(COUNTIFS($B$2:$B$5001,B2710,$E$2:$E$5001,"Em ajustes",$A$2:$A$5001,"&lt;"&amp;I2710)&gt;0,1,0),0))</f>
        <v/>
      </c>
      <c r="L2710" s="16" t="str">
        <f aca="false">IF(B2710="","",IF(A2710=_xlfn.MAXIFS($A$2:$A$5001,$B$2:$B$5001,B2710,$I$2:$I$5001,I2710),1,0))</f>
        <v/>
      </c>
    </row>
    <row r="2711" customFormat="false" ht="15" hidden="false" customHeight="false" outlineLevel="0" collapsed="false">
      <c r="I2711" s="15" t="str">
        <f aca="false">IF(A2711="","",INT(A2711))</f>
        <v/>
      </c>
      <c r="J2711" s="16" t="str">
        <f aca="false">IF(B2711="","",IF(A2711=_xlfn.MINIFS($A$2:$A$5001,$B$2:$B$5001,B2711),1,0))</f>
        <v/>
      </c>
      <c r="K2711" s="16" t="str">
        <f aca="false">IF(B2711="","",IF(AND(D2711="Formalização",E2711="Concluído"),IF(COUNTIFS($B$2:$B$5001,B2711,$E$2:$E$5001,"Em ajustes",$A$2:$A$5001,"&lt;"&amp;I2711)&gt;0,1,0),0))</f>
        <v/>
      </c>
      <c r="L2711" s="16" t="str">
        <f aca="false">IF(B2711="","",IF(A2711=_xlfn.MAXIFS($A$2:$A$5001,$B$2:$B$5001,B2711,$I$2:$I$5001,I2711),1,0))</f>
        <v/>
      </c>
    </row>
    <row r="2712" customFormat="false" ht="15" hidden="false" customHeight="false" outlineLevel="0" collapsed="false">
      <c r="I2712" s="15" t="str">
        <f aca="false">IF(A2712="","",INT(A2712))</f>
        <v/>
      </c>
      <c r="J2712" s="16" t="str">
        <f aca="false">IF(B2712="","",IF(A2712=_xlfn.MINIFS($A$2:$A$5001,$B$2:$B$5001,B2712),1,0))</f>
        <v/>
      </c>
      <c r="K2712" s="16" t="str">
        <f aca="false">IF(B2712="","",IF(AND(D2712="Formalização",E2712="Concluído"),IF(COUNTIFS($B$2:$B$5001,B2712,$E$2:$E$5001,"Em ajustes",$A$2:$A$5001,"&lt;"&amp;I2712)&gt;0,1,0),0))</f>
        <v/>
      </c>
      <c r="L2712" s="16" t="str">
        <f aca="false">IF(B2712="","",IF(A2712=_xlfn.MAXIFS($A$2:$A$5001,$B$2:$B$5001,B2712,$I$2:$I$5001,I2712),1,0))</f>
        <v/>
      </c>
    </row>
    <row r="2713" customFormat="false" ht="15" hidden="false" customHeight="false" outlineLevel="0" collapsed="false">
      <c r="I2713" s="15" t="str">
        <f aca="false">IF(A2713="","",INT(A2713))</f>
        <v/>
      </c>
      <c r="J2713" s="16" t="str">
        <f aca="false">IF(B2713="","",IF(A2713=_xlfn.MINIFS($A$2:$A$5001,$B$2:$B$5001,B2713),1,0))</f>
        <v/>
      </c>
      <c r="K2713" s="16" t="str">
        <f aca="false">IF(B2713="","",IF(AND(D2713="Formalização",E2713="Concluído"),IF(COUNTIFS($B$2:$B$5001,B2713,$E$2:$E$5001,"Em ajustes",$A$2:$A$5001,"&lt;"&amp;I2713)&gt;0,1,0),0))</f>
        <v/>
      </c>
      <c r="L2713" s="16" t="str">
        <f aca="false">IF(B2713="","",IF(A2713=_xlfn.MAXIFS($A$2:$A$5001,$B$2:$B$5001,B2713,$I$2:$I$5001,I2713),1,0))</f>
        <v/>
      </c>
    </row>
    <row r="2714" customFormat="false" ht="15" hidden="false" customHeight="false" outlineLevel="0" collapsed="false">
      <c r="I2714" s="15" t="str">
        <f aca="false">IF(A2714="","",INT(A2714))</f>
        <v/>
      </c>
      <c r="J2714" s="16" t="str">
        <f aca="false">IF(B2714="","",IF(A2714=_xlfn.MINIFS($A$2:$A$5001,$B$2:$B$5001,B2714),1,0))</f>
        <v/>
      </c>
      <c r="K2714" s="16" t="str">
        <f aca="false">IF(B2714="","",IF(AND(D2714="Formalização",E2714="Concluído"),IF(COUNTIFS($B$2:$B$5001,B2714,$E$2:$E$5001,"Em ajustes",$A$2:$A$5001,"&lt;"&amp;I2714)&gt;0,1,0),0))</f>
        <v/>
      </c>
      <c r="L2714" s="16" t="str">
        <f aca="false">IF(B2714="","",IF(A2714=_xlfn.MAXIFS($A$2:$A$5001,$B$2:$B$5001,B2714,$I$2:$I$5001,I2714),1,0))</f>
        <v/>
      </c>
    </row>
    <row r="2715" customFormat="false" ht="15" hidden="false" customHeight="false" outlineLevel="0" collapsed="false">
      <c r="I2715" s="15" t="str">
        <f aca="false">IF(A2715="","",INT(A2715))</f>
        <v/>
      </c>
      <c r="J2715" s="16" t="str">
        <f aca="false">IF(B2715="","",IF(A2715=_xlfn.MINIFS($A$2:$A$5001,$B$2:$B$5001,B2715),1,0))</f>
        <v/>
      </c>
      <c r="K2715" s="16" t="str">
        <f aca="false">IF(B2715="","",IF(AND(D2715="Formalização",E2715="Concluído"),IF(COUNTIFS($B$2:$B$5001,B2715,$E$2:$E$5001,"Em ajustes",$A$2:$A$5001,"&lt;"&amp;I2715)&gt;0,1,0),0))</f>
        <v/>
      </c>
      <c r="L2715" s="16" t="str">
        <f aca="false">IF(B2715="","",IF(A2715=_xlfn.MAXIFS($A$2:$A$5001,$B$2:$B$5001,B2715,$I$2:$I$5001,I2715),1,0))</f>
        <v/>
      </c>
    </row>
    <row r="2716" customFormat="false" ht="15" hidden="false" customHeight="false" outlineLevel="0" collapsed="false">
      <c r="I2716" s="15" t="str">
        <f aca="false">IF(A2716="","",INT(A2716))</f>
        <v/>
      </c>
      <c r="J2716" s="16" t="str">
        <f aca="false">IF(B2716="","",IF(A2716=_xlfn.MINIFS($A$2:$A$5001,$B$2:$B$5001,B2716),1,0))</f>
        <v/>
      </c>
      <c r="K2716" s="16" t="str">
        <f aca="false">IF(B2716="","",IF(AND(D2716="Formalização",E2716="Concluído"),IF(COUNTIFS($B$2:$B$5001,B2716,$E$2:$E$5001,"Em ajustes",$A$2:$A$5001,"&lt;"&amp;I2716)&gt;0,1,0),0))</f>
        <v/>
      </c>
      <c r="L2716" s="16" t="str">
        <f aca="false">IF(B2716="","",IF(A2716=_xlfn.MAXIFS($A$2:$A$5001,$B$2:$B$5001,B2716,$I$2:$I$5001,I2716),1,0))</f>
        <v/>
      </c>
    </row>
    <row r="2717" customFormat="false" ht="15" hidden="false" customHeight="false" outlineLevel="0" collapsed="false">
      <c r="I2717" s="15" t="str">
        <f aca="false">IF(A2717="","",INT(A2717))</f>
        <v/>
      </c>
      <c r="J2717" s="16" t="str">
        <f aca="false">IF(B2717="","",IF(A2717=_xlfn.MINIFS($A$2:$A$5001,$B$2:$B$5001,B2717),1,0))</f>
        <v/>
      </c>
      <c r="K2717" s="16" t="str">
        <f aca="false">IF(B2717="","",IF(AND(D2717="Formalização",E2717="Concluído"),IF(COUNTIFS($B$2:$B$5001,B2717,$E$2:$E$5001,"Em ajustes",$A$2:$A$5001,"&lt;"&amp;I2717)&gt;0,1,0),0))</f>
        <v/>
      </c>
      <c r="L2717" s="16" t="str">
        <f aca="false">IF(B2717="","",IF(A2717=_xlfn.MAXIFS($A$2:$A$5001,$B$2:$B$5001,B2717,$I$2:$I$5001,I2717),1,0))</f>
        <v/>
      </c>
    </row>
    <row r="2718" customFormat="false" ht="15" hidden="false" customHeight="false" outlineLevel="0" collapsed="false">
      <c r="I2718" s="15" t="str">
        <f aca="false">IF(A2718="","",INT(A2718))</f>
        <v/>
      </c>
      <c r="J2718" s="16" t="str">
        <f aca="false">IF(B2718="","",IF(A2718=_xlfn.MINIFS($A$2:$A$5001,$B$2:$B$5001,B2718),1,0))</f>
        <v/>
      </c>
      <c r="K2718" s="16" t="str">
        <f aca="false">IF(B2718="","",IF(AND(D2718="Formalização",E2718="Concluído"),IF(COUNTIFS($B$2:$B$5001,B2718,$E$2:$E$5001,"Em ajustes",$A$2:$A$5001,"&lt;"&amp;I2718)&gt;0,1,0),0))</f>
        <v/>
      </c>
      <c r="L2718" s="16" t="str">
        <f aca="false">IF(B2718="","",IF(A2718=_xlfn.MAXIFS($A$2:$A$5001,$B$2:$B$5001,B2718,$I$2:$I$5001,I2718),1,0))</f>
        <v/>
      </c>
    </row>
    <row r="2719" customFormat="false" ht="15" hidden="false" customHeight="false" outlineLevel="0" collapsed="false">
      <c r="I2719" s="15" t="str">
        <f aca="false">IF(A2719="","",INT(A2719))</f>
        <v/>
      </c>
      <c r="J2719" s="16" t="str">
        <f aca="false">IF(B2719="","",IF(A2719=_xlfn.MINIFS($A$2:$A$5001,$B$2:$B$5001,B2719),1,0))</f>
        <v/>
      </c>
      <c r="K2719" s="16" t="str">
        <f aca="false">IF(B2719="","",IF(AND(D2719="Formalização",E2719="Concluído"),IF(COUNTIFS($B$2:$B$5001,B2719,$E$2:$E$5001,"Em ajustes",$A$2:$A$5001,"&lt;"&amp;I2719)&gt;0,1,0),0))</f>
        <v/>
      </c>
      <c r="L2719" s="16" t="str">
        <f aca="false">IF(B2719="","",IF(A2719=_xlfn.MAXIFS($A$2:$A$5001,$B$2:$B$5001,B2719,$I$2:$I$5001,I2719),1,0))</f>
        <v/>
      </c>
    </row>
    <row r="2720" customFormat="false" ht="15" hidden="false" customHeight="false" outlineLevel="0" collapsed="false">
      <c r="I2720" s="15" t="str">
        <f aca="false">IF(A2720="","",INT(A2720))</f>
        <v/>
      </c>
      <c r="J2720" s="16" t="str">
        <f aca="false">IF(B2720="","",IF(A2720=_xlfn.MINIFS($A$2:$A$5001,$B$2:$B$5001,B2720),1,0))</f>
        <v/>
      </c>
      <c r="K2720" s="16" t="str">
        <f aca="false">IF(B2720="","",IF(AND(D2720="Formalização",E2720="Concluído"),IF(COUNTIFS($B$2:$B$5001,B2720,$E$2:$E$5001,"Em ajustes",$A$2:$A$5001,"&lt;"&amp;I2720)&gt;0,1,0),0))</f>
        <v/>
      </c>
      <c r="L2720" s="16" t="str">
        <f aca="false">IF(B2720="","",IF(A2720=_xlfn.MAXIFS($A$2:$A$5001,$B$2:$B$5001,B2720,$I$2:$I$5001,I2720),1,0))</f>
        <v/>
      </c>
    </row>
    <row r="2721" customFormat="false" ht="15" hidden="false" customHeight="false" outlineLevel="0" collapsed="false">
      <c r="I2721" s="15" t="str">
        <f aca="false">IF(A2721="","",INT(A2721))</f>
        <v/>
      </c>
      <c r="J2721" s="16" t="str">
        <f aca="false">IF(B2721="","",IF(A2721=_xlfn.MINIFS($A$2:$A$5001,$B$2:$B$5001,B2721),1,0))</f>
        <v/>
      </c>
      <c r="K2721" s="16" t="str">
        <f aca="false">IF(B2721="","",IF(AND(D2721="Formalização",E2721="Concluído"),IF(COUNTIFS($B$2:$B$5001,B2721,$E$2:$E$5001,"Em ajustes",$A$2:$A$5001,"&lt;"&amp;I2721)&gt;0,1,0),0))</f>
        <v/>
      </c>
      <c r="L2721" s="16" t="str">
        <f aca="false">IF(B2721="","",IF(A2721=_xlfn.MAXIFS($A$2:$A$5001,$B$2:$B$5001,B2721,$I$2:$I$5001,I2721),1,0))</f>
        <v/>
      </c>
    </row>
    <row r="2722" customFormat="false" ht="15" hidden="false" customHeight="false" outlineLevel="0" collapsed="false">
      <c r="I2722" s="15" t="str">
        <f aca="false">IF(A2722="","",INT(A2722))</f>
        <v/>
      </c>
      <c r="J2722" s="16" t="str">
        <f aca="false">IF(B2722="","",IF(A2722=_xlfn.MINIFS($A$2:$A$5001,$B$2:$B$5001,B2722),1,0))</f>
        <v/>
      </c>
      <c r="K2722" s="16" t="str">
        <f aca="false">IF(B2722="","",IF(AND(D2722="Formalização",E2722="Concluído"),IF(COUNTIFS($B$2:$B$5001,B2722,$E$2:$E$5001,"Em ajustes",$A$2:$A$5001,"&lt;"&amp;I2722)&gt;0,1,0),0))</f>
        <v/>
      </c>
      <c r="L2722" s="16" t="str">
        <f aca="false">IF(B2722="","",IF(A2722=_xlfn.MAXIFS($A$2:$A$5001,$B$2:$B$5001,B2722,$I$2:$I$5001,I2722),1,0))</f>
        <v/>
      </c>
    </row>
    <row r="2723" customFormat="false" ht="15" hidden="false" customHeight="false" outlineLevel="0" collapsed="false">
      <c r="I2723" s="15" t="str">
        <f aca="false">IF(A2723="","",INT(A2723))</f>
        <v/>
      </c>
      <c r="J2723" s="16" t="str">
        <f aca="false">IF(B2723="","",IF(A2723=_xlfn.MINIFS($A$2:$A$5001,$B$2:$B$5001,B2723),1,0))</f>
        <v/>
      </c>
      <c r="K2723" s="16" t="str">
        <f aca="false">IF(B2723="","",IF(AND(D2723="Formalização",E2723="Concluído"),IF(COUNTIFS($B$2:$B$5001,B2723,$E$2:$E$5001,"Em ajustes",$A$2:$A$5001,"&lt;"&amp;I2723)&gt;0,1,0),0))</f>
        <v/>
      </c>
      <c r="L2723" s="16" t="str">
        <f aca="false">IF(B2723="","",IF(A2723=_xlfn.MAXIFS($A$2:$A$5001,$B$2:$B$5001,B2723,$I$2:$I$5001,I2723),1,0))</f>
        <v/>
      </c>
    </row>
    <row r="2724" customFormat="false" ht="15" hidden="false" customHeight="false" outlineLevel="0" collapsed="false">
      <c r="I2724" s="15" t="str">
        <f aca="false">IF(A2724="","",INT(A2724))</f>
        <v/>
      </c>
      <c r="J2724" s="16" t="str">
        <f aca="false">IF(B2724="","",IF(A2724=_xlfn.MINIFS($A$2:$A$5001,$B$2:$B$5001,B2724),1,0))</f>
        <v/>
      </c>
      <c r="K2724" s="16" t="str">
        <f aca="false">IF(B2724="","",IF(AND(D2724="Formalização",E2724="Concluído"),IF(COUNTIFS($B$2:$B$5001,B2724,$E$2:$E$5001,"Em ajustes",$A$2:$A$5001,"&lt;"&amp;I2724)&gt;0,1,0),0))</f>
        <v/>
      </c>
      <c r="L2724" s="16" t="str">
        <f aca="false">IF(B2724="","",IF(A2724=_xlfn.MAXIFS($A$2:$A$5001,$B$2:$B$5001,B2724,$I$2:$I$5001,I2724),1,0))</f>
        <v/>
      </c>
    </row>
    <row r="2725" customFormat="false" ht="15" hidden="false" customHeight="false" outlineLevel="0" collapsed="false">
      <c r="I2725" s="15" t="str">
        <f aca="false">IF(A2725="","",INT(A2725))</f>
        <v/>
      </c>
      <c r="J2725" s="16" t="str">
        <f aca="false">IF(B2725="","",IF(A2725=_xlfn.MINIFS($A$2:$A$5001,$B$2:$B$5001,B2725),1,0))</f>
        <v/>
      </c>
      <c r="K2725" s="16" t="str">
        <f aca="false">IF(B2725="","",IF(AND(D2725="Formalização",E2725="Concluído"),IF(COUNTIFS($B$2:$B$5001,B2725,$E$2:$E$5001,"Em ajustes",$A$2:$A$5001,"&lt;"&amp;I2725)&gt;0,1,0),0))</f>
        <v/>
      </c>
      <c r="L2725" s="16" t="str">
        <f aca="false">IF(B2725="","",IF(A2725=_xlfn.MAXIFS($A$2:$A$5001,$B$2:$B$5001,B2725,$I$2:$I$5001,I2725),1,0))</f>
        <v/>
      </c>
    </row>
    <row r="2726" customFormat="false" ht="15" hidden="false" customHeight="false" outlineLevel="0" collapsed="false">
      <c r="I2726" s="15" t="str">
        <f aca="false">IF(A2726="","",INT(A2726))</f>
        <v/>
      </c>
      <c r="J2726" s="16" t="str">
        <f aca="false">IF(B2726="","",IF(A2726=_xlfn.MINIFS($A$2:$A$5001,$B$2:$B$5001,B2726),1,0))</f>
        <v/>
      </c>
      <c r="K2726" s="16" t="str">
        <f aca="false">IF(B2726="","",IF(AND(D2726="Formalização",E2726="Concluído"),IF(COUNTIFS($B$2:$B$5001,B2726,$E$2:$E$5001,"Em ajustes",$A$2:$A$5001,"&lt;"&amp;I2726)&gt;0,1,0),0))</f>
        <v/>
      </c>
      <c r="L2726" s="16" t="str">
        <f aca="false">IF(B2726="","",IF(A2726=_xlfn.MAXIFS($A$2:$A$5001,$B$2:$B$5001,B2726,$I$2:$I$5001,I2726),1,0))</f>
        <v/>
      </c>
    </row>
    <row r="2727" customFormat="false" ht="15" hidden="false" customHeight="false" outlineLevel="0" collapsed="false">
      <c r="I2727" s="15" t="str">
        <f aca="false">IF(A2727="","",INT(A2727))</f>
        <v/>
      </c>
      <c r="J2727" s="16" t="str">
        <f aca="false">IF(B2727="","",IF(A2727=_xlfn.MINIFS($A$2:$A$5001,$B$2:$B$5001,B2727),1,0))</f>
        <v/>
      </c>
      <c r="K2727" s="16" t="str">
        <f aca="false">IF(B2727="","",IF(AND(D2727="Formalização",E2727="Concluído"),IF(COUNTIFS($B$2:$B$5001,B2727,$E$2:$E$5001,"Em ajustes",$A$2:$A$5001,"&lt;"&amp;I2727)&gt;0,1,0),0))</f>
        <v/>
      </c>
      <c r="L2727" s="16" t="str">
        <f aca="false">IF(B2727="","",IF(A2727=_xlfn.MAXIFS($A$2:$A$5001,$B$2:$B$5001,B2727,$I$2:$I$5001,I2727),1,0))</f>
        <v/>
      </c>
    </row>
    <row r="2728" customFormat="false" ht="15" hidden="false" customHeight="false" outlineLevel="0" collapsed="false">
      <c r="I2728" s="15" t="str">
        <f aca="false">IF(A2728="","",INT(A2728))</f>
        <v/>
      </c>
      <c r="J2728" s="16" t="str">
        <f aca="false">IF(B2728="","",IF(A2728=_xlfn.MINIFS($A$2:$A$5001,$B$2:$B$5001,B2728),1,0))</f>
        <v/>
      </c>
      <c r="K2728" s="16" t="str">
        <f aca="false">IF(B2728="","",IF(AND(D2728="Formalização",E2728="Concluído"),IF(COUNTIFS($B$2:$B$5001,B2728,$E$2:$E$5001,"Em ajustes",$A$2:$A$5001,"&lt;"&amp;I2728)&gt;0,1,0),0))</f>
        <v/>
      </c>
      <c r="L2728" s="16" t="str">
        <f aca="false">IF(B2728="","",IF(A2728=_xlfn.MAXIFS($A$2:$A$5001,$B$2:$B$5001,B2728,$I$2:$I$5001,I2728),1,0))</f>
        <v/>
      </c>
    </row>
    <row r="2729" customFormat="false" ht="15" hidden="false" customHeight="false" outlineLevel="0" collapsed="false">
      <c r="I2729" s="15" t="str">
        <f aca="false">IF(A2729="","",INT(A2729))</f>
        <v/>
      </c>
      <c r="J2729" s="16" t="str">
        <f aca="false">IF(B2729="","",IF(A2729=_xlfn.MINIFS($A$2:$A$5001,$B$2:$B$5001,B2729),1,0))</f>
        <v/>
      </c>
      <c r="K2729" s="16" t="str">
        <f aca="false">IF(B2729="","",IF(AND(D2729="Formalização",E2729="Concluído"),IF(COUNTIFS($B$2:$B$5001,B2729,$E$2:$E$5001,"Em ajustes",$A$2:$A$5001,"&lt;"&amp;I2729)&gt;0,1,0),0))</f>
        <v/>
      </c>
      <c r="L2729" s="16" t="str">
        <f aca="false">IF(B2729="","",IF(A2729=_xlfn.MAXIFS($A$2:$A$5001,$B$2:$B$5001,B2729,$I$2:$I$5001,I2729),1,0))</f>
        <v/>
      </c>
    </row>
    <row r="2730" customFormat="false" ht="15" hidden="false" customHeight="false" outlineLevel="0" collapsed="false">
      <c r="I2730" s="15" t="str">
        <f aca="false">IF(A2730="","",INT(A2730))</f>
        <v/>
      </c>
      <c r="J2730" s="16" t="str">
        <f aca="false">IF(B2730="","",IF(A2730=_xlfn.MINIFS($A$2:$A$5001,$B$2:$B$5001,B2730),1,0))</f>
        <v/>
      </c>
      <c r="K2730" s="16" t="str">
        <f aca="false">IF(B2730="","",IF(AND(D2730="Formalização",E2730="Concluído"),IF(COUNTIFS($B$2:$B$5001,B2730,$E$2:$E$5001,"Em ajustes",$A$2:$A$5001,"&lt;"&amp;I2730)&gt;0,1,0),0))</f>
        <v/>
      </c>
      <c r="L2730" s="16" t="str">
        <f aca="false">IF(B2730="","",IF(A2730=_xlfn.MAXIFS($A$2:$A$5001,$B$2:$B$5001,B2730,$I$2:$I$5001,I2730),1,0))</f>
        <v/>
      </c>
    </row>
    <row r="2731" customFormat="false" ht="15" hidden="false" customHeight="false" outlineLevel="0" collapsed="false">
      <c r="I2731" s="15" t="str">
        <f aca="false">IF(A2731="","",INT(A2731))</f>
        <v/>
      </c>
      <c r="J2731" s="16" t="str">
        <f aca="false">IF(B2731="","",IF(A2731=_xlfn.MINIFS($A$2:$A$5001,$B$2:$B$5001,B2731),1,0))</f>
        <v/>
      </c>
      <c r="K2731" s="16" t="str">
        <f aca="false">IF(B2731="","",IF(AND(D2731="Formalização",E2731="Concluído"),IF(COUNTIFS($B$2:$B$5001,B2731,$E$2:$E$5001,"Em ajustes",$A$2:$A$5001,"&lt;"&amp;I2731)&gt;0,1,0),0))</f>
        <v/>
      </c>
      <c r="L2731" s="16" t="str">
        <f aca="false">IF(B2731="","",IF(A2731=_xlfn.MAXIFS($A$2:$A$5001,$B$2:$B$5001,B2731,$I$2:$I$5001,I2731),1,0))</f>
        <v/>
      </c>
    </row>
    <row r="2732" customFormat="false" ht="15" hidden="false" customHeight="false" outlineLevel="0" collapsed="false">
      <c r="I2732" s="15" t="str">
        <f aca="false">IF(A2732="","",INT(A2732))</f>
        <v/>
      </c>
      <c r="J2732" s="16" t="str">
        <f aca="false">IF(B2732="","",IF(A2732=_xlfn.MINIFS($A$2:$A$5001,$B$2:$B$5001,B2732),1,0))</f>
        <v/>
      </c>
      <c r="K2732" s="16" t="str">
        <f aca="false">IF(B2732="","",IF(AND(D2732="Formalização",E2732="Concluído"),IF(COUNTIFS($B$2:$B$5001,B2732,$E$2:$E$5001,"Em ajustes",$A$2:$A$5001,"&lt;"&amp;I2732)&gt;0,1,0),0))</f>
        <v/>
      </c>
      <c r="L2732" s="16" t="str">
        <f aca="false">IF(B2732="","",IF(A2732=_xlfn.MAXIFS($A$2:$A$5001,$B$2:$B$5001,B2732,$I$2:$I$5001,I2732),1,0))</f>
        <v/>
      </c>
    </row>
    <row r="2733" customFormat="false" ht="15" hidden="false" customHeight="false" outlineLevel="0" collapsed="false">
      <c r="I2733" s="15" t="str">
        <f aca="false">IF(A2733="","",INT(A2733))</f>
        <v/>
      </c>
      <c r="J2733" s="16" t="str">
        <f aca="false">IF(B2733="","",IF(A2733=_xlfn.MINIFS($A$2:$A$5001,$B$2:$B$5001,B2733),1,0))</f>
        <v/>
      </c>
      <c r="K2733" s="16" t="str">
        <f aca="false">IF(B2733="","",IF(AND(D2733="Formalização",E2733="Concluído"),IF(COUNTIFS($B$2:$B$5001,B2733,$E$2:$E$5001,"Em ajustes",$A$2:$A$5001,"&lt;"&amp;I2733)&gt;0,1,0),0))</f>
        <v/>
      </c>
      <c r="L2733" s="16" t="str">
        <f aca="false">IF(B2733="","",IF(A2733=_xlfn.MAXIFS($A$2:$A$5001,$B$2:$B$5001,B2733,$I$2:$I$5001,I2733),1,0))</f>
        <v/>
      </c>
    </row>
    <row r="2734" customFormat="false" ht="15" hidden="false" customHeight="false" outlineLevel="0" collapsed="false">
      <c r="I2734" s="15" t="str">
        <f aca="false">IF(A2734="","",INT(A2734))</f>
        <v/>
      </c>
      <c r="J2734" s="16" t="str">
        <f aca="false">IF(B2734="","",IF(A2734=_xlfn.MINIFS($A$2:$A$5001,$B$2:$B$5001,B2734),1,0))</f>
        <v/>
      </c>
      <c r="K2734" s="16" t="str">
        <f aca="false">IF(B2734="","",IF(AND(D2734="Formalização",E2734="Concluído"),IF(COUNTIFS($B$2:$B$5001,B2734,$E$2:$E$5001,"Em ajustes",$A$2:$A$5001,"&lt;"&amp;I2734)&gt;0,1,0),0))</f>
        <v/>
      </c>
      <c r="L2734" s="16" t="str">
        <f aca="false">IF(B2734="","",IF(A2734=_xlfn.MAXIFS($A$2:$A$5001,$B$2:$B$5001,B2734,$I$2:$I$5001,I2734),1,0))</f>
        <v/>
      </c>
    </row>
    <row r="2735" customFormat="false" ht="15" hidden="false" customHeight="false" outlineLevel="0" collapsed="false">
      <c r="I2735" s="15" t="str">
        <f aca="false">IF(A2735="","",INT(A2735))</f>
        <v/>
      </c>
      <c r="J2735" s="16" t="str">
        <f aca="false">IF(B2735="","",IF(A2735=_xlfn.MINIFS($A$2:$A$5001,$B$2:$B$5001,B2735),1,0))</f>
        <v/>
      </c>
      <c r="K2735" s="16" t="str">
        <f aca="false">IF(B2735="","",IF(AND(D2735="Formalização",E2735="Concluído"),IF(COUNTIFS($B$2:$B$5001,B2735,$E$2:$E$5001,"Em ajustes",$A$2:$A$5001,"&lt;"&amp;I2735)&gt;0,1,0),0))</f>
        <v/>
      </c>
      <c r="L2735" s="16" t="str">
        <f aca="false">IF(B2735="","",IF(A2735=_xlfn.MAXIFS($A$2:$A$5001,$B$2:$B$5001,B2735,$I$2:$I$5001,I2735),1,0))</f>
        <v/>
      </c>
    </row>
    <row r="2736" customFormat="false" ht="15" hidden="false" customHeight="false" outlineLevel="0" collapsed="false">
      <c r="I2736" s="15" t="str">
        <f aca="false">IF(A2736="","",INT(A2736))</f>
        <v/>
      </c>
      <c r="J2736" s="16" t="str">
        <f aca="false">IF(B2736="","",IF(A2736=_xlfn.MINIFS($A$2:$A$5001,$B$2:$B$5001,B2736),1,0))</f>
        <v/>
      </c>
      <c r="K2736" s="16" t="str">
        <f aca="false">IF(B2736="","",IF(AND(D2736="Formalização",E2736="Concluído"),IF(COUNTIFS($B$2:$B$5001,B2736,$E$2:$E$5001,"Em ajustes",$A$2:$A$5001,"&lt;"&amp;I2736)&gt;0,1,0),0))</f>
        <v/>
      </c>
      <c r="L2736" s="16" t="str">
        <f aca="false">IF(B2736="","",IF(A2736=_xlfn.MAXIFS($A$2:$A$5001,$B$2:$B$5001,B2736,$I$2:$I$5001,I2736),1,0))</f>
        <v/>
      </c>
    </row>
    <row r="2737" customFormat="false" ht="15" hidden="false" customHeight="false" outlineLevel="0" collapsed="false">
      <c r="I2737" s="15" t="str">
        <f aca="false">IF(A2737="","",INT(A2737))</f>
        <v/>
      </c>
      <c r="J2737" s="16" t="str">
        <f aca="false">IF(B2737="","",IF(A2737=_xlfn.MINIFS($A$2:$A$5001,$B$2:$B$5001,B2737),1,0))</f>
        <v/>
      </c>
      <c r="K2737" s="16" t="str">
        <f aca="false">IF(B2737="","",IF(AND(D2737="Formalização",E2737="Concluído"),IF(COUNTIFS($B$2:$B$5001,B2737,$E$2:$E$5001,"Em ajustes",$A$2:$A$5001,"&lt;"&amp;I2737)&gt;0,1,0),0))</f>
        <v/>
      </c>
      <c r="L2737" s="16" t="str">
        <f aca="false">IF(B2737="","",IF(A2737=_xlfn.MAXIFS($A$2:$A$5001,$B$2:$B$5001,B2737,$I$2:$I$5001,I2737),1,0))</f>
        <v/>
      </c>
    </row>
    <row r="2738" customFormat="false" ht="15" hidden="false" customHeight="false" outlineLevel="0" collapsed="false">
      <c r="I2738" s="15" t="str">
        <f aca="false">IF(A2738="","",INT(A2738))</f>
        <v/>
      </c>
      <c r="J2738" s="16" t="str">
        <f aca="false">IF(B2738="","",IF(A2738=_xlfn.MINIFS($A$2:$A$5001,$B$2:$B$5001,B2738),1,0))</f>
        <v/>
      </c>
      <c r="K2738" s="16" t="str">
        <f aca="false">IF(B2738="","",IF(AND(D2738="Formalização",E2738="Concluído"),IF(COUNTIFS($B$2:$B$5001,B2738,$E$2:$E$5001,"Em ajustes",$A$2:$A$5001,"&lt;"&amp;I2738)&gt;0,1,0),0))</f>
        <v/>
      </c>
      <c r="L2738" s="16" t="str">
        <f aca="false">IF(B2738="","",IF(A2738=_xlfn.MAXIFS($A$2:$A$5001,$B$2:$B$5001,B2738,$I$2:$I$5001,I2738),1,0))</f>
        <v/>
      </c>
    </row>
    <row r="2739" customFormat="false" ht="15" hidden="false" customHeight="false" outlineLevel="0" collapsed="false">
      <c r="I2739" s="15" t="str">
        <f aca="false">IF(A2739="","",INT(A2739))</f>
        <v/>
      </c>
      <c r="J2739" s="16" t="str">
        <f aca="false">IF(B2739="","",IF(A2739=_xlfn.MINIFS($A$2:$A$5001,$B$2:$B$5001,B2739),1,0))</f>
        <v/>
      </c>
      <c r="K2739" s="16" t="str">
        <f aca="false">IF(B2739="","",IF(AND(D2739="Formalização",E2739="Concluído"),IF(COUNTIFS($B$2:$B$5001,B2739,$E$2:$E$5001,"Em ajustes",$A$2:$A$5001,"&lt;"&amp;I2739)&gt;0,1,0),0))</f>
        <v/>
      </c>
      <c r="L2739" s="16" t="str">
        <f aca="false">IF(B2739="","",IF(A2739=_xlfn.MAXIFS($A$2:$A$5001,$B$2:$B$5001,B2739,$I$2:$I$5001,I2739),1,0))</f>
        <v/>
      </c>
    </row>
    <row r="2740" customFormat="false" ht="15" hidden="false" customHeight="false" outlineLevel="0" collapsed="false">
      <c r="I2740" s="15" t="str">
        <f aca="false">IF(A2740="","",INT(A2740))</f>
        <v/>
      </c>
      <c r="J2740" s="16" t="str">
        <f aca="false">IF(B2740="","",IF(A2740=_xlfn.MINIFS($A$2:$A$5001,$B$2:$B$5001,B2740),1,0))</f>
        <v/>
      </c>
      <c r="K2740" s="16" t="str">
        <f aca="false">IF(B2740="","",IF(AND(D2740="Formalização",E2740="Concluído"),IF(COUNTIFS($B$2:$B$5001,B2740,$E$2:$E$5001,"Em ajustes",$A$2:$A$5001,"&lt;"&amp;I2740)&gt;0,1,0),0))</f>
        <v/>
      </c>
      <c r="L2740" s="16" t="str">
        <f aca="false">IF(B2740="","",IF(A2740=_xlfn.MAXIFS($A$2:$A$5001,$B$2:$B$5001,B2740,$I$2:$I$5001,I2740),1,0))</f>
        <v/>
      </c>
    </row>
    <row r="2741" customFormat="false" ht="15" hidden="false" customHeight="false" outlineLevel="0" collapsed="false">
      <c r="I2741" s="15" t="str">
        <f aca="false">IF(A2741="","",INT(A2741))</f>
        <v/>
      </c>
      <c r="J2741" s="16" t="str">
        <f aca="false">IF(B2741="","",IF(A2741=_xlfn.MINIFS($A$2:$A$5001,$B$2:$B$5001,B2741),1,0))</f>
        <v/>
      </c>
      <c r="K2741" s="16" t="str">
        <f aca="false">IF(B2741="","",IF(AND(D2741="Formalização",E2741="Concluído"),IF(COUNTIFS($B$2:$B$5001,B2741,$E$2:$E$5001,"Em ajustes",$A$2:$A$5001,"&lt;"&amp;I2741)&gt;0,1,0),0))</f>
        <v/>
      </c>
      <c r="L2741" s="16" t="str">
        <f aca="false">IF(B2741="","",IF(A2741=_xlfn.MAXIFS($A$2:$A$5001,$B$2:$B$5001,B2741,$I$2:$I$5001,I2741),1,0))</f>
        <v/>
      </c>
    </row>
    <row r="2742" customFormat="false" ht="15" hidden="false" customHeight="false" outlineLevel="0" collapsed="false">
      <c r="I2742" s="15" t="str">
        <f aca="false">IF(A2742="","",INT(A2742))</f>
        <v/>
      </c>
      <c r="J2742" s="16" t="str">
        <f aca="false">IF(B2742="","",IF(A2742=_xlfn.MINIFS($A$2:$A$5001,$B$2:$B$5001,B2742),1,0))</f>
        <v/>
      </c>
      <c r="K2742" s="16" t="str">
        <f aca="false">IF(B2742="","",IF(AND(D2742="Formalização",E2742="Concluído"),IF(COUNTIFS($B$2:$B$5001,B2742,$E$2:$E$5001,"Em ajustes",$A$2:$A$5001,"&lt;"&amp;I2742)&gt;0,1,0),0))</f>
        <v/>
      </c>
      <c r="L2742" s="16" t="str">
        <f aca="false">IF(B2742="","",IF(A2742=_xlfn.MAXIFS($A$2:$A$5001,$B$2:$B$5001,B2742,$I$2:$I$5001,I2742),1,0))</f>
        <v/>
      </c>
    </row>
    <row r="2743" customFormat="false" ht="15" hidden="false" customHeight="false" outlineLevel="0" collapsed="false">
      <c r="I2743" s="15" t="str">
        <f aca="false">IF(A2743="","",INT(A2743))</f>
        <v/>
      </c>
      <c r="J2743" s="16" t="str">
        <f aca="false">IF(B2743="","",IF(A2743=_xlfn.MINIFS($A$2:$A$5001,$B$2:$B$5001,B2743),1,0))</f>
        <v/>
      </c>
      <c r="K2743" s="16" t="str">
        <f aca="false">IF(B2743="","",IF(AND(D2743="Formalização",E2743="Concluído"),IF(COUNTIFS($B$2:$B$5001,B2743,$E$2:$E$5001,"Em ajustes",$A$2:$A$5001,"&lt;"&amp;I2743)&gt;0,1,0),0))</f>
        <v/>
      </c>
      <c r="L2743" s="16" t="str">
        <f aca="false">IF(B2743="","",IF(A2743=_xlfn.MAXIFS($A$2:$A$5001,$B$2:$B$5001,B2743,$I$2:$I$5001,I2743),1,0))</f>
        <v/>
      </c>
    </row>
    <row r="2744" customFormat="false" ht="15" hidden="false" customHeight="false" outlineLevel="0" collapsed="false">
      <c r="I2744" s="15" t="str">
        <f aca="false">IF(A2744="","",INT(A2744))</f>
        <v/>
      </c>
      <c r="J2744" s="16" t="str">
        <f aca="false">IF(B2744="","",IF(A2744=_xlfn.MINIFS($A$2:$A$5001,$B$2:$B$5001,B2744),1,0))</f>
        <v/>
      </c>
      <c r="K2744" s="16" t="str">
        <f aca="false">IF(B2744="","",IF(AND(D2744="Formalização",E2744="Concluído"),IF(COUNTIFS($B$2:$B$5001,B2744,$E$2:$E$5001,"Em ajustes",$A$2:$A$5001,"&lt;"&amp;I2744)&gt;0,1,0),0))</f>
        <v/>
      </c>
      <c r="L2744" s="16" t="str">
        <f aca="false">IF(B2744="","",IF(A2744=_xlfn.MAXIFS($A$2:$A$5001,$B$2:$B$5001,B2744,$I$2:$I$5001,I2744),1,0))</f>
        <v/>
      </c>
    </row>
    <row r="2745" customFormat="false" ht="15" hidden="false" customHeight="false" outlineLevel="0" collapsed="false">
      <c r="I2745" s="15" t="str">
        <f aca="false">IF(A2745="","",INT(A2745))</f>
        <v/>
      </c>
      <c r="J2745" s="16" t="str">
        <f aca="false">IF(B2745="","",IF(A2745=_xlfn.MINIFS($A$2:$A$5001,$B$2:$B$5001,B2745),1,0))</f>
        <v/>
      </c>
      <c r="K2745" s="16" t="str">
        <f aca="false">IF(B2745="","",IF(AND(D2745="Formalização",E2745="Concluído"),IF(COUNTIFS($B$2:$B$5001,B2745,$E$2:$E$5001,"Em ajustes",$A$2:$A$5001,"&lt;"&amp;I2745)&gt;0,1,0),0))</f>
        <v/>
      </c>
      <c r="L2745" s="16" t="str">
        <f aca="false">IF(B2745="","",IF(A2745=_xlfn.MAXIFS($A$2:$A$5001,$B$2:$B$5001,B2745,$I$2:$I$5001,I2745),1,0))</f>
        <v/>
      </c>
    </row>
    <row r="2746" customFormat="false" ht="15" hidden="false" customHeight="false" outlineLevel="0" collapsed="false">
      <c r="I2746" s="15" t="str">
        <f aca="false">IF(A2746="","",INT(A2746))</f>
        <v/>
      </c>
      <c r="J2746" s="16" t="str">
        <f aca="false">IF(B2746="","",IF(A2746=_xlfn.MINIFS($A$2:$A$5001,$B$2:$B$5001,B2746),1,0))</f>
        <v/>
      </c>
      <c r="K2746" s="16" t="str">
        <f aca="false">IF(B2746="","",IF(AND(D2746="Formalização",E2746="Concluído"),IF(COUNTIFS($B$2:$B$5001,B2746,$E$2:$E$5001,"Em ajustes",$A$2:$A$5001,"&lt;"&amp;I2746)&gt;0,1,0),0))</f>
        <v/>
      </c>
      <c r="L2746" s="16" t="str">
        <f aca="false">IF(B2746="","",IF(A2746=_xlfn.MAXIFS($A$2:$A$5001,$B$2:$B$5001,B2746,$I$2:$I$5001,I2746),1,0))</f>
        <v/>
      </c>
    </row>
    <row r="2747" customFormat="false" ht="15" hidden="false" customHeight="false" outlineLevel="0" collapsed="false">
      <c r="I2747" s="15" t="str">
        <f aca="false">IF(A2747="","",INT(A2747))</f>
        <v/>
      </c>
      <c r="J2747" s="16" t="str">
        <f aca="false">IF(B2747="","",IF(A2747=_xlfn.MINIFS($A$2:$A$5001,$B$2:$B$5001,B2747),1,0))</f>
        <v/>
      </c>
      <c r="K2747" s="16" t="str">
        <f aca="false">IF(B2747="","",IF(AND(D2747="Formalização",E2747="Concluído"),IF(COUNTIFS($B$2:$B$5001,B2747,$E$2:$E$5001,"Em ajustes",$A$2:$A$5001,"&lt;"&amp;I2747)&gt;0,1,0),0))</f>
        <v/>
      </c>
      <c r="L2747" s="16" t="str">
        <f aca="false">IF(B2747="","",IF(A2747=_xlfn.MAXIFS($A$2:$A$5001,$B$2:$B$5001,B2747,$I$2:$I$5001,I2747),1,0))</f>
        <v/>
      </c>
    </row>
    <row r="2748" customFormat="false" ht="15" hidden="false" customHeight="false" outlineLevel="0" collapsed="false">
      <c r="I2748" s="15" t="str">
        <f aca="false">IF(A2748="","",INT(A2748))</f>
        <v/>
      </c>
      <c r="J2748" s="16" t="str">
        <f aca="false">IF(B2748="","",IF(A2748=_xlfn.MINIFS($A$2:$A$5001,$B$2:$B$5001,B2748),1,0))</f>
        <v/>
      </c>
      <c r="K2748" s="16" t="str">
        <f aca="false">IF(B2748="","",IF(AND(D2748="Formalização",E2748="Concluído"),IF(COUNTIFS($B$2:$B$5001,B2748,$E$2:$E$5001,"Em ajustes",$A$2:$A$5001,"&lt;"&amp;I2748)&gt;0,1,0),0))</f>
        <v/>
      </c>
      <c r="L2748" s="16" t="str">
        <f aca="false">IF(B2748="","",IF(A2748=_xlfn.MAXIFS($A$2:$A$5001,$B$2:$B$5001,B2748,$I$2:$I$5001,I2748),1,0))</f>
        <v/>
      </c>
    </row>
    <row r="2749" customFormat="false" ht="15" hidden="false" customHeight="false" outlineLevel="0" collapsed="false">
      <c r="I2749" s="15" t="str">
        <f aca="false">IF(A2749="","",INT(A2749))</f>
        <v/>
      </c>
      <c r="J2749" s="16" t="str">
        <f aca="false">IF(B2749="","",IF(A2749=_xlfn.MINIFS($A$2:$A$5001,$B$2:$B$5001,B2749),1,0))</f>
        <v/>
      </c>
      <c r="K2749" s="16" t="str">
        <f aca="false">IF(B2749="","",IF(AND(D2749="Formalização",E2749="Concluído"),IF(COUNTIFS($B$2:$B$5001,B2749,$E$2:$E$5001,"Em ajustes",$A$2:$A$5001,"&lt;"&amp;I2749)&gt;0,1,0),0))</f>
        <v/>
      </c>
      <c r="L2749" s="16" t="str">
        <f aca="false">IF(B2749="","",IF(A2749=_xlfn.MAXIFS($A$2:$A$5001,$B$2:$B$5001,B2749,$I$2:$I$5001,I2749),1,0))</f>
        <v/>
      </c>
    </row>
    <row r="2750" customFormat="false" ht="15" hidden="false" customHeight="false" outlineLevel="0" collapsed="false">
      <c r="I2750" s="15" t="str">
        <f aca="false">IF(A2750="","",INT(A2750))</f>
        <v/>
      </c>
      <c r="J2750" s="16" t="str">
        <f aca="false">IF(B2750="","",IF(A2750=_xlfn.MINIFS($A$2:$A$5001,$B$2:$B$5001,B2750),1,0))</f>
        <v/>
      </c>
      <c r="K2750" s="16" t="str">
        <f aca="false">IF(B2750="","",IF(AND(D2750="Formalização",E2750="Concluído"),IF(COUNTIFS($B$2:$B$5001,B2750,$E$2:$E$5001,"Em ajustes",$A$2:$A$5001,"&lt;"&amp;I2750)&gt;0,1,0),0))</f>
        <v/>
      </c>
      <c r="L2750" s="16" t="str">
        <f aca="false">IF(B2750="","",IF(A2750=_xlfn.MAXIFS($A$2:$A$5001,$B$2:$B$5001,B2750,$I$2:$I$5001,I2750),1,0))</f>
        <v/>
      </c>
    </row>
    <row r="2751" customFormat="false" ht="15" hidden="false" customHeight="false" outlineLevel="0" collapsed="false">
      <c r="I2751" s="15" t="str">
        <f aca="false">IF(A2751="","",INT(A2751))</f>
        <v/>
      </c>
      <c r="J2751" s="16" t="str">
        <f aca="false">IF(B2751="","",IF(A2751=_xlfn.MINIFS($A$2:$A$5001,$B$2:$B$5001,B2751),1,0))</f>
        <v/>
      </c>
      <c r="K2751" s="16" t="str">
        <f aca="false">IF(B2751="","",IF(AND(D2751="Formalização",E2751="Concluído"),IF(COUNTIFS($B$2:$B$5001,B2751,$E$2:$E$5001,"Em ajustes",$A$2:$A$5001,"&lt;"&amp;I2751)&gt;0,1,0),0))</f>
        <v/>
      </c>
      <c r="L2751" s="16" t="str">
        <f aca="false">IF(B2751="","",IF(A2751=_xlfn.MAXIFS($A$2:$A$5001,$B$2:$B$5001,B2751,$I$2:$I$5001,I2751),1,0))</f>
        <v/>
      </c>
    </row>
    <row r="2752" customFormat="false" ht="15" hidden="false" customHeight="false" outlineLevel="0" collapsed="false">
      <c r="I2752" s="15" t="str">
        <f aca="false">IF(A2752="","",INT(A2752))</f>
        <v/>
      </c>
      <c r="J2752" s="16" t="str">
        <f aca="false">IF(B2752="","",IF(A2752=_xlfn.MINIFS($A$2:$A$5001,$B$2:$B$5001,B2752),1,0))</f>
        <v/>
      </c>
      <c r="K2752" s="16" t="str">
        <f aca="false">IF(B2752="","",IF(AND(D2752="Formalização",E2752="Concluído"),IF(COUNTIFS($B$2:$B$5001,B2752,$E$2:$E$5001,"Em ajustes",$A$2:$A$5001,"&lt;"&amp;I2752)&gt;0,1,0),0))</f>
        <v/>
      </c>
      <c r="L2752" s="16" t="str">
        <f aca="false">IF(B2752="","",IF(A2752=_xlfn.MAXIFS($A$2:$A$5001,$B$2:$B$5001,B2752,$I$2:$I$5001,I2752),1,0))</f>
        <v/>
      </c>
    </row>
    <row r="2753" customFormat="false" ht="15" hidden="false" customHeight="false" outlineLevel="0" collapsed="false">
      <c r="I2753" s="15" t="str">
        <f aca="false">IF(A2753="","",INT(A2753))</f>
        <v/>
      </c>
      <c r="J2753" s="16" t="str">
        <f aca="false">IF(B2753="","",IF(A2753=_xlfn.MINIFS($A$2:$A$5001,$B$2:$B$5001,B2753),1,0))</f>
        <v/>
      </c>
      <c r="K2753" s="16" t="str">
        <f aca="false">IF(B2753="","",IF(AND(D2753="Formalização",E2753="Concluído"),IF(COUNTIFS($B$2:$B$5001,B2753,$E$2:$E$5001,"Em ajustes",$A$2:$A$5001,"&lt;"&amp;I2753)&gt;0,1,0),0))</f>
        <v/>
      </c>
      <c r="L2753" s="16" t="str">
        <f aca="false">IF(B2753="","",IF(A2753=_xlfn.MAXIFS($A$2:$A$5001,$B$2:$B$5001,B2753,$I$2:$I$5001,I2753),1,0))</f>
        <v/>
      </c>
    </row>
    <row r="2754" customFormat="false" ht="15" hidden="false" customHeight="false" outlineLevel="0" collapsed="false">
      <c r="I2754" s="15" t="str">
        <f aca="false">IF(A2754="","",INT(A2754))</f>
        <v/>
      </c>
      <c r="J2754" s="16" t="str">
        <f aca="false">IF(B2754="","",IF(A2754=_xlfn.MINIFS($A$2:$A$5001,$B$2:$B$5001,B2754),1,0))</f>
        <v/>
      </c>
      <c r="K2754" s="16" t="str">
        <f aca="false">IF(B2754="","",IF(AND(D2754="Formalização",E2754="Concluído"),IF(COUNTIFS($B$2:$B$5001,B2754,$E$2:$E$5001,"Em ajustes",$A$2:$A$5001,"&lt;"&amp;I2754)&gt;0,1,0),0))</f>
        <v/>
      </c>
      <c r="L2754" s="16" t="str">
        <f aca="false">IF(B2754="","",IF(A2754=_xlfn.MAXIFS($A$2:$A$5001,$B$2:$B$5001,B2754,$I$2:$I$5001,I2754),1,0))</f>
        <v/>
      </c>
    </row>
    <row r="2755" customFormat="false" ht="15" hidden="false" customHeight="false" outlineLevel="0" collapsed="false">
      <c r="I2755" s="15" t="str">
        <f aca="false">IF(A2755="","",INT(A2755))</f>
        <v/>
      </c>
      <c r="J2755" s="16" t="str">
        <f aca="false">IF(B2755="","",IF(A2755=_xlfn.MINIFS($A$2:$A$5001,$B$2:$B$5001,B2755),1,0))</f>
        <v/>
      </c>
      <c r="K2755" s="16" t="str">
        <f aca="false">IF(B2755="","",IF(AND(D2755="Formalização",E2755="Concluído"),IF(COUNTIFS($B$2:$B$5001,B2755,$E$2:$E$5001,"Em ajustes",$A$2:$A$5001,"&lt;"&amp;I2755)&gt;0,1,0),0))</f>
        <v/>
      </c>
      <c r="L2755" s="16" t="str">
        <f aca="false">IF(B2755="","",IF(A2755=_xlfn.MAXIFS($A$2:$A$5001,$B$2:$B$5001,B2755,$I$2:$I$5001,I2755),1,0))</f>
        <v/>
      </c>
    </row>
    <row r="2756" customFormat="false" ht="15" hidden="false" customHeight="false" outlineLevel="0" collapsed="false">
      <c r="I2756" s="15" t="str">
        <f aca="false">IF(A2756="","",INT(A2756))</f>
        <v/>
      </c>
      <c r="J2756" s="16" t="str">
        <f aca="false">IF(B2756="","",IF(A2756=_xlfn.MINIFS($A$2:$A$5001,$B$2:$B$5001,B2756),1,0))</f>
        <v/>
      </c>
      <c r="K2756" s="16" t="str">
        <f aca="false">IF(B2756="","",IF(AND(D2756="Formalização",E2756="Concluído"),IF(COUNTIFS($B$2:$B$5001,B2756,$E$2:$E$5001,"Em ajustes",$A$2:$A$5001,"&lt;"&amp;I2756)&gt;0,1,0),0))</f>
        <v/>
      </c>
      <c r="L2756" s="16" t="str">
        <f aca="false">IF(B2756="","",IF(A2756=_xlfn.MAXIFS($A$2:$A$5001,$B$2:$B$5001,B2756,$I$2:$I$5001,I2756),1,0))</f>
        <v/>
      </c>
    </row>
    <row r="2757" customFormat="false" ht="15" hidden="false" customHeight="false" outlineLevel="0" collapsed="false">
      <c r="I2757" s="15" t="str">
        <f aca="false">IF(A2757="","",INT(A2757))</f>
        <v/>
      </c>
      <c r="J2757" s="16" t="str">
        <f aca="false">IF(B2757="","",IF(A2757=_xlfn.MINIFS($A$2:$A$5001,$B$2:$B$5001,B2757),1,0))</f>
        <v/>
      </c>
      <c r="K2757" s="16" t="str">
        <f aca="false">IF(B2757="","",IF(AND(D2757="Formalização",E2757="Concluído"),IF(COUNTIFS($B$2:$B$5001,B2757,$E$2:$E$5001,"Em ajustes",$A$2:$A$5001,"&lt;"&amp;I2757)&gt;0,1,0),0))</f>
        <v/>
      </c>
      <c r="L2757" s="16" t="str">
        <f aca="false">IF(B2757="","",IF(A2757=_xlfn.MAXIFS($A$2:$A$5001,$B$2:$B$5001,B2757,$I$2:$I$5001,I2757),1,0))</f>
        <v/>
      </c>
    </row>
    <row r="2758" customFormat="false" ht="15" hidden="false" customHeight="false" outlineLevel="0" collapsed="false">
      <c r="I2758" s="15" t="str">
        <f aca="false">IF(A2758="","",INT(A2758))</f>
        <v/>
      </c>
      <c r="J2758" s="16" t="str">
        <f aca="false">IF(B2758="","",IF(A2758=_xlfn.MINIFS($A$2:$A$5001,$B$2:$B$5001,B2758),1,0))</f>
        <v/>
      </c>
      <c r="K2758" s="16" t="str">
        <f aca="false">IF(B2758="","",IF(AND(D2758="Formalização",E2758="Concluído"),IF(COUNTIFS($B$2:$B$5001,B2758,$E$2:$E$5001,"Em ajustes",$A$2:$A$5001,"&lt;"&amp;I2758)&gt;0,1,0),0))</f>
        <v/>
      </c>
      <c r="L2758" s="16" t="str">
        <f aca="false">IF(B2758="","",IF(A2758=_xlfn.MAXIFS($A$2:$A$5001,$B$2:$B$5001,B2758,$I$2:$I$5001,I2758),1,0))</f>
        <v/>
      </c>
    </row>
    <row r="2759" customFormat="false" ht="15" hidden="false" customHeight="false" outlineLevel="0" collapsed="false">
      <c r="I2759" s="15" t="str">
        <f aca="false">IF(A2759="","",INT(A2759))</f>
        <v/>
      </c>
      <c r="J2759" s="16" t="str">
        <f aca="false">IF(B2759="","",IF(A2759=_xlfn.MINIFS($A$2:$A$5001,$B$2:$B$5001,B2759),1,0))</f>
        <v/>
      </c>
      <c r="K2759" s="16" t="str">
        <f aca="false">IF(B2759="","",IF(AND(D2759="Formalização",E2759="Concluído"),IF(COUNTIFS($B$2:$B$5001,B2759,$E$2:$E$5001,"Em ajustes",$A$2:$A$5001,"&lt;"&amp;I2759)&gt;0,1,0),0))</f>
        <v/>
      </c>
      <c r="L2759" s="16" t="str">
        <f aca="false">IF(B2759="","",IF(A2759=_xlfn.MAXIFS($A$2:$A$5001,$B$2:$B$5001,B2759,$I$2:$I$5001,I2759),1,0))</f>
        <v/>
      </c>
    </row>
    <row r="2760" customFormat="false" ht="15" hidden="false" customHeight="false" outlineLevel="0" collapsed="false">
      <c r="I2760" s="15" t="str">
        <f aca="false">IF(A2760="","",INT(A2760))</f>
        <v/>
      </c>
      <c r="J2760" s="16" t="str">
        <f aca="false">IF(B2760="","",IF(A2760=_xlfn.MINIFS($A$2:$A$5001,$B$2:$B$5001,B2760),1,0))</f>
        <v/>
      </c>
      <c r="K2760" s="16" t="str">
        <f aca="false">IF(B2760="","",IF(AND(D2760="Formalização",E2760="Concluído"),IF(COUNTIFS($B$2:$B$5001,B2760,$E$2:$E$5001,"Em ajustes",$A$2:$A$5001,"&lt;"&amp;I2760)&gt;0,1,0),0))</f>
        <v/>
      </c>
      <c r="L2760" s="16" t="str">
        <f aca="false">IF(B2760="","",IF(A2760=_xlfn.MAXIFS($A$2:$A$5001,$B$2:$B$5001,B2760,$I$2:$I$5001,I2760),1,0))</f>
        <v/>
      </c>
    </row>
    <row r="2761" customFormat="false" ht="15" hidden="false" customHeight="false" outlineLevel="0" collapsed="false">
      <c r="I2761" s="15" t="str">
        <f aca="false">IF(A2761="","",INT(A2761))</f>
        <v/>
      </c>
      <c r="J2761" s="16" t="str">
        <f aca="false">IF(B2761="","",IF(A2761=_xlfn.MINIFS($A$2:$A$5001,$B$2:$B$5001,B2761),1,0))</f>
        <v/>
      </c>
      <c r="K2761" s="16" t="str">
        <f aca="false">IF(B2761="","",IF(AND(D2761="Formalização",E2761="Concluído"),IF(COUNTIFS($B$2:$B$5001,B2761,$E$2:$E$5001,"Em ajustes",$A$2:$A$5001,"&lt;"&amp;I2761)&gt;0,1,0),0))</f>
        <v/>
      </c>
      <c r="L2761" s="16" t="str">
        <f aca="false">IF(B2761="","",IF(A2761=_xlfn.MAXIFS($A$2:$A$5001,$B$2:$B$5001,B2761,$I$2:$I$5001,I2761),1,0))</f>
        <v/>
      </c>
    </row>
    <row r="2762" customFormat="false" ht="15" hidden="false" customHeight="false" outlineLevel="0" collapsed="false">
      <c r="I2762" s="15" t="str">
        <f aca="false">IF(A2762="","",INT(A2762))</f>
        <v/>
      </c>
      <c r="J2762" s="16" t="str">
        <f aca="false">IF(B2762="","",IF(A2762=_xlfn.MINIFS($A$2:$A$5001,$B$2:$B$5001,B2762),1,0))</f>
        <v/>
      </c>
      <c r="K2762" s="16" t="str">
        <f aca="false">IF(B2762="","",IF(AND(D2762="Formalização",E2762="Concluído"),IF(COUNTIFS($B$2:$B$5001,B2762,$E$2:$E$5001,"Em ajustes",$A$2:$A$5001,"&lt;"&amp;I2762)&gt;0,1,0),0))</f>
        <v/>
      </c>
      <c r="L2762" s="16" t="str">
        <f aca="false">IF(B2762="","",IF(A2762=_xlfn.MAXIFS($A$2:$A$5001,$B$2:$B$5001,B2762,$I$2:$I$5001,I2762),1,0))</f>
        <v/>
      </c>
    </row>
    <row r="2763" customFormat="false" ht="15" hidden="false" customHeight="false" outlineLevel="0" collapsed="false">
      <c r="I2763" s="15" t="str">
        <f aca="false">IF(A2763="","",INT(A2763))</f>
        <v/>
      </c>
      <c r="J2763" s="16" t="str">
        <f aca="false">IF(B2763="","",IF(A2763=_xlfn.MINIFS($A$2:$A$5001,$B$2:$B$5001,B2763),1,0))</f>
        <v/>
      </c>
      <c r="K2763" s="16" t="str">
        <f aca="false">IF(B2763="","",IF(AND(D2763="Formalização",E2763="Concluído"),IF(COUNTIFS($B$2:$B$5001,B2763,$E$2:$E$5001,"Em ajustes",$A$2:$A$5001,"&lt;"&amp;I2763)&gt;0,1,0),0))</f>
        <v/>
      </c>
      <c r="L2763" s="16" t="str">
        <f aca="false">IF(B2763="","",IF(A2763=_xlfn.MAXIFS($A$2:$A$5001,$B$2:$B$5001,B2763,$I$2:$I$5001,I2763),1,0))</f>
        <v/>
      </c>
    </row>
    <row r="2764" customFormat="false" ht="15" hidden="false" customHeight="false" outlineLevel="0" collapsed="false">
      <c r="I2764" s="15" t="str">
        <f aca="false">IF(A2764="","",INT(A2764))</f>
        <v/>
      </c>
      <c r="J2764" s="16" t="str">
        <f aca="false">IF(B2764="","",IF(A2764=_xlfn.MINIFS($A$2:$A$5001,$B$2:$B$5001,B2764),1,0))</f>
        <v/>
      </c>
      <c r="K2764" s="16" t="str">
        <f aca="false">IF(B2764="","",IF(AND(D2764="Formalização",E2764="Concluído"),IF(COUNTIFS($B$2:$B$5001,B2764,$E$2:$E$5001,"Em ajustes",$A$2:$A$5001,"&lt;"&amp;I2764)&gt;0,1,0),0))</f>
        <v/>
      </c>
      <c r="L2764" s="16" t="str">
        <f aca="false">IF(B2764="","",IF(A2764=_xlfn.MAXIFS($A$2:$A$5001,$B$2:$B$5001,B2764,$I$2:$I$5001,I2764),1,0))</f>
        <v/>
      </c>
    </row>
    <row r="2765" customFormat="false" ht="15" hidden="false" customHeight="false" outlineLevel="0" collapsed="false">
      <c r="I2765" s="15" t="str">
        <f aca="false">IF(A2765="","",INT(A2765))</f>
        <v/>
      </c>
      <c r="J2765" s="16" t="str">
        <f aca="false">IF(B2765="","",IF(A2765=_xlfn.MINIFS($A$2:$A$5001,$B$2:$B$5001,B2765),1,0))</f>
        <v/>
      </c>
      <c r="K2765" s="16" t="str">
        <f aca="false">IF(B2765="","",IF(AND(D2765="Formalização",E2765="Concluído"),IF(COUNTIFS($B$2:$B$5001,B2765,$E$2:$E$5001,"Em ajustes",$A$2:$A$5001,"&lt;"&amp;I2765)&gt;0,1,0),0))</f>
        <v/>
      </c>
      <c r="L2765" s="16" t="str">
        <f aca="false">IF(B2765="","",IF(A2765=_xlfn.MAXIFS($A$2:$A$5001,$B$2:$B$5001,B2765,$I$2:$I$5001,I2765),1,0))</f>
        <v/>
      </c>
    </row>
    <row r="2766" customFormat="false" ht="15" hidden="false" customHeight="false" outlineLevel="0" collapsed="false">
      <c r="I2766" s="15" t="str">
        <f aca="false">IF(A2766="","",INT(A2766))</f>
        <v/>
      </c>
      <c r="J2766" s="16" t="str">
        <f aca="false">IF(B2766="","",IF(A2766=_xlfn.MINIFS($A$2:$A$5001,$B$2:$B$5001,B2766),1,0))</f>
        <v/>
      </c>
      <c r="K2766" s="16" t="str">
        <f aca="false">IF(B2766="","",IF(AND(D2766="Formalização",E2766="Concluído"),IF(COUNTIFS($B$2:$B$5001,B2766,$E$2:$E$5001,"Em ajustes",$A$2:$A$5001,"&lt;"&amp;I2766)&gt;0,1,0),0))</f>
        <v/>
      </c>
      <c r="L2766" s="16" t="str">
        <f aca="false">IF(B2766="","",IF(A2766=_xlfn.MAXIFS($A$2:$A$5001,$B$2:$B$5001,B2766,$I$2:$I$5001,I2766),1,0))</f>
        <v/>
      </c>
    </row>
    <row r="2767" customFormat="false" ht="15" hidden="false" customHeight="false" outlineLevel="0" collapsed="false">
      <c r="I2767" s="15" t="str">
        <f aca="false">IF(A2767="","",INT(A2767))</f>
        <v/>
      </c>
      <c r="J2767" s="16" t="str">
        <f aca="false">IF(B2767="","",IF(A2767=_xlfn.MINIFS($A$2:$A$5001,$B$2:$B$5001,B2767),1,0))</f>
        <v/>
      </c>
      <c r="K2767" s="16" t="str">
        <f aca="false">IF(B2767="","",IF(AND(D2767="Formalização",E2767="Concluído"),IF(COUNTIFS($B$2:$B$5001,B2767,$E$2:$E$5001,"Em ajustes",$A$2:$A$5001,"&lt;"&amp;I2767)&gt;0,1,0),0))</f>
        <v/>
      </c>
      <c r="L2767" s="16" t="str">
        <f aca="false">IF(B2767="","",IF(A2767=_xlfn.MAXIFS($A$2:$A$5001,$B$2:$B$5001,B2767,$I$2:$I$5001,I2767),1,0))</f>
        <v/>
      </c>
    </row>
    <row r="2768" customFormat="false" ht="15" hidden="false" customHeight="false" outlineLevel="0" collapsed="false">
      <c r="I2768" s="15" t="str">
        <f aca="false">IF(A2768="","",INT(A2768))</f>
        <v/>
      </c>
      <c r="J2768" s="16" t="str">
        <f aca="false">IF(B2768="","",IF(A2768=_xlfn.MINIFS($A$2:$A$5001,$B$2:$B$5001,B2768),1,0))</f>
        <v/>
      </c>
      <c r="K2768" s="16" t="str">
        <f aca="false">IF(B2768="","",IF(AND(D2768="Formalização",E2768="Concluído"),IF(COUNTIFS($B$2:$B$5001,B2768,$E$2:$E$5001,"Em ajustes",$A$2:$A$5001,"&lt;"&amp;I2768)&gt;0,1,0),0))</f>
        <v/>
      </c>
      <c r="L2768" s="16" t="str">
        <f aca="false">IF(B2768="","",IF(A2768=_xlfn.MAXIFS($A$2:$A$5001,$B$2:$B$5001,B2768,$I$2:$I$5001,I2768),1,0))</f>
        <v/>
      </c>
    </row>
    <row r="2769" customFormat="false" ht="15" hidden="false" customHeight="false" outlineLevel="0" collapsed="false">
      <c r="I2769" s="15" t="str">
        <f aca="false">IF(A2769="","",INT(A2769))</f>
        <v/>
      </c>
      <c r="J2769" s="16" t="str">
        <f aca="false">IF(B2769="","",IF(A2769=_xlfn.MINIFS($A$2:$A$5001,$B$2:$B$5001,B2769),1,0))</f>
        <v/>
      </c>
      <c r="K2769" s="16" t="str">
        <f aca="false">IF(B2769="","",IF(AND(D2769="Formalização",E2769="Concluído"),IF(COUNTIFS($B$2:$B$5001,B2769,$E$2:$E$5001,"Em ajustes",$A$2:$A$5001,"&lt;"&amp;I2769)&gt;0,1,0),0))</f>
        <v/>
      </c>
      <c r="L2769" s="16" t="str">
        <f aca="false">IF(B2769="","",IF(A2769=_xlfn.MAXIFS($A$2:$A$5001,$B$2:$B$5001,B2769,$I$2:$I$5001,I2769),1,0))</f>
        <v/>
      </c>
    </row>
    <row r="2770" customFormat="false" ht="15" hidden="false" customHeight="false" outlineLevel="0" collapsed="false">
      <c r="I2770" s="15" t="str">
        <f aca="false">IF(A2770="","",INT(A2770))</f>
        <v/>
      </c>
      <c r="J2770" s="16" t="str">
        <f aca="false">IF(B2770="","",IF(A2770=_xlfn.MINIFS($A$2:$A$5001,$B$2:$B$5001,B2770),1,0))</f>
        <v/>
      </c>
      <c r="K2770" s="16" t="str">
        <f aca="false">IF(B2770="","",IF(AND(D2770="Formalização",E2770="Concluído"),IF(COUNTIFS($B$2:$B$5001,B2770,$E$2:$E$5001,"Em ajustes",$A$2:$A$5001,"&lt;"&amp;I2770)&gt;0,1,0),0))</f>
        <v/>
      </c>
      <c r="L2770" s="16" t="str">
        <f aca="false">IF(B2770="","",IF(A2770=_xlfn.MAXIFS($A$2:$A$5001,$B$2:$B$5001,B2770,$I$2:$I$5001,I2770),1,0))</f>
        <v/>
      </c>
    </row>
    <row r="2771" customFormat="false" ht="15" hidden="false" customHeight="false" outlineLevel="0" collapsed="false">
      <c r="I2771" s="15" t="str">
        <f aca="false">IF(A2771="","",INT(A2771))</f>
        <v/>
      </c>
      <c r="J2771" s="16" t="str">
        <f aca="false">IF(B2771="","",IF(A2771=_xlfn.MINIFS($A$2:$A$5001,$B$2:$B$5001,B2771),1,0))</f>
        <v/>
      </c>
      <c r="K2771" s="16" t="str">
        <f aca="false">IF(B2771="","",IF(AND(D2771="Formalização",E2771="Concluído"),IF(COUNTIFS($B$2:$B$5001,B2771,$E$2:$E$5001,"Em ajustes",$A$2:$A$5001,"&lt;"&amp;I2771)&gt;0,1,0),0))</f>
        <v/>
      </c>
      <c r="L2771" s="16" t="str">
        <f aca="false">IF(B2771="","",IF(A2771=_xlfn.MAXIFS($A$2:$A$5001,$B$2:$B$5001,B2771,$I$2:$I$5001,I2771),1,0))</f>
        <v/>
      </c>
    </row>
    <row r="2772" customFormat="false" ht="15" hidden="false" customHeight="false" outlineLevel="0" collapsed="false">
      <c r="I2772" s="15" t="str">
        <f aca="false">IF(A2772="","",INT(A2772))</f>
        <v/>
      </c>
      <c r="J2772" s="16" t="str">
        <f aca="false">IF(B2772="","",IF(A2772=_xlfn.MINIFS($A$2:$A$5001,$B$2:$B$5001,B2772),1,0))</f>
        <v/>
      </c>
      <c r="K2772" s="16" t="str">
        <f aca="false">IF(B2772="","",IF(AND(D2772="Formalização",E2772="Concluído"),IF(COUNTIFS($B$2:$B$5001,B2772,$E$2:$E$5001,"Em ajustes",$A$2:$A$5001,"&lt;"&amp;I2772)&gt;0,1,0),0))</f>
        <v/>
      </c>
      <c r="L2772" s="16" t="str">
        <f aca="false">IF(B2772="","",IF(A2772=_xlfn.MAXIFS($A$2:$A$5001,$B$2:$B$5001,B2772,$I$2:$I$5001,I2772),1,0))</f>
        <v/>
      </c>
    </row>
    <row r="2773" customFormat="false" ht="15" hidden="false" customHeight="false" outlineLevel="0" collapsed="false">
      <c r="I2773" s="15" t="str">
        <f aca="false">IF(A2773="","",INT(A2773))</f>
        <v/>
      </c>
      <c r="J2773" s="16" t="str">
        <f aca="false">IF(B2773="","",IF(A2773=_xlfn.MINIFS($A$2:$A$5001,$B$2:$B$5001,B2773),1,0))</f>
        <v/>
      </c>
      <c r="K2773" s="16" t="str">
        <f aca="false">IF(B2773="","",IF(AND(D2773="Formalização",E2773="Concluído"),IF(COUNTIFS($B$2:$B$5001,B2773,$E$2:$E$5001,"Em ajustes",$A$2:$A$5001,"&lt;"&amp;I2773)&gt;0,1,0),0))</f>
        <v/>
      </c>
      <c r="L2773" s="16" t="str">
        <f aca="false">IF(B2773="","",IF(A2773=_xlfn.MAXIFS($A$2:$A$5001,$B$2:$B$5001,B2773,$I$2:$I$5001,I2773),1,0))</f>
        <v/>
      </c>
    </row>
    <row r="2774" customFormat="false" ht="15" hidden="false" customHeight="false" outlineLevel="0" collapsed="false">
      <c r="I2774" s="15" t="str">
        <f aca="false">IF(A2774="","",INT(A2774))</f>
        <v/>
      </c>
      <c r="J2774" s="16" t="str">
        <f aca="false">IF(B2774="","",IF(A2774=_xlfn.MINIFS($A$2:$A$5001,$B$2:$B$5001,B2774),1,0))</f>
        <v/>
      </c>
      <c r="K2774" s="16" t="str">
        <f aca="false">IF(B2774="","",IF(AND(D2774="Formalização",E2774="Concluído"),IF(COUNTIFS($B$2:$B$5001,B2774,$E$2:$E$5001,"Em ajustes",$A$2:$A$5001,"&lt;"&amp;I2774)&gt;0,1,0),0))</f>
        <v/>
      </c>
      <c r="L2774" s="16" t="str">
        <f aca="false">IF(B2774="","",IF(A2774=_xlfn.MAXIFS($A$2:$A$5001,$B$2:$B$5001,B2774,$I$2:$I$5001,I2774),1,0))</f>
        <v/>
      </c>
    </row>
    <row r="2775" customFormat="false" ht="15" hidden="false" customHeight="false" outlineLevel="0" collapsed="false">
      <c r="I2775" s="15" t="str">
        <f aca="false">IF(A2775="","",INT(A2775))</f>
        <v/>
      </c>
      <c r="J2775" s="16" t="str">
        <f aca="false">IF(B2775="","",IF(A2775=_xlfn.MINIFS($A$2:$A$5001,$B$2:$B$5001,B2775),1,0))</f>
        <v/>
      </c>
      <c r="K2775" s="16" t="str">
        <f aca="false">IF(B2775="","",IF(AND(D2775="Formalização",E2775="Concluído"),IF(COUNTIFS($B$2:$B$5001,B2775,$E$2:$E$5001,"Em ajustes",$A$2:$A$5001,"&lt;"&amp;I2775)&gt;0,1,0),0))</f>
        <v/>
      </c>
      <c r="L2775" s="16" t="str">
        <f aca="false">IF(B2775="","",IF(A2775=_xlfn.MAXIFS($A$2:$A$5001,$B$2:$B$5001,B2775,$I$2:$I$5001,I2775),1,0))</f>
        <v/>
      </c>
    </row>
    <row r="2776" customFormat="false" ht="15" hidden="false" customHeight="false" outlineLevel="0" collapsed="false">
      <c r="I2776" s="15" t="str">
        <f aca="false">IF(A2776="","",INT(A2776))</f>
        <v/>
      </c>
      <c r="J2776" s="16" t="str">
        <f aca="false">IF(B2776="","",IF(A2776=_xlfn.MINIFS($A$2:$A$5001,$B$2:$B$5001,B2776),1,0))</f>
        <v/>
      </c>
      <c r="K2776" s="16" t="str">
        <f aca="false">IF(B2776="","",IF(AND(D2776="Formalização",E2776="Concluído"),IF(COUNTIFS($B$2:$B$5001,B2776,$E$2:$E$5001,"Em ajustes",$A$2:$A$5001,"&lt;"&amp;I2776)&gt;0,1,0),0))</f>
        <v/>
      </c>
      <c r="L2776" s="16" t="str">
        <f aca="false">IF(B2776="","",IF(A2776=_xlfn.MAXIFS($A$2:$A$5001,$B$2:$B$5001,B2776,$I$2:$I$5001,I2776),1,0))</f>
        <v/>
      </c>
    </row>
    <row r="2777" customFormat="false" ht="15" hidden="false" customHeight="false" outlineLevel="0" collapsed="false">
      <c r="I2777" s="15" t="str">
        <f aca="false">IF(A2777="","",INT(A2777))</f>
        <v/>
      </c>
      <c r="J2777" s="16" t="str">
        <f aca="false">IF(B2777="","",IF(A2777=_xlfn.MINIFS($A$2:$A$5001,$B$2:$B$5001,B2777),1,0))</f>
        <v/>
      </c>
      <c r="K2777" s="16" t="str">
        <f aca="false">IF(B2777="","",IF(AND(D2777="Formalização",E2777="Concluído"),IF(COUNTIFS($B$2:$B$5001,B2777,$E$2:$E$5001,"Em ajustes",$A$2:$A$5001,"&lt;"&amp;I2777)&gt;0,1,0),0))</f>
        <v/>
      </c>
      <c r="L2777" s="16" t="str">
        <f aca="false">IF(B2777="","",IF(A2777=_xlfn.MAXIFS($A$2:$A$5001,$B$2:$B$5001,B2777,$I$2:$I$5001,I2777),1,0))</f>
        <v/>
      </c>
    </row>
    <row r="2778" customFormat="false" ht="15" hidden="false" customHeight="false" outlineLevel="0" collapsed="false">
      <c r="I2778" s="15" t="str">
        <f aca="false">IF(A2778="","",INT(A2778))</f>
        <v/>
      </c>
      <c r="J2778" s="16" t="str">
        <f aca="false">IF(B2778="","",IF(A2778=_xlfn.MINIFS($A$2:$A$5001,$B$2:$B$5001,B2778),1,0))</f>
        <v/>
      </c>
      <c r="K2778" s="16" t="str">
        <f aca="false">IF(B2778="","",IF(AND(D2778="Formalização",E2778="Concluído"),IF(COUNTIFS($B$2:$B$5001,B2778,$E$2:$E$5001,"Em ajustes",$A$2:$A$5001,"&lt;"&amp;I2778)&gt;0,1,0),0))</f>
        <v/>
      </c>
      <c r="L2778" s="16" t="str">
        <f aca="false">IF(B2778="","",IF(A2778=_xlfn.MAXIFS($A$2:$A$5001,$B$2:$B$5001,B2778,$I$2:$I$5001,I2778),1,0))</f>
        <v/>
      </c>
    </row>
    <row r="2779" customFormat="false" ht="15" hidden="false" customHeight="false" outlineLevel="0" collapsed="false">
      <c r="I2779" s="15" t="str">
        <f aca="false">IF(A2779="","",INT(A2779))</f>
        <v/>
      </c>
      <c r="J2779" s="16" t="str">
        <f aca="false">IF(B2779="","",IF(A2779=_xlfn.MINIFS($A$2:$A$5001,$B$2:$B$5001,B2779),1,0))</f>
        <v/>
      </c>
      <c r="K2779" s="16" t="str">
        <f aca="false">IF(B2779="","",IF(AND(D2779="Formalização",E2779="Concluído"),IF(COUNTIFS($B$2:$B$5001,B2779,$E$2:$E$5001,"Em ajustes",$A$2:$A$5001,"&lt;"&amp;I2779)&gt;0,1,0),0))</f>
        <v/>
      </c>
      <c r="L2779" s="16" t="str">
        <f aca="false">IF(B2779="","",IF(A2779=_xlfn.MAXIFS($A$2:$A$5001,$B$2:$B$5001,B2779,$I$2:$I$5001,I2779),1,0))</f>
        <v/>
      </c>
    </row>
    <row r="2780" customFormat="false" ht="15" hidden="false" customHeight="false" outlineLevel="0" collapsed="false">
      <c r="I2780" s="15" t="str">
        <f aca="false">IF(A2780="","",INT(A2780))</f>
        <v/>
      </c>
      <c r="J2780" s="16" t="str">
        <f aca="false">IF(B2780="","",IF(A2780=_xlfn.MINIFS($A$2:$A$5001,$B$2:$B$5001,B2780),1,0))</f>
        <v/>
      </c>
      <c r="K2780" s="16" t="str">
        <f aca="false">IF(B2780="","",IF(AND(D2780="Formalização",E2780="Concluído"),IF(COUNTIFS($B$2:$B$5001,B2780,$E$2:$E$5001,"Em ajustes",$A$2:$A$5001,"&lt;"&amp;I2780)&gt;0,1,0),0))</f>
        <v/>
      </c>
      <c r="L2780" s="16" t="str">
        <f aca="false">IF(B2780="","",IF(A2780=_xlfn.MAXIFS($A$2:$A$5001,$B$2:$B$5001,B2780,$I$2:$I$5001,I2780),1,0))</f>
        <v/>
      </c>
    </row>
    <row r="2781" customFormat="false" ht="15" hidden="false" customHeight="false" outlineLevel="0" collapsed="false">
      <c r="I2781" s="15" t="str">
        <f aca="false">IF(A2781="","",INT(A2781))</f>
        <v/>
      </c>
      <c r="J2781" s="16" t="str">
        <f aca="false">IF(B2781="","",IF(A2781=_xlfn.MINIFS($A$2:$A$5001,$B$2:$B$5001,B2781),1,0))</f>
        <v/>
      </c>
      <c r="K2781" s="16" t="str">
        <f aca="false">IF(B2781="","",IF(AND(D2781="Formalização",E2781="Concluído"),IF(COUNTIFS($B$2:$B$5001,B2781,$E$2:$E$5001,"Em ajustes",$A$2:$A$5001,"&lt;"&amp;I2781)&gt;0,1,0),0))</f>
        <v/>
      </c>
      <c r="L2781" s="16" t="str">
        <f aca="false">IF(B2781="","",IF(A2781=_xlfn.MAXIFS($A$2:$A$5001,$B$2:$B$5001,B2781,$I$2:$I$5001,I2781),1,0))</f>
        <v/>
      </c>
    </row>
    <row r="2782" customFormat="false" ht="15" hidden="false" customHeight="false" outlineLevel="0" collapsed="false">
      <c r="I2782" s="15" t="str">
        <f aca="false">IF(A2782="","",INT(A2782))</f>
        <v/>
      </c>
      <c r="J2782" s="16" t="str">
        <f aca="false">IF(B2782="","",IF(A2782=_xlfn.MINIFS($A$2:$A$5001,$B$2:$B$5001,B2782),1,0))</f>
        <v/>
      </c>
      <c r="K2782" s="16" t="str">
        <f aca="false">IF(B2782="","",IF(AND(D2782="Formalização",E2782="Concluído"),IF(COUNTIFS($B$2:$B$5001,B2782,$E$2:$E$5001,"Em ajustes",$A$2:$A$5001,"&lt;"&amp;I2782)&gt;0,1,0),0))</f>
        <v/>
      </c>
      <c r="L2782" s="16" t="str">
        <f aca="false">IF(B2782="","",IF(A2782=_xlfn.MAXIFS($A$2:$A$5001,$B$2:$B$5001,B2782,$I$2:$I$5001,I2782),1,0))</f>
        <v/>
      </c>
    </row>
    <row r="2783" customFormat="false" ht="15" hidden="false" customHeight="false" outlineLevel="0" collapsed="false">
      <c r="I2783" s="15" t="str">
        <f aca="false">IF(A2783="","",INT(A2783))</f>
        <v/>
      </c>
      <c r="J2783" s="16" t="str">
        <f aca="false">IF(B2783="","",IF(A2783=_xlfn.MINIFS($A$2:$A$5001,$B$2:$B$5001,B2783),1,0))</f>
        <v/>
      </c>
      <c r="K2783" s="16" t="str">
        <f aca="false">IF(B2783="","",IF(AND(D2783="Formalização",E2783="Concluído"),IF(COUNTIFS($B$2:$B$5001,B2783,$E$2:$E$5001,"Em ajustes",$A$2:$A$5001,"&lt;"&amp;I2783)&gt;0,1,0),0))</f>
        <v/>
      </c>
      <c r="L2783" s="16" t="str">
        <f aca="false">IF(B2783="","",IF(A2783=_xlfn.MAXIFS($A$2:$A$5001,$B$2:$B$5001,B2783,$I$2:$I$5001,I2783),1,0))</f>
        <v/>
      </c>
    </row>
    <row r="2784" customFormat="false" ht="15" hidden="false" customHeight="false" outlineLevel="0" collapsed="false">
      <c r="I2784" s="15" t="str">
        <f aca="false">IF(A2784="","",INT(A2784))</f>
        <v/>
      </c>
      <c r="J2784" s="16" t="str">
        <f aca="false">IF(B2784="","",IF(A2784=_xlfn.MINIFS($A$2:$A$5001,$B$2:$B$5001,B2784),1,0))</f>
        <v/>
      </c>
      <c r="K2784" s="16" t="str">
        <f aca="false">IF(B2784="","",IF(AND(D2784="Formalização",E2784="Concluído"),IF(COUNTIFS($B$2:$B$5001,B2784,$E$2:$E$5001,"Em ajustes",$A$2:$A$5001,"&lt;"&amp;I2784)&gt;0,1,0),0))</f>
        <v/>
      </c>
      <c r="L2784" s="16" t="str">
        <f aca="false">IF(B2784="","",IF(A2784=_xlfn.MAXIFS($A$2:$A$5001,$B$2:$B$5001,B2784,$I$2:$I$5001,I2784),1,0))</f>
        <v/>
      </c>
    </row>
    <row r="2785" customFormat="false" ht="15" hidden="false" customHeight="false" outlineLevel="0" collapsed="false">
      <c r="I2785" s="15" t="str">
        <f aca="false">IF(A2785="","",INT(A2785))</f>
        <v/>
      </c>
      <c r="J2785" s="16" t="str">
        <f aca="false">IF(B2785="","",IF(A2785=_xlfn.MINIFS($A$2:$A$5001,$B$2:$B$5001,B2785),1,0))</f>
        <v/>
      </c>
      <c r="K2785" s="16" t="str">
        <f aca="false">IF(B2785="","",IF(AND(D2785="Formalização",E2785="Concluído"),IF(COUNTIFS($B$2:$B$5001,B2785,$E$2:$E$5001,"Em ajustes",$A$2:$A$5001,"&lt;"&amp;I2785)&gt;0,1,0),0))</f>
        <v/>
      </c>
      <c r="L2785" s="16" t="str">
        <f aca="false">IF(B2785="","",IF(A2785=_xlfn.MAXIFS($A$2:$A$5001,$B$2:$B$5001,B2785,$I$2:$I$5001,I2785),1,0))</f>
        <v/>
      </c>
    </row>
    <row r="2786" customFormat="false" ht="15" hidden="false" customHeight="false" outlineLevel="0" collapsed="false">
      <c r="I2786" s="15" t="str">
        <f aca="false">IF(A2786="","",INT(A2786))</f>
        <v/>
      </c>
      <c r="J2786" s="16" t="str">
        <f aca="false">IF(B2786="","",IF(A2786=_xlfn.MINIFS($A$2:$A$5001,$B$2:$B$5001,B2786),1,0))</f>
        <v/>
      </c>
      <c r="K2786" s="16" t="str">
        <f aca="false">IF(B2786="","",IF(AND(D2786="Formalização",E2786="Concluído"),IF(COUNTIFS($B$2:$B$5001,B2786,$E$2:$E$5001,"Em ajustes",$A$2:$A$5001,"&lt;"&amp;I2786)&gt;0,1,0),0))</f>
        <v/>
      </c>
      <c r="L2786" s="16" t="str">
        <f aca="false">IF(B2786="","",IF(A2786=_xlfn.MAXIFS($A$2:$A$5001,$B$2:$B$5001,B2786,$I$2:$I$5001,I2786),1,0))</f>
        <v/>
      </c>
    </row>
    <row r="2787" customFormat="false" ht="15" hidden="false" customHeight="false" outlineLevel="0" collapsed="false">
      <c r="I2787" s="15" t="str">
        <f aca="false">IF(A2787="","",INT(A2787))</f>
        <v/>
      </c>
      <c r="J2787" s="16" t="str">
        <f aca="false">IF(B2787="","",IF(A2787=_xlfn.MINIFS($A$2:$A$5001,$B$2:$B$5001,B2787),1,0))</f>
        <v/>
      </c>
      <c r="K2787" s="16" t="str">
        <f aca="false">IF(B2787="","",IF(AND(D2787="Formalização",E2787="Concluído"),IF(COUNTIFS($B$2:$B$5001,B2787,$E$2:$E$5001,"Em ajustes",$A$2:$A$5001,"&lt;"&amp;I2787)&gt;0,1,0),0))</f>
        <v/>
      </c>
      <c r="L2787" s="16" t="str">
        <f aca="false">IF(B2787="","",IF(A2787=_xlfn.MAXIFS($A$2:$A$5001,$B$2:$B$5001,B2787,$I$2:$I$5001,I2787),1,0))</f>
        <v/>
      </c>
    </row>
    <row r="2788" customFormat="false" ht="15" hidden="false" customHeight="false" outlineLevel="0" collapsed="false">
      <c r="I2788" s="15" t="str">
        <f aca="false">IF(A2788="","",INT(A2788))</f>
        <v/>
      </c>
      <c r="J2788" s="16" t="str">
        <f aca="false">IF(B2788="","",IF(A2788=_xlfn.MINIFS($A$2:$A$5001,$B$2:$B$5001,B2788),1,0))</f>
        <v/>
      </c>
      <c r="K2788" s="16" t="str">
        <f aca="false">IF(B2788="","",IF(AND(D2788="Formalização",E2788="Concluído"),IF(COUNTIFS($B$2:$B$5001,B2788,$E$2:$E$5001,"Em ajustes",$A$2:$A$5001,"&lt;"&amp;I2788)&gt;0,1,0),0))</f>
        <v/>
      </c>
      <c r="L2788" s="16" t="str">
        <f aca="false">IF(B2788="","",IF(A2788=_xlfn.MAXIFS($A$2:$A$5001,$B$2:$B$5001,B2788,$I$2:$I$5001,I2788),1,0))</f>
        <v/>
      </c>
    </row>
    <row r="2789" customFormat="false" ht="15" hidden="false" customHeight="false" outlineLevel="0" collapsed="false">
      <c r="I2789" s="15" t="str">
        <f aca="false">IF(A2789="","",INT(A2789))</f>
        <v/>
      </c>
      <c r="J2789" s="16" t="str">
        <f aca="false">IF(B2789="","",IF(A2789=_xlfn.MINIFS($A$2:$A$5001,$B$2:$B$5001,B2789),1,0))</f>
        <v/>
      </c>
      <c r="K2789" s="16" t="str">
        <f aca="false">IF(B2789="","",IF(AND(D2789="Formalização",E2789="Concluído"),IF(COUNTIFS($B$2:$B$5001,B2789,$E$2:$E$5001,"Em ajustes",$A$2:$A$5001,"&lt;"&amp;I2789)&gt;0,1,0),0))</f>
        <v/>
      </c>
      <c r="L2789" s="16" t="str">
        <f aca="false">IF(B2789="","",IF(A2789=_xlfn.MAXIFS($A$2:$A$5001,$B$2:$B$5001,B2789,$I$2:$I$5001,I2789),1,0))</f>
        <v/>
      </c>
    </row>
    <row r="2790" customFormat="false" ht="15" hidden="false" customHeight="false" outlineLevel="0" collapsed="false">
      <c r="I2790" s="15" t="str">
        <f aca="false">IF(A2790="","",INT(A2790))</f>
        <v/>
      </c>
      <c r="J2790" s="16" t="str">
        <f aca="false">IF(B2790="","",IF(A2790=_xlfn.MINIFS($A$2:$A$5001,$B$2:$B$5001,B2790),1,0))</f>
        <v/>
      </c>
      <c r="K2790" s="16" t="str">
        <f aca="false">IF(B2790="","",IF(AND(D2790="Formalização",E2790="Concluído"),IF(COUNTIFS($B$2:$B$5001,B2790,$E$2:$E$5001,"Em ajustes",$A$2:$A$5001,"&lt;"&amp;I2790)&gt;0,1,0),0))</f>
        <v/>
      </c>
      <c r="L2790" s="16" t="str">
        <f aca="false">IF(B2790="","",IF(A2790=_xlfn.MAXIFS($A$2:$A$5001,$B$2:$B$5001,B2790,$I$2:$I$5001,I2790),1,0))</f>
        <v/>
      </c>
    </row>
    <row r="2791" customFormat="false" ht="15" hidden="false" customHeight="false" outlineLevel="0" collapsed="false">
      <c r="I2791" s="15" t="str">
        <f aca="false">IF(A2791="","",INT(A2791))</f>
        <v/>
      </c>
      <c r="J2791" s="16" t="str">
        <f aca="false">IF(B2791="","",IF(A2791=_xlfn.MINIFS($A$2:$A$5001,$B$2:$B$5001,B2791),1,0))</f>
        <v/>
      </c>
      <c r="K2791" s="16" t="str">
        <f aca="false">IF(B2791="","",IF(AND(D2791="Formalização",E2791="Concluído"),IF(COUNTIFS($B$2:$B$5001,B2791,$E$2:$E$5001,"Em ajustes",$A$2:$A$5001,"&lt;"&amp;I2791)&gt;0,1,0),0))</f>
        <v/>
      </c>
      <c r="L2791" s="16" t="str">
        <f aca="false">IF(B2791="","",IF(A2791=_xlfn.MAXIFS($A$2:$A$5001,$B$2:$B$5001,B2791,$I$2:$I$5001,I2791),1,0))</f>
        <v/>
      </c>
    </row>
    <row r="2792" customFormat="false" ht="15" hidden="false" customHeight="false" outlineLevel="0" collapsed="false">
      <c r="I2792" s="15" t="str">
        <f aca="false">IF(A2792="","",INT(A2792))</f>
        <v/>
      </c>
      <c r="J2792" s="16" t="str">
        <f aca="false">IF(B2792="","",IF(A2792=_xlfn.MINIFS($A$2:$A$5001,$B$2:$B$5001,B2792),1,0))</f>
        <v/>
      </c>
      <c r="K2792" s="16" t="str">
        <f aca="false">IF(B2792="","",IF(AND(D2792="Formalização",E2792="Concluído"),IF(COUNTIFS($B$2:$B$5001,B2792,$E$2:$E$5001,"Em ajustes",$A$2:$A$5001,"&lt;"&amp;I2792)&gt;0,1,0),0))</f>
        <v/>
      </c>
      <c r="L2792" s="16" t="str">
        <f aca="false">IF(B2792="","",IF(A2792=_xlfn.MAXIFS($A$2:$A$5001,$B$2:$B$5001,B2792,$I$2:$I$5001,I2792),1,0))</f>
        <v/>
      </c>
    </row>
    <row r="2793" customFormat="false" ht="15" hidden="false" customHeight="false" outlineLevel="0" collapsed="false">
      <c r="I2793" s="15" t="str">
        <f aca="false">IF(A2793="","",INT(A2793))</f>
        <v/>
      </c>
      <c r="J2793" s="16" t="str">
        <f aca="false">IF(B2793="","",IF(A2793=_xlfn.MINIFS($A$2:$A$5001,$B$2:$B$5001,B2793),1,0))</f>
        <v/>
      </c>
      <c r="K2793" s="16" t="str">
        <f aca="false">IF(B2793="","",IF(AND(D2793="Formalização",E2793="Concluído"),IF(COUNTIFS($B$2:$B$5001,B2793,$E$2:$E$5001,"Em ajustes",$A$2:$A$5001,"&lt;"&amp;I2793)&gt;0,1,0),0))</f>
        <v/>
      </c>
      <c r="L2793" s="16" t="str">
        <f aca="false">IF(B2793="","",IF(A2793=_xlfn.MAXIFS($A$2:$A$5001,$B$2:$B$5001,B2793,$I$2:$I$5001,I2793),1,0))</f>
        <v/>
      </c>
    </row>
    <row r="2794" customFormat="false" ht="15" hidden="false" customHeight="false" outlineLevel="0" collapsed="false">
      <c r="I2794" s="15" t="str">
        <f aca="false">IF(A2794="","",INT(A2794))</f>
        <v/>
      </c>
      <c r="J2794" s="16" t="str">
        <f aca="false">IF(B2794="","",IF(A2794=_xlfn.MINIFS($A$2:$A$5001,$B$2:$B$5001,B2794),1,0))</f>
        <v/>
      </c>
      <c r="K2794" s="16" t="str">
        <f aca="false">IF(B2794="","",IF(AND(D2794="Formalização",E2794="Concluído"),IF(COUNTIFS($B$2:$B$5001,B2794,$E$2:$E$5001,"Em ajustes",$A$2:$A$5001,"&lt;"&amp;I2794)&gt;0,1,0),0))</f>
        <v/>
      </c>
      <c r="L2794" s="16" t="str">
        <f aca="false">IF(B2794="","",IF(A2794=_xlfn.MAXIFS($A$2:$A$5001,$B$2:$B$5001,B2794,$I$2:$I$5001,I2794),1,0))</f>
        <v/>
      </c>
    </row>
    <row r="2795" customFormat="false" ht="15" hidden="false" customHeight="false" outlineLevel="0" collapsed="false">
      <c r="I2795" s="15" t="str">
        <f aca="false">IF(A2795="","",INT(A2795))</f>
        <v/>
      </c>
      <c r="J2795" s="16" t="str">
        <f aca="false">IF(B2795="","",IF(A2795=_xlfn.MINIFS($A$2:$A$5001,$B$2:$B$5001,B2795),1,0))</f>
        <v/>
      </c>
      <c r="K2795" s="16" t="str">
        <f aca="false">IF(B2795="","",IF(AND(D2795="Formalização",E2795="Concluído"),IF(COUNTIFS($B$2:$B$5001,B2795,$E$2:$E$5001,"Em ajustes",$A$2:$A$5001,"&lt;"&amp;I2795)&gt;0,1,0),0))</f>
        <v/>
      </c>
      <c r="L2795" s="16" t="str">
        <f aca="false">IF(B2795="","",IF(A2795=_xlfn.MAXIFS($A$2:$A$5001,$B$2:$B$5001,B2795,$I$2:$I$5001,I2795),1,0))</f>
        <v/>
      </c>
    </row>
    <row r="2796" customFormat="false" ht="15" hidden="false" customHeight="false" outlineLevel="0" collapsed="false">
      <c r="I2796" s="15" t="str">
        <f aca="false">IF(A2796="","",INT(A2796))</f>
        <v/>
      </c>
      <c r="J2796" s="16" t="str">
        <f aca="false">IF(B2796="","",IF(A2796=_xlfn.MINIFS($A$2:$A$5001,$B$2:$B$5001,B2796),1,0))</f>
        <v/>
      </c>
      <c r="K2796" s="16" t="str">
        <f aca="false">IF(B2796="","",IF(AND(D2796="Formalização",E2796="Concluído"),IF(COUNTIFS($B$2:$B$5001,B2796,$E$2:$E$5001,"Em ajustes",$A$2:$A$5001,"&lt;"&amp;I2796)&gt;0,1,0),0))</f>
        <v/>
      </c>
      <c r="L2796" s="16" t="str">
        <f aca="false">IF(B2796="","",IF(A2796=_xlfn.MAXIFS($A$2:$A$5001,$B$2:$B$5001,B2796,$I$2:$I$5001,I2796),1,0))</f>
        <v/>
      </c>
    </row>
    <row r="2797" customFormat="false" ht="15" hidden="false" customHeight="false" outlineLevel="0" collapsed="false">
      <c r="I2797" s="15" t="str">
        <f aca="false">IF(A2797="","",INT(A2797))</f>
        <v/>
      </c>
      <c r="J2797" s="16" t="str">
        <f aca="false">IF(B2797="","",IF(A2797=_xlfn.MINIFS($A$2:$A$5001,$B$2:$B$5001,B2797),1,0))</f>
        <v/>
      </c>
      <c r="K2797" s="16" t="str">
        <f aca="false">IF(B2797="","",IF(AND(D2797="Formalização",E2797="Concluído"),IF(COUNTIFS($B$2:$B$5001,B2797,$E$2:$E$5001,"Em ajustes",$A$2:$A$5001,"&lt;"&amp;I2797)&gt;0,1,0),0))</f>
        <v/>
      </c>
      <c r="L2797" s="16" t="str">
        <f aca="false">IF(B2797="","",IF(A2797=_xlfn.MAXIFS($A$2:$A$5001,$B$2:$B$5001,B2797,$I$2:$I$5001,I2797),1,0))</f>
        <v/>
      </c>
    </row>
    <row r="2798" customFormat="false" ht="15" hidden="false" customHeight="false" outlineLevel="0" collapsed="false">
      <c r="I2798" s="15" t="str">
        <f aca="false">IF(A2798="","",INT(A2798))</f>
        <v/>
      </c>
      <c r="J2798" s="16" t="str">
        <f aca="false">IF(B2798="","",IF(A2798=_xlfn.MINIFS($A$2:$A$5001,$B$2:$B$5001,B2798),1,0))</f>
        <v/>
      </c>
      <c r="K2798" s="16" t="str">
        <f aca="false">IF(B2798="","",IF(AND(D2798="Formalização",E2798="Concluído"),IF(COUNTIFS($B$2:$B$5001,B2798,$E$2:$E$5001,"Em ajustes",$A$2:$A$5001,"&lt;"&amp;I2798)&gt;0,1,0),0))</f>
        <v/>
      </c>
      <c r="L2798" s="16" t="str">
        <f aca="false">IF(B2798="","",IF(A2798=_xlfn.MAXIFS($A$2:$A$5001,$B$2:$B$5001,B2798,$I$2:$I$5001,I2798),1,0))</f>
        <v/>
      </c>
    </row>
    <row r="2799" customFormat="false" ht="15" hidden="false" customHeight="false" outlineLevel="0" collapsed="false">
      <c r="I2799" s="15" t="str">
        <f aca="false">IF(A2799="","",INT(A2799))</f>
        <v/>
      </c>
      <c r="J2799" s="16" t="str">
        <f aca="false">IF(B2799="","",IF(A2799=_xlfn.MINIFS($A$2:$A$5001,$B$2:$B$5001,B2799),1,0))</f>
        <v/>
      </c>
      <c r="K2799" s="16" t="str">
        <f aca="false">IF(B2799="","",IF(AND(D2799="Formalização",E2799="Concluído"),IF(COUNTIFS($B$2:$B$5001,B2799,$E$2:$E$5001,"Em ajustes",$A$2:$A$5001,"&lt;"&amp;I2799)&gt;0,1,0),0))</f>
        <v/>
      </c>
      <c r="L2799" s="16" t="str">
        <f aca="false">IF(B2799="","",IF(A2799=_xlfn.MAXIFS($A$2:$A$5001,$B$2:$B$5001,B2799,$I$2:$I$5001,I2799),1,0))</f>
        <v/>
      </c>
    </row>
    <row r="2800" customFormat="false" ht="15" hidden="false" customHeight="false" outlineLevel="0" collapsed="false">
      <c r="I2800" s="15" t="str">
        <f aca="false">IF(A2800="","",INT(A2800))</f>
        <v/>
      </c>
      <c r="J2800" s="16" t="str">
        <f aca="false">IF(B2800="","",IF(A2800=_xlfn.MINIFS($A$2:$A$5001,$B$2:$B$5001,B2800),1,0))</f>
        <v/>
      </c>
      <c r="K2800" s="16" t="str">
        <f aca="false">IF(B2800="","",IF(AND(D2800="Formalização",E2800="Concluído"),IF(COUNTIFS($B$2:$B$5001,B2800,$E$2:$E$5001,"Em ajustes",$A$2:$A$5001,"&lt;"&amp;I2800)&gt;0,1,0),0))</f>
        <v/>
      </c>
      <c r="L2800" s="16" t="str">
        <f aca="false">IF(B2800="","",IF(A2800=_xlfn.MAXIFS($A$2:$A$5001,$B$2:$B$5001,B2800,$I$2:$I$5001,I2800),1,0))</f>
        <v/>
      </c>
    </row>
    <row r="2801" customFormat="false" ht="15" hidden="false" customHeight="false" outlineLevel="0" collapsed="false">
      <c r="I2801" s="15" t="str">
        <f aca="false">IF(A2801="","",INT(A2801))</f>
        <v/>
      </c>
      <c r="J2801" s="16" t="str">
        <f aca="false">IF(B2801="","",IF(A2801=_xlfn.MINIFS($A$2:$A$5001,$B$2:$B$5001,B2801),1,0))</f>
        <v/>
      </c>
      <c r="K2801" s="16" t="str">
        <f aca="false">IF(B2801="","",IF(AND(D2801="Formalização",E2801="Concluído"),IF(COUNTIFS($B$2:$B$5001,B2801,$E$2:$E$5001,"Em ajustes",$A$2:$A$5001,"&lt;"&amp;I2801)&gt;0,1,0),0))</f>
        <v/>
      </c>
      <c r="L2801" s="16" t="str">
        <f aca="false">IF(B2801="","",IF(A2801=_xlfn.MAXIFS($A$2:$A$5001,$B$2:$B$5001,B2801,$I$2:$I$5001,I2801),1,0))</f>
        <v/>
      </c>
    </row>
    <row r="2802" customFormat="false" ht="15" hidden="false" customHeight="false" outlineLevel="0" collapsed="false">
      <c r="I2802" s="15" t="str">
        <f aca="false">IF(A2802="","",INT(A2802))</f>
        <v/>
      </c>
      <c r="J2802" s="16" t="str">
        <f aca="false">IF(B2802="","",IF(A2802=_xlfn.MINIFS($A$2:$A$5001,$B$2:$B$5001,B2802),1,0))</f>
        <v/>
      </c>
      <c r="K2802" s="16" t="str">
        <f aca="false">IF(B2802="","",IF(AND(D2802="Formalização",E2802="Concluído"),IF(COUNTIFS($B$2:$B$5001,B2802,$E$2:$E$5001,"Em ajustes",$A$2:$A$5001,"&lt;"&amp;I2802)&gt;0,1,0),0))</f>
        <v/>
      </c>
      <c r="L2802" s="16" t="str">
        <f aca="false">IF(B2802="","",IF(A2802=_xlfn.MAXIFS($A$2:$A$5001,$B$2:$B$5001,B2802,$I$2:$I$5001,I2802),1,0))</f>
        <v/>
      </c>
    </row>
    <row r="2803" customFormat="false" ht="15" hidden="false" customHeight="false" outlineLevel="0" collapsed="false">
      <c r="I2803" s="15" t="str">
        <f aca="false">IF(A2803="","",INT(A2803))</f>
        <v/>
      </c>
      <c r="J2803" s="16" t="str">
        <f aca="false">IF(B2803="","",IF(A2803=_xlfn.MINIFS($A$2:$A$5001,$B$2:$B$5001,B2803),1,0))</f>
        <v/>
      </c>
      <c r="K2803" s="16" t="str">
        <f aca="false">IF(B2803="","",IF(AND(D2803="Formalização",E2803="Concluído"),IF(COUNTIFS($B$2:$B$5001,B2803,$E$2:$E$5001,"Em ajustes",$A$2:$A$5001,"&lt;"&amp;I2803)&gt;0,1,0),0))</f>
        <v/>
      </c>
      <c r="L2803" s="16" t="str">
        <f aca="false">IF(B2803="","",IF(A2803=_xlfn.MAXIFS($A$2:$A$5001,$B$2:$B$5001,B2803,$I$2:$I$5001,I2803),1,0))</f>
        <v/>
      </c>
    </row>
    <row r="2804" customFormat="false" ht="15" hidden="false" customHeight="false" outlineLevel="0" collapsed="false">
      <c r="I2804" s="15" t="str">
        <f aca="false">IF(A2804="","",INT(A2804))</f>
        <v/>
      </c>
      <c r="J2804" s="16" t="str">
        <f aca="false">IF(B2804="","",IF(A2804=_xlfn.MINIFS($A$2:$A$5001,$B$2:$B$5001,B2804),1,0))</f>
        <v/>
      </c>
      <c r="K2804" s="16" t="str">
        <f aca="false">IF(B2804="","",IF(AND(D2804="Formalização",E2804="Concluído"),IF(COUNTIFS($B$2:$B$5001,B2804,$E$2:$E$5001,"Em ajustes",$A$2:$A$5001,"&lt;"&amp;I2804)&gt;0,1,0),0))</f>
        <v/>
      </c>
      <c r="L2804" s="16" t="str">
        <f aca="false">IF(B2804="","",IF(A2804=_xlfn.MAXIFS($A$2:$A$5001,$B$2:$B$5001,B2804,$I$2:$I$5001,I2804),1,0))</f>
        <v/>
      </c>
    </row>
    <row r="2805" customFormat="false" ht="15" hidden="false" customHeight="false" outlineLevel="0" collapsed="false">
      <c r="I2805" s="15" t="str">
        <f aca="false">IF(A2805="","",INT(A2805))</f>
        <v/>
      </c>
      <c r="J2805" s="16" t="str">
        <f aca="false">IF(B2805="","",IF(A2805=_xlfn.MINIFS($A$2:$A$5001,$B$2:$B$5001,B2805),1,0))</f>
        <v/>
      </c>
      <c r="K2805" s="16" t="str">
        <f aca="false">IF(B2805="","",IF(AND(D2805="Formalização",E2805="Concluído"),IF(COUNTIFS($B$2:$B$5001,B2805,$E$2:$E$5001,"Em ajustes",$A$2:$A$5001,"&lt;"&amp;I2805)&gt;0,1,0),0))</f>
        <v/>
      </c>
      <c r="L2805" s="16" t="str">
        <f aca="false">IF(B2805="","",IF(A2805=_xlfn.MAXIFS($A$2:$A$5001,$B$2:$B$5001,B2805,$I$2:$I$5001,I2805),1,0))</f>
        <v/>
      </c>
    </row>
    <row r="2806" customFormat="false" ht="15" hidden="false" customHeight="false" outlineLevel="0" collapsed="false">
      <c r="I2806" s="15" t="str">
        <f aca="false">IF(A2806="","",INT(A2806))</f>
        <v/>
      </c>
      <c r="J2806" s="16" t="str">
        <f aca="false">IF(B2806="","",IF(A2806=_xlfn.MINIFS($A$2:$A$5001,$B$2:$B$5001,B2806),1,0))</f>
        <v/>
      </c>
      <c r="K2806" s="16" t="str">
        <f aca="false">IF(B2806="","",IF(AND(D2806="Formalização",E2806="Concluído"),IF(COUNTIFS($B$2:$B$5001,B2806,$E$2:$E$5001,"Em ajustes",$A$2:$A$5001,"&lt;"&amp;I2806)&gt;0,1,0),0))</f>
        <v/>
      </c>
      <c r="L2806" s="16" t="str">
        <f aca="false">IF(B2806="","",IF(A2806=_xlfn.MAXIFS($A$2:$A$5001,$B$2:$B$5001,B2806,$I$2:$I$5001,I2806),1,0))</f>
        <v/>
      </c>
    </row>
    <row r="2807" customFormat="false" ht="15" hidden="false" customHeight="false" outlineLevel="0" collapsed="false">
      <c r="I2807" s="15" t="str">
        <f aca="false">IF(A2807="","",INT(A2807))</f>
        <v/>
      </c>
      <c r="J2807" s="16" t="str">
        <f aca="false">IF(B2807="","",IF(A2807=_xlfn.MINIFS($A$2:$A$5001,$B$2:$B$5001,B2807),1,0))</f>
        <v/>
      </c>
      <c r="K2807" s="16" t="str">
        <f aca="false">IF(B2807="","",IF(AND(D2807="Formalização",E2807="Concluído"),IF(COUNTIFS($B$2:$B$5001,B2807,$E$2:$E$5001,"Em ajustes",$A$2:$A$5001,"&lt;"&amp;I2807)&gt;0,1,0),0))</f>
        <v/>
      </c>
      <c r="L2807" s="16" t="str">
        <f aca="false">IF(B2807="","",IF(A2807=_xlfn.MAXIFS($A$2:$A$5001,$B$2:$B$5001,B2807,$I$2:$I$5001,I2807),1,0))</f>
        <v/>
      </c>
    </row>
    <row r="2808" customFormat="false" ht="15" hidden="false" customHeight="false" outlineLevel="0" collapsed="false">
      <c r="I2808" s="15" t="str">
        <f aca="false">IF(A2808="","",INT(A2808))</f>
        <v/>
      </c>
      <c r="J2808" s="16" t="str">
        <f aca="false">IF(B2808="","",IF(A2808=_xlfn.MINIFS($A$2:$A$5001,$B$2:$B$5001,B2808),1,0))</f>
        <v/>
      </c>
      <c r="K2808" s="16" t="str">
        <f aca="false">IF(B2808="","",IF(AND(D2808="Formalização",E2808="Concluído"),IF(COUNTIFS($B$2:$B$5001,B2808,$E$2:$E$5001,"Em ajustes",$A$2:$A$5001,"&lt;"&amp;I2808)&gt;0,1,0),0))</f>
        <v/>
      </c>
      <c r="L2808" s="16" t="str">
        <f aca="false">IF(B2808="","",IF(A2808=_xlfn.MAXIFS($A$2:$A$5001,$B$2:$B$5001,B2808,$I$2:$I$5001,I2808),1,0))</f>
        <v/>
      </c>
    </row>
    <row r="2809" customFormat="false" ht="15" hidden="false" customHeight="false" outlineLevel="0" collapsed="false">
      <c r="I2809" s="15" t="str">
        <f aca="false">IF(A2809="","",INT(A2809))</f>
        <v/>
      </c>
      <c r="J2809" s="16" t="str">
        <f aca="false">IF(B2809="","",IF(A2809=_xlfn.MINIFS($A$2:$A$5001,$B$2:$B$5001,B2809),1,0))</f>
        <v/>
      </c>
      <c r="K2809" s="16" t="str">
        <f aca="false">IF(B2809="","",IF(AND(D2809="Formalização",E2809="Concluído"),IF(COUNTIFS($B$2:$B$5001,B2809,$E$2:$E$5001,"Em ajustes",$A$2:$A$5001,"&lt;"&amp;I2809)&gt;0,1,0),0))</f>
        <v/>
      </c>
      <c r="L2809" s="16" t="str">
        <f aca="false">IF(B2809="","",IF(A2809=_xlfn.MAXIFS($A$2:$A$5001,$B$2:$B$5001,B2809,$I$2:$I$5001,I2809),1,0))</f>
        <v/>
      </c>
    </row>
    <row r="2810" customFormat="false" ht="15" hidden="false" customHeight="false" outlineLevel="0" collapsed="false">
      <c r="I2810" s="15" t="str">
        <f aca="false">IF(A2810="","",INT(A2810))</f>
        <v/>
      </c>
      <c r="J2810" s="16" t="str">
        <f aca="false">IF(B2810="","",IF(A2810=_xlfn.MINIFS($A$2:$A$5001,$B$2:$B$5001,B2810),1,0))</f>
        <v/>
      </c>
      <c r="K2810" s="16" t="str">
        <f aca="false">IF(B2810="","",IF(AND(D2810="Formalização",E2810="Concluído"),IF(COUNTIFS($B$2:$B$5001,B2810,$E$2:$E$5001,"Em ajustes",$A$2:$A$5001,"&lt;"&amp;I2810)&gt;0,1,0),0))</f>
        <v/>
      </c>
      <c r="L2810" s="16" t="str">
        <f aca="false">IF(B2810="","",IF(A2810=_xlfn.MAXIFS($A$2:$A$5001,$B$2:$B$5001,B2810,$I$2:$I$5001,I2810),1,0))</f>
        <v/>
      </c>
    </row>
    <row r="2811" customFormat="false" ht="15" hidden="false" customHeight="false" outlineLevel="0" collapsed="false">
      <c r="I2811" s="15" t="str">
        <f aca="false">IF(A2811="","",INT(A2811))</f>
        <v/>
      </c>
      <c r="J2811" s="16" t="str">
        <f aca="false">IF(B2811="","",IF(A2811=_xlfn.MINIFS($A$2:$A$5001,$B$2:$B$5001,B2811),1,0))</f>
        <v/>
      </c>
      <c r="K2811" s="16" t="str">
        <f aca="false">IF(B2811="","",IF(AND(D2811="Formalização",E2811="Concluído"),IF(COUNTIFS($B$2:$B$5001,B2811,$E$2:$E$5001,"Em ajustes",$A$2:$A$5001,"&lt;"&amp;I2811)&gt;0,1,0),0))</f>
        <v/>
      </c>
      <c r="L2811" s="16" t="str">
        <f aca="false">IF(B2811="","",IF(A2811=_xlfn.MAXIFS($A$2:$A$5001,$B$2:$B$5001,B2811,$I$2:$I$5001,I2811),1,0))</f>
        <v/>
      </c>
    </row>
    <row r="2812" customFormat="false" ht="15" hidden="false" customHeight="false" outlineLevel="0" collapsed="false">
      <c r="I2812" s="15" t="str">
        <f aca="false">IF(A2812="","",INT(A2812))</f>
        <v/>
      </c>
      <c r="J2812" s="16" t="str">
        <f aca="false">IF(B2812="","",IF(A2812=_xlfn.MINIFS($A$2:$A$5001,$B$2:$B$5001,B2812),1,0))</f>
        <v/>
      </c>
      <c r="K2812" s="16" t="str">
        <f aca="false">IF(B2812="","",IF(AND(D2812="Formalização",E2812="Concluído"),IF(COUNTIFS($B$2:$B$5001,B2812,$E$2:$E$5001,"Em ajustes",$A$2:$A$5001,"&lt;"&amp;I2812)&gt;0,1,0),0))</f>
        <v/>
      </c>
      <c r="L2812" s="16" t="str">
        <f aca="false">IF(B2812="","",IF(A2812=_xlfn.MAXIFS($A$2:$A$5001,$B$2:$B$5001,B2812,$I$2:$I$5001,I2812),1,0))</f>
        <v/>
      </c>
    </row>
    <row r="2813" customFormat="false" ht="15" hidden="false" customHeight="false" outlineLevel="0" collapsed="false">
      <c r="I2813" s="15" t="str">
        <f aca="false">IF(A2813="","",INT(A2813))</f>
        <v/>
      </c>
      <c r="J2813" s="16" t="str">
        <f aca="false">IF(B2813="","",IF(A2813=_xlfn.MINIFS($A$2:$A$5001,$B$2:$B$5001,B2813),1,0))</f>
        <v/>
      </c>
      <c r="K2813" s="16" t="str">
        <f aca="false">IF(B2813="","",IF(AND(D2813="Formalização",E2813="Concluído"),IF(COUNTIFS($B$2:$B$5001,B2813,$E$2:$E$5001,"Em ajustes",$A$2:$A$5001,"&lt;"&amp;I2813)&gt;0,1,0),0))</f>
        <v/>
      </c>
      <c r="L2813" s="16" t="str">
        <f aca="false">IF(B2813="","",IF(A2813=_xlfn.MAXIFS($A$2:$A$5001,$B$2:$B$5001,B2813,$I$2:$I$5001,I2813),1,0))</f>
        <v/>
      </c>
    </row>
    <row r="2814" customFormat="false" ht="15" hidden="false" customHeight="false" outlineLevel="0" collapsed="false">
      <c r="I2814" s="15" t="str">
        <f aca="false">IF(A2814="","",INT(A2814))</f>
        <v/>
      </c>
      <c r="J2814" s="16" t="str">
        <f aca="false">IF(B2814="","",IF(A2814=_xlfn.MINIFS($A$2:$A$5001,$B$2:$B$5001,B2814),1,0))</f>
        <v/>
      </c>
      <c r="K2814" s="16" t="str">
        <f aca="false">IF(B2814="","",IF(AND(D2814="Formalização",E2814="Concluído"),IF(COUNTIFS($B$2:$B$5001,B2814,$E$2:$E$5001,"Em ajustes",$A$2:$A$5001,"&lt;"&amp;I2814)&gt;0,1,0),0))</f>
        <v/>
      </c>
      <c r="L2814" s="16" t="str">
        <f aca="false">IF(B2814="","",IF(A2814=_xlfn.MAXIFS($A$2:$A$5001,$B$2:$B$5001,B2814,$I$2:$I$5001,I2814),1,0))</f>
        <v/>
      </c>
    </row>
    <row r="2815" customFormat="false" ht="15" hidden="false" customHeight="false" outlineLevel="0" collapsed="false">
      <c r="I2815" s="15" t="str">
        <f aca="false">IF(A2815="","",INT(A2815))</f>
        <v/>
      </c>
      <c r="J2815" s="16" t="str">
        <f aca="false">IF(B2815="","",IF(A2815=_xlfn.MINIFS($A$2:$A$5001,$B$2:$B$5001,B2815),1,0))</f>
        <v/>
      </c>
      <c r="K2815" s="16" t="str">
        <f aca="false">IF(B2815="","",IF(AND(D2815="Formalização",E2815="Concluído"),IF(COUNTIFS($B$2:$B$5001,B2815,$E$2:$E$5001,"Em ajustes",$A$2:$A$5001,"&lt;"&amp;I2815)&gt;0,1,0),0))</f>
        <v/>
      </c>
      <c r="L2815" s="16" t="str">
        <f aca="false">IF(B2815="","",IF(A2815=_xlfn.MAXIFS($A$2:$A$5001,$B$2:$B$5001,B2815,$I$2:$I$5001,I2815),1,0))</f>
        <v/>
      </c>
    </row>
    <row r="2816" customFormat="false" ht="15" hidden="false" customHeight="false" outlineLevel="0" collapsed="false">
      <c r="I2816" s="15" t="str">
        <f aca="false">IF(A2816="","",INT(A2816))</f>
        <v/>
      </c>
      <c r="J2816" s="16" t="str">
        <f aca="false">IF(B2816="","",IF(A2816=_xlfn.MINIFS($A$2:$A$5001,$B$2:$B$5001,B2816),1,0))</f>
        <v/>
      </c>
      <c r="K2816" s="16" t="str">
        <f aca="false">IF(B2816="","",IF(AND(D2816="Formalização",E2816="Concluído"),IF(COUNTIFS($B$2:$B$5001,B2816,$E$2:$E$5001,"Em ajustes",$A$2:$A$5001,"&lt;"&amp;I2816)&gt;0,1,0),0))</f>
        <v/>
      </c>
      <c r="L2816" s="16" t="str">
        <f aca="false">IF(B2816="","",IF(A2816=_xlfn.MAXIFS($A$2:$A$5001,$B$2:$B$5001,B2816,$I$2:$I$5001,I2816),1,0))</f>
        <v/>
      </c>
    </row>
    <row r="2817" customFormat="false" ht="15" hidden="false" customHeight="false" outlineLevel="0" collapsed="false">
      <c r="I2817" s="15" t="str">
        <f aca="false">IF(A2817="","",INT(A2817))</f>
        <v/>
      </c>
      <c r="J2817" s="16" t="str">
        <f aca="false">IF(B2817="","",IF(A2817=_xlfn.MINIFS($A$2:$A$5001,$B$2:$B$5001,B2817),1,0))</f>
        <v/>
      </c>
      <c r="K2817" s="16" t="str">
        <f aca="false">IF(B2817="","",IF(AND(D2817="Formalização",E2817="Concluído"),IF(COUNTIFS($B$2:$B$5001,B2817,$E$2:$E$5001,"Em ajustes",$A$2:$A$5001,"&lt;"&amp;I2817)&gt;0,1,0),0))</f>
        <v/>
      </c>
      <c r="L2817" s="16" t="str">
        <f aca="false">IF(B2817="","",IF(A2817=_xlfn.MAXIFS($A$2:$A$5001,$B$2:$B$5001,B2817,$I$2:$I$5001,I2817),1,0))</f>
        <v/>
      </c>
    </row>
    <row r="2818" customFormat="false" ht="15" hidden="false" customHeight="false" outlineLevel="0" collapsed="false">
      <c r="I2818" s="15" t="str">
        <f aca="false">IF(A2818="","",INT(A2818))</f>
        <v/>
      </c>
      <c r="J2818" s="16" t="str">
        <f aca="false">IF(B2818="","",IF(A2818=_xlfn.MINIFS($A$2:$A$5001,$B$2:$B$5001,B2818),1,0))</f>
        <v/>
      </c>
      <c r="K2818" s="16" t="str">
        <f aca="false">IF(B2818="","",IF(AND(D2818="Formalização",E2818="Concluído"),IF(COUNTIFS($B$2:$B$5001,B2818,$E$2:$E$5001,"Em ajustes",$A$2:$A$5001,"&lt;"&amp;I2818)&gt;0,1,0),0))</f>
        <v/>
      </c>
      <c r="L2818" s="16" t="str">
        <f aca="false">IF(B2818="","",IF(A2818=_xlfn.MAXIFS($A$2:$A$5001,$B$2:$B$5001,B2818,$I$2:$I$5001,I2818),1,0))</f>
        <v/>
      </c>
    </row>
    <row r="2819" customFormat="false" ht="15" hidden="false" customHeight="false" outlineLevel="0" collapsed="false">
      <c r="I2819" s="15" t="str">
        <f aca="false">IF(A2819="","",INT(A2819))</f>
        <v/>
      </c>
      <c r="J2819" s="16" t="str">
        <f aca="false">IF(B2819="","",IF(A2819=_xlfn.MINIFS($A$2:$A$5001,$B$2:$B$5001,B2819),1,0))</f>
        <v/>
      </c>
      <c r="K2819" s="16" t="str">
        <f aca="false">IF(B2819="","",IF(AND(D2819="Formalização",E2819="Concluído"),IF(COUNTIFS($B$2:$B$5001,B2819,$E$2:$E$5001,"Em ajustes",$A$2:$A$5001,"&lt;"&amp;I2819)&gt;0,1,0),0))</f>
        <v/>
      </c>
      <c r="L2819" s="16" t="str">
        <f aca="false">IF(B2819="","",IF(A2819=_xlfn.MAXIFS($A$2:$A$5001,$B$2:$B$5001,B2819,$I$2:$I$5001,I2819),1,0))</f>
        <v/>
      </c>
    </row>
    <row r="2820" customFormat="false" ht="15" hidden="false" customHeight="false" outlineLevel="0" collapsed="false">
      <c r="I2820" s="15" t="str">
        <f aca="false">IF(A2820="","",INT(A2820))</f>
        <v/>
      </c>
      <c r="J2820" s="16" t="str">
        <f aca="false">IF(B2820="","",IF(A2820=_xlfn.MINIFS($A$2:$A$5001,$B$2:$B$5001,B2820),1,0))</f>
        <v/>
      </c>
      <c r="K2820" s="16" t="str">
        <f aca="false">IF(B2820="","",IF(AND(D2820="Formalização",E2820="Concluído"),IF(COUNTIFS($B$2:$B$5001,B2820,$E$2:$E$5001,"Em ajustes",$A$2:$A$5001,"&lt;"&amp;I2820)&gt;0,1,0),0))</f>
        <v/>
      </c>
      <c r="L2820" s="16" t="str">
        <f aca="false">IF(B2820="","",IF(A2820=_xlfn.MAXIFS($A$2:$A$5001,$B$2:$B$5001,B2820,$I$2:$I$5001,I2820),1,0))</f>
        <v/>
      </c>
    </row>
    <row r="2821" customFormat="false" ht="15" hidden="false" customHeight="false" outlineLevel="0" collapsed="false">
      <c r="I2821" s="15" t="str">
        <f aca="false">IF(A2821="","",INT(A2821))</f>
        <v/>
      </c>
      <c r="J2821" s="16" t="str">
        <f aca="false">IF(B2821="","",IF(A2821=_xlfn.MINIFS($A$2:$A$5001,$B$2:$B$5001,B2821),1,0))</f>
        <v/>
      </c>
      <c r="K2821" s="16" t="str">
        <f aca="false">IF(B2821="","",IF(AND(D2821="Formalização",E2821="Concluído"),IF(COUNTIFS($B$2:$B$5001,B2821,$E$2:$E$5001,"Em ajustes",$A$2:$A$5001,"&lt;"&amp;I2821)&gt;0,1,0),0))</f>
        <v/>
      </c>
      <c r="L2821" s="16" t="str">
        <f aca="false">IF(B2821="","",IF(A2821=_xlfn.MAXIFS($A$2:$A$5001,$B$2:$B$5001,B2821,$I$2:$I$5001,I2821),1,0))</f>
        <v/>
      </c>
    </row>
    <row r="2822" customFormat="false" ht="15" hidden="false" customHeight="false" outlineLevel="0" collapsed="false">
      <c r="I2822" s="15" t="str">
        <f aca="false">IF(A2822="","",INT(A2822))</f>
        <v/>
      </c>
      <c r="J2822" s="16" t="str">
        <f aca="false">IF(B2822="","",IF(A2822=_xlfn.MINIFS($A$2:$A$5001,$B$2:$B$5001,B2822),1,0))</f>
        <v/>
      </c>
      <c r="K2822" s="16" t="str">
        <f aca="false">IF(B2822="","",IF(AND(D2822="Formalização",E2822="Concluído"),IF(COUNTIFS($B$2:$B$5001,B2822,$E$2:$E$5001,"Em ajustes",$A$2:$A$5001,"&lt;"&amp;I2822)&gt;0,1,0),0))</f>
        <v/>
      </c>
      <c r="L2822" s="16" t="str">
        <f aca="false">IF(B2822="","",IF(A2822=_xlfn.MAXIFS($A$2:$A$5001,$B$2:$B$5001,B2822,$I$2:$I$5001,I2822),1,0))</f>
        <v/>
      </c>
    </row>
    <row r="2823" customFormat="false" ht="15" hidden="false" customHeight="false" outlineLevel="0" collapsed="false">
      <c r="I2823" s="15" t="str">
        <f aca="false">IF(A2823="","",INT(A2823))</f>
        <v/>
      </c>
      <c r="J2823" s="16" t="str">
        <f aca="false">IF(B2823="","",IF(A2823=_xlfn.MINIFS($A$2:$A$5001,$B$2:$B$5001,B2823),1,0))</f>
        <v/>
      </c>
      <c r="K2823" s="16" t="str">
        <f aca="false">IF(B2823="","",IF(AND(D2823="Formalização",E2823="Concluído"),IF(COUNTIFS($B$2:$B$5001,B2823,$E$2:$E$5001,"Em ajustes",$A$2:$A$5001,"&lt;"&amp;I2823)&gt;0,1,0),0))</f>
        <v/>
      </c>
      <c r="L2823" s="16" t="str">
        <f aca="false">IF(B2823="","",IF(A2823=_xlfn.MAXIFS($A$2:$A$5001,$B$2:$B$5001,B2823,$I$2:$I$5001,I2823),1,0))</f>
        <v/>
      </c>
    </row>
    <row r="2824" customFormat="false" ht="15" hidden="false" customHeight="false" outlineLevel="0" collapsed="false">
      <c r="I2824" s="15" t="str">
        <f aca="false">IF(A2824="","",INT(A2824))</f>
        <v/>
      </c>
      <c r="J2824" s="16" t="str">
        <f aca="false">IF(B2824="","",IF(A2824=_xlfn.MINIFS($A$2:$A$5001,$B$2:$B$5001,B2824),1,0))</f>
        <v/>
      </c>
      <c r="K2824" s="16" t="str">
        <f aca="false">IF(B2824="","",IF(AND(D2824="Formalização",E2824="Concluído"),IF(COUNTIFS($B$2:$B$5001,B2824,$E$2:$E$5001,"Em ajustes",$A$2:$A$5001,"&lt;"&amp;I2824)&gt;0,1,0),0))</f>
        <v/>
      </c>
      <c r="L2824" s="16" t="str">
        <f aca="false">IF(B2824="","",IF(A2824=_xlfn.MAXIFS($A$2:$A$5001,$B$2:$B$5001,B2824,$I$2:$I$5001,I2824),1,0))</f>
        <v/>
      </c>
    </row>
    <row r="2825" customFormat="false" ht="15" hidden="false" customHeight="false" outlineLevel="0" collapsed="false">
      <c r="I2825" s="15" t="str">
        <f aca="false">IF(A2825="","",INT(A2825))</f>
        <v/>
      </c>
      <c r="J2825" s="16" t="str">
        <f aca="false">IF(B2825="","",IF(A2825=_xlfn.MINIFS($A$2:$A$5001,$B$2:$B$5001,B2825),1,0))</f>
        <v/>
      </c>
      <c r="K2825" s="16" t="str">
        <f aca="false">IF(B2825="","",IF(AND(D2825="Formalização",E2825="Concluído"),IF(COUNTIFS($B$2:$B$5001,B2825,$E$2:$E$5001,"Em ajustes",$A$2:$A$5001,"&lt;"&amp;I2825)&gt;0,1,0),0))</f>
        <v/>
      </c>
      <c r="L2825" s="16" t="str">
        <f aca="false">IF(B2825="","",IF(A2825=_xlfn.MAXIFS($A$2:$A$5001,$B$2:$B$5001,B2825,$I$2:$I$5001,I2825),1,0))</f>
        <v/>
      </c>
    </row>
    <row r="2826" customFormat="false" ht="15" hidden="false" customHeight="false" outlineLevel="0" collapsed="false">
      <c r="I2826" s="15" t="str">
        <f aca="false">IF(A2826="","",INT(A2826))</f>
        <v/>
      </c>
      <c r="J2826" s="16" t="str">
        <f aca="false">IF(B2826="","",IF(A2826=_xlfn.MINIFS($A$2:$A$5001,$B$2:$B$5001,B2826),1,0))</f>
        <v/>
      </c>
      <c r="K2826" s="16" t="str">
        <f aca="false">IF(B2826="","",IF(AND(D2826="Formalização",E2826="Concluído"),IF(COUNTIFS($B$2:$B$5001,B2826,$E$2:$E$5001,"Em ajustes",$A$2:$A$5001,"&lt;"&amp;I2826)&gt;0,1,0),0))</f>
        <v/>
      </c>
      <c r="L2826" s="16" t="str">
        <f aca="false">IF(B2826="","",IF(A2826=_xlfn.MAXIFS($A$2:$A$5001,$B$2:$B$5001,B2826,$I$2:$I$5001,I2826),1,0))</f>
        <v/>
      </c>
    </row>
    <row r="2827" customFormat="false" ht="15" hidden="false" customHeight="false" outlineLevel="0" collapsed="false">
      <c r="I2827" s="15" t="str">
        <f aca="false">IF(A2827="","",INT(A2827))</f>
        <v/>
      </c>
      <c r="J2827" s="16" t="str">
        <f aca="false">IF(B2827="","",IF(A2827=_xlfn.MINIFS($A$2:$A$5001,$B$2:$B$5001,B2827),1,0))</f>
        <v/>
      </c>
      <c r="K2827" s="16" t="str">
        <f aca="false">IF(B2827="","",IF(AND(D2827="Formalização",E2827="Concluído"),IF(COUNTIFS($B$2:$B$5001,B2827,$E$2:$E$5001,"Em ajustes",$A$2:$A$5001,"&lt;"&amp;I2827)&gt;0,1,0),0))</f>
        <v/>
      </c>
      <c r="L2827" s="16" t="str">
        <f aca="false">IF(B2827="","",IF(A2827=_xlfn.MAXIFS($A$2:$A$5001,$B$2:$B$5001,B2827,$I$2:$I$5001,I2827),1,0))</f>
        <v/>
      </c>
    </row>
    <row r="2828" customFormat="false" ht="15" hidden="false" customHeight="false" outlineLevel="0" collapsed="false">
      <c r="I2828" s="15" t="str">
        <f aca="false">IF(A2828="","",INT(A2828))</f>
        <v/>
      </c>
      <c r="J2828" s="16" t="str">
        <f aca="false">IF(B2828="","",IF(A2828=_xlfn.MINIFS($A$2:$A$5001,$B$2:$B$5001,B2828),1,0))</f>
        <v/>
      </c>
      <c r="K2828" s="16" t="str">
        <f aca="false">IF(B2828="","",IF(AND(D2828="Formalização",E2828="Concluído"),IF(COUNTIFS($B$2:$B$5001,B2828,$E$2:$E$5001,"Em ajustes",$A$2:$A$5001,"&lt;"&amp;I2828)&gt;0,1,0),0))</f>
        <v/>
      </c>
      <c r="L2828" s="16" t="str">
        <f aca="false">IF(B2828="","",IF(A2828=_xlfn.MAXIFS($A$2:$A$5001,$B$2:$B$5001,B2828,$I$2:$I$5001,I2828),1,0))</f>
        <v/>
      </c>
    </row>
    <row r="2829" customFormat="false" ht="15" hidden="false" customHeight="false" outlineLevel="0" collapsed="false">
      <c r="I2829" s="15" t="str">
        <f aca="false">IF(A2829="","",INT(A2829))</f>
        <v/>
      </c>
      <c r="J2829" s="16" t="str">
        <f aca="false">IF(B2829="","",IF(A2829=_xlfn.MINIFS($A$2:$A$5001,$B$2:$B$5001,B2829),1,0))</f>
        <v/>
      </c>
      <c r="K2829" s="16" t="str">
        <f aca="false">IF(B2829="","",IF(AND(D2829="Formalização",E2829="Concluído"),IF(COUNTIFS($B$2:$B$5001,B2829,$E$2:$E$5001,"Em ajustes",$A$2:$A$5001,"&lt;"&amp;I2829)&gt;0,1,0),0))</f>
        <v/>
      </c>
      <c r="L2829" s="16" t="str">
        <f aca="false">IF(B2829="","",IF(A2829=_xlfn.MAXIFS($A$2:$A$5001,$B$2:$B$5001,B2829,$I$2:$I$5001,I2829),1,0))</f>
        <v/>
      </c>
    </row>
    <row r="2830" customFormat="false" ht="15" hidden="false" customHeight="false" outlineLevel="0" collapsed="false">
      <c r="I2830" s="15" t="str">
        <f aca="false">IF(A2830="","",INT(A2830))</f>
        <v/>
      </c>
      <c r="J2830" s="16" t="str">
        <f aca="false">IF(B2830="","",IF(A2830=_xlfn.MINIFS($A$2:$A$5001,$B$2:$B$5001,B2830),1,0))</f>
        <v/>
      </c>
      <c r="K2830" s="16" t="str">
        <f aca="false">IF(B2830="","",IF(AND(D2830="Formalização",E2830="Concluído"),IF(COUNTIFS($B$2:$B$5001,B2830,$E$2:$E$5001,"Em ajustes",$A$2:$A$5001,"&lt;"&amp;I2830)&gt;0,1,0),0))</f>
        <v/>
      </c>
      <c r="L2830" s="16" t="str">
        <f aca="false">IF(B2830="","",IF(A2830=_xlfn.MAXIFS($A$2:$A$5001,$B$2:$B$5001,B2830,$I$2:$I$5001,I2830),1,0))</f>
        <v/>
      </c>
    </row>
    <row r="2831" customFormat="false" ht="15" hidden="false" customHeight="false" outlineLevel="0" collapsed="false">
      <c r="I2831" s="15" t="str">
        <f aca="false">IF(A2831="","",INT(A2831))</f>
        <v/>
      </c>
      <c r="J2831" s="16" t="str">
        <f aca="false">IF(B2831="","",IF(A2831=_xlfn.MINIFS($A$2:$A$5001,$B$2:$B$5001,B2831),1,0))</f>
        <v/>
      </c>
      <c r="K2831" s="16" t="str">
        <f aca="false">IF(B2831="","",IF(AND(D2831="Formalização",E2831="Concluído"),IF(COUNTIFS($B$2:$B$5001,B2831,$E$2:$E$5001,"Em ajustes",$A$2:$A$5001,"&lt;"&amp;I2831)&gt;0,1,0),0))</f>
        <v/>
      </c>
      <c r="L2831" s="16" t="str">
        <f aca="false">IF(B2831="","",IF(A2831=_xlfn.MAXIFS($A$2:$A$5001,$B$2:$B$5001,B2831,$I$2:$I$5001,I2831),1,0))</f>
        <v/>
      </c>
    </row>
    <row r="2832" customFormat="false" ht="15" hidden="false" customHeight="false" outlineLevel="0" collapsed="false">
      <c r="I2832" s="15" t="str">
        <f aca="false">IF(A2832="","",INT(A2832))</f>
        <v/>
      </c>
      <c r="J2832" s="16" t="str">
        <f aca="false">IF(B2832="","",IF(A2832=_xlfn.MINIFS($A$2:$A$5001,$B$2:$B$5001,B2832),1,0))</f>
        <v/>
      </c>
      <c r="K2832" s="16" t="str">
        <f aca="false">IF(B2832="","",IF(AND(D2832="Formalização",E2832="Concluído"),IF(COUNTIFS($B$2:$B$5001,B2832,$E$2:$E$5001,"Em ajustes",$A$2:$A$5001,"&lt;"&amp;I2832)&gt;0,1,0),0))</f>
        <v/>
      </c>
      <c r="L2832" s="16" t="str">
        <f aca="false">IF(B2832="","",IF(A2832=_xlfn.MAXIFS($A$2:$A$5001,$B$2:$B$5001,B2832,$I$2:$I$5001,I2832),1,0))</f>
        <v/>
      </c>
    </row>
    <row r="2833" customFormat="false" ht="15" hidden="false" customHeight="false" outlineLevel="0" collapsed="false">
      <c r="I2833" s="15" t="str">
        <f aca="false">IF(A2833="","",INT(A2833))</f>
        <v/>
      </c>
      <c r="J2833" s="16" t="str">
        <f aca="false">IF(B2833="","",IF(A2833=_xlfn.MINIFS($A$2:$A$5001,$B$2:$B$5001,B2833),1,0))</f>
        <v/>
      </c>
      <c r="K2833" s="16" t="str">
        <f aca="false">IF(B2833="","",IF(AND(D2833="Formalização",E2833="Concluído"),IF(COUNTIFS($B$2:$B$5001,B2833,$E$2:$E$5001,"Em ajustes",$A$2:$A$5001,"&lt;"&amp;I2833)&gt;0,1,0),0))</f>
        <v/>
      </c>
      <c r="L2833" s="16" t="str">
        <f aca="false">IF(B2833="","",IF(A2833=_xlfn.MAXIFS($A$2:$A$5001,$B$2:$B$5001,B2833,$I$2:$I$5001,I2833),1,0))</f>
        <v/>
      </c>
    </row>
    <row r="2834" customFormat="false" ht="15" hidden="false" customHeight="false" outlineLevel="0" collapsed="false">
      <c r="I2834" s="15" t="str">
        <f aca="false">IF(A2834="","",INT(A2834))</f>
        <v/>
      </c>
      <c r="J2834" s="16" t="str">
        <f aca="false">IF(B2834="","",IF(A2834=_xlfn.MINIFS($A$2:$A$5001,$B$2:$B$5001,B2834),1,0))</f>
        <v/>
      </c>
      <c r="K2834" s="16" t="str">
        <f aca="false">IF(B2834="","",IF(AND(D2834="Formalização",E2834="Concluído"),IF(COUNTIFS($B$2:$B$5001,B2834,$E$2:$E$5001,"Em ajustes",$A$2:$A$5001,"&lt;"&amp;I2834)&gt;0,1,0),0))</f>
        <v/>
      </c>
      <c r="L2834" s="16" t="str">
        <f aca="false">IF(B2834="","",IF(A2834=_xlfn.MAXIFS($A$2:$A$5001,$B$2:$B$5001,B2834,$I$2:$I$5001,I2834),1,0))</f>
        <v/>
      </c>
    </row>
    <row r="2835" customFormat="false" ht="15" hidden="false" customHeight="false" outlineLevel="0" collapsed="false">
      <c r="I2835" s="15" t="str">
        <f aca="false">IF(A2835="","",INT(A2835))</f>
        <v/>
      </c>
      <c r="J2835" s="16" t="str">
        <f aca="false">IF(B2835="","",IF(A2835=_xlfn.MINIFS($A$2:$A$5001,$B$2:$B$5001,B2835),1,0))</f>
        <v/>
      </c>
      <c r="K2835" s="16" t="str">
        <f aca="false">IF(B2835="","",IF(AND(D2835="Formalização",E2835="Concluído"),IF(COUNTIFS($B$2:$B$5001,B2835,$E$2:$E$5001,"Em ajustes",$A$2:$A$5001,"&lt;"&amp;I2835)&gt;0,1,0),0))</f>
        <v/>
      </c>
      <c r="L2835" s="16" t="str">
        <f aca="false">IF(B2835="","",IF(A2835=_xlfn.MAXIFS($A$2:$A$5001,$B$2:$B$5001,B2835,$I$2:$I$5001,I2835),1,0))</f>
        <v/>
      </c>
    </row>
    <row r="2836" customFormat="false" ht="15" hidden="false" customHeight="false" outlineLevel="0" collapsed="false">
      <c r="I2836" s="15" t="str">
        <f aca="false">IF(A2836="","",INT(A2836))</f>
        <v/>
      </c>
      <c r="J2836" s="16" t="str">
        <f aca="false">IF(B2836="","",IF(A2836=_xlfn.MINIFS($A$2:$A$5001,$B$2:$B$5001,B2836),1,0))</f>
        <v/>
      </c>
      <c r="K2836" s="16" t="str">
        <f aca="false">IF(B2836="","",IF(AND(D2836="Formalização",E2836="Concluído"),IF(COUNTIFS($B$2:$B$5001,B2836,$E$2:$E$5001,"Em ajustes",$A$2:$A$5001,"&lt;"&amp;I2836)&gt;0,1,0),0))</f>
        <v/>
      </c>
      <c r="L2836" s="16" t="str">
        <f aca="false">IF(B2836="","",IF(A2836=_xlfn.MAXIFS($A$2:$A$5001,$B$2:$B$5001,B2836,$I$2:$I$5001,I2836),1,0))</f>
        <v/>
      </c>
    </row>
    <row r="2837" customFormat="false" ht="15" hidden="false" customHeight="false" outlineLevel="0" collapsed="false">
      <c r="I2837" s="15" t="str">
        <f aca="false">IF(A2837="","",INT(A2837))</f>
        <v/>
      </c>
      <c r="J2837" s="16" t="str">
        <f aca="false">IF(B2837="","",IF(A2837=_xlfn.MINIFS($A$2:$A$5001,$B$2:$B$5001,B2837),1,0))</f>
        <v/>
      </c>
      <c r="K2837" s="16" t="str">
        <f aca="false">IF(B2837="","",IF(AND(D2837="Formalização",E2837="Concluído"),IF(COUNTIFS($B$2:$B$5001,B2837,$E$2:$E$5001,"Em ajustes",$A$2:$A$5001,"&lt;"&amp;I2837)&gt;0,1,0),0))</f>
        <v/>
      </c>
      <c r="L2837" s="16" t="str">
        <f aca="false">IF(B2837="","",IF(A2837=_xlfn.MAXIFS($A$2:$A$5001,$B$2:$B$5001,B2837,$I$2:$I$5001,I2837),1,0))</f>
        <v/>
      </c>
    </row>
    <row r="2838" customFormat="false" ht="15" hidden="false" customHeight="false" outlineLevel="0" collapsed="false">
      <c r="I2838" s="15" t="str">
        <f aca="false">IF(A2838="","",INT(A2838))</f>
        <v/>
      </c>
      <c r="J2838" s="16" t="str">
        <f aca="false">IF(B2838="","",IF(A2838=_xlfn.MINIFS($A$2:$A$5001,$B$2:$B$5001,B2838),1,0))</f>
        <v/>
      </c>
      <c r="K2838" s="16" t="str">
        <f aca="false">IF(B2838="","",IF(AND(D2838="Formalização",E2838="Concluído"),IF(COUNTIFS($B$2:$B$5001,B2838,$E$2:$E$5001,"Em ajustes",$A$2:$A$5001,"&lt;"&amp;I2838)&gt;0,1,0),0))</f>
        <v/>
      </c>
      <c r="L2838" s="16" t="str">
        <f aca="false">IF(B2838="","",IF(A2838=_xlfn.MAXIFS($A$2:$A$5001,$B$2:$B$5001,B2838,$I$2:$I$5001,I2838),1,0))</f>
        <v/>
      </c>
    </row>
    <row r="2839" customFormat="false" ht="15" hidden="false" customHeight="false" outlineLevel="0" collapsed="false">
      <c r="I2839" s="15" t="str">
        <f aca="false">IF(A2839="","",INT(A2839))</f>
        <v/>
      </c>
      <c r="J2839" s="16" t="str">
        <f aca="false">IF(B2839="","",IF(A2839=_xlfn.MINIFS($A$2:$A$5001,$B$2:$B$5001,B2839),1,0))</f>
        <v/>
      </c>
      <c r="K2839" s="16" t="str">
        <f aca="false">IF(B2839="","",IF(AND(D2839="Formalização",E2839="Concluído"),IF(COUNTIFS($B$2:$B$5001,B2839,$E$2:$E$5001,"Em ajustes",$A$2:$A$5001,"&lt;"&amp;I2839)&gt;0,1,0),0))</f>
        <v/>
      </c>
      <c r="L2839" s="16" t="str">
        <f aca="false">IF(B2839="","",IF(A2839=_xlfn.MAXIFS($A$2:$A$5001,$B$2:$B$5001,B2839,$I$2:$I$5001,I2839),1,0))</f>
        <v/>
      </c>
    </row>
    <row r="2840" customFormat="false" ht="15" hidden="false" customHeight="false" outlineLevel="0" collapsed="false">
      <c r="I2840" s="15" t="str">
        <f aca="false">IF(A2840="","",INT(A2840))</f>
        <v/>
      </c>
      <c r="J2840" s="16" t="str">
        <f aca="false">IF(B2840="","",IF(A2840=_xlfn.MINIFS($A$2:$A$5001,$B$2:$B$5001,B2840),1,0))</f>
        <v/>
      </c>
      <c r="K2840" s="16" t="str">
        <f aca="false">IF(B2840="","",IF(AND(D2840="Formalização",E2840="Concluído"),IF(COUNTIFS($B$2:$B$5001,B2840,$E$2:$E$5001,"Em ajustes",$A$2:$A$5001,"&lt;"&amp;I2840)&gt;0,1,0),0))</f>
        <v/>
      </c>
      <c r="L2840" s="16" t="str">
        <f aca="false">IF(B2840="","",IF(A2840=_xlfn.MAXIFS($A$2:$A$5001,$B$2:$B$5001,B2840,$I$2:$I$5001,I2840),1,0))</f>
        <v/>
      </c>
    </row>
    <row r="2841" customFormat="false" ht="15" hidden="false" customHeight="false" outlineLevel="0" collapsed="false">
      <c r="I2841" s="15" t="str">
        <f aca="false">IF(A2841="","",INT(A2841))</f>
        <v/>
      </c>
      <c r="J2841" s="16" t="str">
        <f aca="false">IF(B2841="","",IF(A2841=_xlfn.MINIFS($A$2:$A$5001,$B$2:$B$5001,B2841),1,0))</f>
        <v/>
      </c>
      <c r="K2841" s="16" t="str">
        <f aca="false">IF(B2841="","",IF(AND(D2841="Formalização",E2841="Concluído"),IF(COUNTIFS($B$2:$B$5001,B2841,$E$2:$E$5001,"Em ajustes",$A$2:$A$5001,"&lt;"&amp;I2841)&gt;0,1,0),0))</f>
        <v/>
      </c>
      <c r="L2841" s="16" t="str">
        <f aca="false">IF(B2841="","",IF(A2841=_xlfn.MAXIFS($A$2:$A$5001,$B$2:$B$5001,B2841,$I$2:$I$5001,I2841),1,0))</f>
        <v/>
      </c>
    </row>
    <row r="2842" customFormat="false" ht="15" hidden="false" customHeight="false" outlineLevel="0" collapsed="false">
      <c r="I2842" s="15" t="str">
        <f aca="false">IF(A2842="","",INT(A2842))</f>
        <v/>
      </c>
      <c r="J2842" s="16" t="str">
        <f aca="false">IF(B2842="","",IF(A2842=_xlfn.MINIFS($A$2:$A$5001,$B$2:$B$5001,B2842),1,0))</f>
        <v/>
      </c>
      <c r="K2842" s="16" t="str">
        <f aca="false">IF(B2842="","",IF(AND(D2842="Formalização",E2842="Concluído"),IF(COUNTIFS($B$2:$B$5001,B2842,$E$2:$E$5001,"Em ajustes",$A$2:$A$5001,"&lt;"&amp;I2842)&gt;0,1,0),0))</f>
        <v/>
      </c>
      <c r="L2842" s="16" t="str">
        <f aca="false">IF(B2842="","",IF(A2842=_xlfn.MAXIFS($A$2:$A$5001,$B$2:$B$5001,B2842,$I$2:$I$5001,I2842),1,0))</f>
        <v/>
      </c>
    </row>
    <row r="2843" customFormat="false" ht="15" hidden="false" customHeight="false" outlineLevel="0" collapsed="false">
      <c r="I2843" s="15" t="str">
        <f aca="false">IF(A2843="","",INT(A2843))</f>
        <v/>
      </c>
      <c r="J2843" s="16" t="str">
        <f aca="false">IF(B2843="","",IF(A2843=_xlfn.MINIFS($A$2:$A$5001,$B$2:$B$5001,B2843),1,0))</f>
        <v/>
      </c>
      <c r="K2843" s="16" t="str">
        <f aca="false">IF(B2843="","",IF(AND(D2843="Formalização",E2843="Concluído"),IF(COUNTIFS($B$2:$B$5001,B2843,$E$2:$E$5001,"Em ajustes",$A$2:$A$5001,"&lt;"&amp;I2843)&gt;0,1,0),0))</f>
        <v/>
      </c>
      <c r="L2843" s="16" t="str">
        <f aca="false">IF(B2843="","",IF(A2843=_xlfn.MAXIFS($A$2:$A$5001,$B$2:$B$5001,B2843,$I$2:$I$5001,I2843),1,0))</f>
        <v/>
      </c>
    </row>
    <row r="2844" customFormat="false" ht="15" hidden="false" customHeight="false" outlineLevel="0" collapsed="false">
      <c r="I2844" s="15" t="str">
        <f aca="false">IF(A2844="","",INT(A2844))</f>
        <v/>
      </c>
      <c r="J2844" s="16" t="str">
        <f aca="false">IF(B2844="","",IF(A2844=_xlfn.MINIFS($A$2:$A$5001,$B$2:$B$5001,B2844),1,0))</f>
        <v/>
      </c>
      <c r="K2844" s="16" t="str">
        <f aca="false">IF(B2844="","",IF(AND(D2844="Formalização",E2844="Concluído"),IF(COUNTIFS($B$2:$B$5001,B2844,$E$2:$E$5001,"Em ajustes",$A$2:$A$5001,"&lt;"&amp;I2844)&gt;0,1,0),0))</f>
        <v/>
      </c>
      <c r="L2844" s="16" t="str">
        <f aca="false">IF(B2844="","",IF(A2844=_xlfn.MAXIFS($A$2:$A$5001,$B$2:$B$5001,B2844,$I$2:$I$5001,I2844),1,0))</f>
        <v/>
      </c>
    </row>
    <row r="2845" customFormat="false" ht="15" hidden="false" customHeight="false" outlineLevel="0" collapsed="false">
      <c r="I2845" s="15" t="str">
        <f aca="false">IF(A2845="","",INT(A2845))</f>
        <v/>
      </c>
      <c r="J2845" s="16" t="str">
        <f aca="false">IF(B2845="","",IF(A2845=_xlfn.MINIFS($A$2:$A$5001,$B$2:$B$5001,B2845),1,0))</f>
        <v/>
      </c>
      <c r="K2845" s="16" t="str">
        <f aca="false">IF(B2845="","",IF(AND(D2845="Formalização",E2845="Concluído"),IF(COUNTIFS($B$2:$B$5001,B2845,$E$2:$E$5001,"Em ajustes",$A$2:$A$5001,"&lt;"&amp;I2845)&gt;0,1,0),0))</f>
        <v/>
      </c>
      <c r="L2845" s="16" t="str">
        <f aca="false">IF(B2845="","",IF(A2845=_xlfn.MAXIFS($A$2:$A$5001,$B$2:$B$5001,B2845,$I$2:$I$5001,I2845),1,0))</f>
        <v/>
      </c>
    </row>
    <row r="2846" customFormat="false" ht="15" hidden="false" customHeight="false" outlineLevel="0" collapsed="false">
      <c r="I2846" s="15" t="str">
        <f aca="false">IF(A2846="","",INT(A2846))</f>
        <v/>
      </c>
      <c r="J2846" s="16" t="str">
        <f aca="false">IF(B2846="","",IF(A2846=_xlfn.MINIFS($A$2:$A$5001,$B$2:$B$5001,B2846),1,0))</f>
        <v/>
      </c>
      <c r="K2846" s="16" t="str">
        <f aca="false">IF(B2846="","",IF(AND(D2846="Formalização",E2846="Concluído"),IF(COUNTIFS($B$2:$B$5001,B2846,$E$2:$E$5001,"Em ajustes",$A$2:$A$5001,"&lt;"&amp;I2846)&gt;0,1,0),0))</f>
        <v/>
      </c>
      <c r="L2846" s="16" t="str">
        <f aca="false">IF(B2846="","",IF(A2846=_xlfn.MAXIFS($A$2:$A$5001,$B$2:$B$5001,B2846,$I$2:$I$5001,I2846),1,0))</f>
        <v/>
      </c>
    </row>
    <row r="2847" customFormat="false" ht="15" hidden="false" customHeight="false" outlineLevel="0" collapsed="false">
      <c r="I2847" s="15" t="str">
        <f aca="false">IF(A2847="","",INT(A2847))</f>
        <v/>
      </c>
      <c r="J2847" s="16" t="str">
        <f aca="false">IF(B2847="","",IF(A2847=_xlfn.MINIFS($A$2:$A$5001,$B$2:$B$5001,B2847),1,0))</f>
        <v/>
      </c>
      <c r="K2847" s="16" t="str">
        <f aca="false">IF(B2847="","",IF(AND(D2847="Formalização",E2847="Concluído"),IF(COUNTIFS($B$2:$B$5001,B2847,$E$2:$E$5001,"Em ajustes",$A$2:$A$5001,"&lt;"&amp;I2847)&gt;0,1,0),0))</f>
        <v/>
      </c>
      <c r="L2847" s="16" t="str">
        <f aca="false">IF(B2847="","",IF(A2847=_xlfn.MAXIFS($A$2:$A$5001,$B$2:$B$5001,B2847,$I$2:$I$5001,I2847),1,0))</f>
        <v/>
      </c>
    </row>
    <row r="2848" customFormat="false" ht="15" hidden="false" customHeight="false" outlineLevel="0" collapsed="false">
      <c r="I2848" s="15" t="str">
        <f aca="false">IF(A2848="","",INT(A2848))</f>
        <v/>
      </c>
      <c r="J2848" s="16" t="str">
        <f aca="false">IF(B2848="","",IF(A2848=_xlfn.MINIFS($A$2:$A$5001,$B$2:$B$5001,B2848),1,0))</f>
        <v/>
      </c>
      <c r="K2848" s="16" t="str">
        <f aca="false">IF(B2848="","",IF(AND(D2848="Formalização",E2848="Concluído"),IF(COUNTIFS($B$2:$B$5001,B2848,$E$2:$E$5001,"Em ajustes",$A$2:$A$5001,"&lt;"&amp;I2848)&gt;0,1,0),0))</f>
        <v/>
      </c>
      <c r="L2848" s="16" t="str">
        <f aca="false">IF(B2848="","",IF(A2848=_xlfn.MAXIFS($A$2:$A$5001,$B$2:$B$5001,B2848,$I$2:$I$5001,I2848),1,0))</f>
        <v/>
      </c>
    </row>
    <row r="2849" customFormat="false" ht="15" hidden="false" customHeight="false" outlineLevel="0" collapsed="false">
      <c r="I2849" s="15" t="str">
        <f aca="false">IF(A2849="","",INT(A2849))</f>
        <v/>
      </c>
      <c r="J2849" s="16" t="str">
        <f aca="false">IF(B2849="","",IF(A2849=_xlfn.MINIFS($A$2:$A$5001,$B$2:$B$5001,B2849),1,0))</f>
        <v/>
      </c>
      <c r="K2849" s="16" t="str">
        <f aca="false">IF(B2849="","",IF(AND(D2849="Formalização",E2849="Concluído"),IF(COUNTIFS($B$2:$B$5001,B2849,$E$2:$E$5001,"Em ajustes",$A$2:$A$5001,"&lt;"&amp;I2849)&gt;0,1,0),0))</f>
        <v/>
      </c>
      <c r="L2849" s="16" t="str">
        <f aca="false">IF(B2849="","",IF(A2849=_xlfn.MAXIFS($A$2:$A$5001,$B$2:$B$5001,B2849,$I$2:$I$5001,I2849),1,0))</f>
        <v/>
      </c>
    </row>
    <row r="2850" customFormat="false" ht="15" hidden="false" customHeight="false" outlineLevel="0" collapsed="false">
      <c r="I2850" s="15" t="str">
        <f aca="false">IF(A2850="","",INT(A2850))</f>
        <v/>
      </c>
      <c r="J2850" s="16" t="str">
        <f aca="false">IF(B2850="","",IF(A2850=_xlfn.MINIFS($A$2:$A$5001,$B$2:$B$5001,B2850),1,0))</f>
        <v/>
      </c>
      <c r="K2850" s="16" t="str">
        <f aca="false">IF(B2850="","",IF(AND(D2850="Formalização",E2850="Concluído"),IF(COUNTIFS($B$2:$B$5001,B2850,$E$2:$E$5001,"Em ajustes",$A$2:$A$5001,"&lt;"&amp;I2850)&gt;0,1,0),0))</f>
        <v/>
      </c>
      <c r="L2850" s="16" t="str">
        <f aca="false">IF(B2850="","",IF(A2850=_xlfn.MAXIFS($A$2:$A$5001,$B$2:$B$5001,B2850,$I$2:$I$5001,I2850),1,0))</f>
        <v/>
      </c>
    </row>
    <row r="2851" customFormat="false" ht="15" hidden="false" customHeight="false" outlineLevel="0" collapsed="false">
      <c r="I2851" s="15" t="str">
        <f aca="false">IF(A2851="","",INT(A2851))</f>
        <v/>
      </c>
      <c r="J2851" s="16" t="str">
        <f aca="false">IF(B2851="","",IF(A2851=_xlfn.MINIFS($A$2:$A$5001,$B$2:$B$5001,B2851),1,0))</f>
        <v/>
      </c>
      <c r="K2851" s="16" t="str">
        <f aca="false">IF(B2851="","",IF(AND(D2851="Formalização",E2851="Concluído"),IF(COUNTIFS($B$2:$B$5001,B2851,$E$2:$E$5001,"Em ajustes",$A$2:$A$5001,"&lt;"&amp;I2851)&gt;0,1,0),0))</f>
        <v/>
      </c>
      <c r="L2851" s="16" t="str">
        <f aca="false">IF(B2851="","",IF(A2851=_xlfn.MAXIFS($A$2:$A$5001,$B$2:$B$5001,B2851,$I$2:$I$5001,I2851),1,0))</f>
        <v/>
      </c>
    </row>
    <row r="2852" customFormat="false" ht="15" hidden="false" customHeight="false" outlineLevel="0" collapsed="false">
      <c r="I2852" s="15" t="str">
        <f aca="false">IF(A2852="","",INT(A2852))</f>
        <v/>
      </c>
      <c r="J2852" s="16" t="str">
        <f aca="false">IF(B2852="","",IF(A2852=_xlfn.MINIFS($A$2:$A$5001,$B$2:$B$5001,B2852),1,0))</f>
        <v/>
      </c>
      <c r="K2852" s="16" t="str">
        <f aca="false">IF(B2852="","",IF(AND(D2852="Formalização",E2852="Concluído"),IF(COUNTIFS($B$2:$B$5001,B2852,$E$2:$E$5001,"Em ajustes",$A$2:$A$5001,"&lt;"&amp;I2852)&gt;0,1,0),0))</f>
        <v/>
      </c>
      <c r="L2852" s="16" t="str">
        <f aca="false">IF(B2852="","",IF(A2852=_xlfn.MAXIFS($A$2:$A$5001,$B$2:$B$5001,B2852,$I$2:$I$5001,I2852),1,0))</f>
        <v/>
      </c>
    </row>
    <row r="2853" customFormat="false" ht="15" hidden="false" customHeight="false" outlineLevel="0" collapsed="false">
      <c r="I2853" s="15" t="str">
        <f aca="false">IF(A2853="","",INT(A2853))</f>
        <v/>
      </c>
      <c r="J2853" s="16" t="str">
        <f aca="false">IF(B2853="","",IF(A2853=_xlfn.MINIFS($A$2:$A$5001,$B$2:$B$5001,B2853),1,0))</f>
        <v/>
      </c>
      <c r="K2853" s="16" t="str">
        <f aca="false">IF(B2853="","",IF(AND(D2853="Formalização",E2853="Concluído"),IF(COUNTIFS($B$2:$B$5001,B2853,$E$2:$E$5001,"Em ajustes",$A$2:$A$5001,"&lt;"&amp;I2853)&gt;0,1,0),0))</f>
        <v/>
      </c>
      <c r="L2853" s="16" t="str">
        <f aca="false">IF(B2853="","",IF(A2853=_xlfn.MAXIFS($A$2:$A$5001,$B$2:$B$5001,B2853,$I$2:$I$5001,I2853),1,0))</f>
        <v/>
      </c>
    </row>
    <row r="2854" customFormat="false" ht="15" hidden="false" customHeight="false" outlineLevel="0" collapsed="false">
      <c r="I2854" s="15" t="str">
        <f aca="false">IF(A2854="","",INT(A2854))</f>
        <v/>
      </c>
      <c r="J2854" s="16" t="str">
        <f aca="false">IF(B2854="","",IF(A2854=_xlfn.MINIFS($A$2:$A$5001,$B$2:$B$5001,B2854),1,0))</f>
        <v/>
      </c>
      <c r="K2854" s="16" t="str">
        <f aca="false">IF(B2854="","",IF(AND(D2854="Formalização",E2854="Concluído"),IF(COUNTIFS($B$2:$B$5001,B2854,$E$2:$E$5001,"Em ajustes",$A$2:$A$5001,"&lt;"&amp;I2854)&gt;0,1,0),0))</f>
        <v/>
      </c>
      <c r="L2854" s="16" t="str">
        <f aca="false">IF(B2854="","",IF(A2854=_xlfn.MAXIFS($A$2:$A$5001,$B$2:$B$5001,B2854,$I$2:$I$5001,I2854),1,0))</f>
        <v/>
      </c>
    </row>
    <row r="2855" customFormat="false" ht="15" hidden="false" customHeight="false" outlineLevel="0" collapsed="false">
      <c r="I2855" s="15" t="str">
        <f aca="false">IF(A2855="","",INT(A2855))</f>
        <v/>
      </c>
      <c r="J2855" s="16" t="str">
        <f aca="false">IF(B2855="","",IF(A2855=_xlfn.MINIFS($A$2:$A$5001,$B$2:$B$5001,B2855),1,0))</f>
        <v/>
      </c>
      <c r="K2855" s="16" t="str">
        <f aca="false">IF(B2855="","",IF(AND(D2855="Formalização",E2855="Concluído"),IF(COUNTIFS($B$2:$B$5001,B2855,$E$2:$E$5001,"Em ajustes",$A$2:$A$5001,"&lt;"&amp;I2855)&gt;0,1,0),0))</f>
        <v/>
      </c>
      <c r="L2855" s="16" t="str">
        <f aca="false">IF(B2855="","",IF(A2855=_xlfn.MAXIFS($A$2:$A$5001,$B$2:$B$5001,B2855,$I$2:$I$5001,I2855),1,0))</f>
        <v/>
      </c>
    </row>
    <row r="2856" customFormat="false" ht="15" hidden="false" customHeight="false" outlineLevel="0" collapsed="false">
      <c r="I2856" s="15" t="str">
        <f aca="false">IF(A2856="","",INT(A2856))</f>
        <v/>
      </c>
      <c r="J2856" s="16" t="str">
        <f aca="false">IF(B2856="","",IF(A2856=_xlfn.MINIFS($A$2:$A$5001,$B$2:$B$5001,B2856),1,0))</f>
        <v/>
      </c>
      <c r="K2856" s="16" t="str">
        <f aca="false">IF(B2856="","",IF(AND(D2856="Formalização",E2856="Concluído"),IF(COUNTIFS($B$2:$B$5001,B2856,$E$2:$E$5001,"Em ajustes",$A$2:$A$5001,"&lt;"&amp;I2856)&gt;0,1,0),0))</f>
        <v/>
      </c>
      <c r="L2856" s="16" t="str">
        <f aca="false">IF(B2856="","",IF(A2856=_xlfn.MAXIFS($A$2:$A$5001,$B$2:$B$5001,B2856,$I$2:$I$5001,I2856),1,0))</f>
        <v/>
      </c>
    </row>
    <row r="2857" customFormat="false" ht="15" hidden="false" customHeight="false" outlineLevel="0" collapsed="false">
      <c r="I2857" s="15" t="str">
        <f aca="false">IF(A2857="","",INT(A2857))</f>
        <v/>
      </c>
      <c r="J2857" s="16" t="str">
        <f aca="false">IF(B2857="","",IF(A2857=_xlfn.MINIFS($A$2:$A$5001,$B$2:$B$5001,B2857),1,0))</f>
        <v/>
      </c>
      <c r="K2857" s="16" t="str">
        <f aca="false">IF(B2857="","",IF(AND(D2857="Formalização",E2857="Concluído"),IF(COUNTIFS($B$2:$B$5001,B2857,$E$2:$E$5001,"Em ajustes",$A$2:$A$5001,"&lt;"&amp;I2857)&gt;0,1,0),0))</f>
        <v/>
      </c>
      <c r="L2857" s="16" t="str">
        <f aca="false">IF(B2857="","",IF(A2857=_xlfn.MAXIFS($A$2:$A$5001,$B$2:$B$5001,B2857,$I$2:$I$5001,I2857),1,0))</f>
        <v/>
      </c>
    </row>
    <row r="2858" customFormat="false" ht="15" hidden="false" customHeight="false" outlineLevel="0" collapsed="false">
      <c r="I2858" s="15" t="str">
        <f aca="false">IF(A2858="","",INT(A2858))</f>
        <v/>
      </c>
      <c r="J2858" s="16" t="str">
        <f aca="false">IF(B2858="","",IF(A2858=_xlfn.MINIFS($A$2:$A$5001,$B$2:$B$5001,B2858),1,0))</f>
        <v/>
      </c>
      <c r="K2858" s="16" t="str">
        <f aca="false">IF(B2858="","",IF(AND(D2858="Formalização",E2858="Concluído"),IF(COUNTIFS($B$2:$B$5001,B2858,$E$2:$E$5001,"Em ajustes",$A$2:$A$5001,"&lt;"&amp;I2858)&gt;0,1,0),0))</f>
        <v/>
      </c>
      <c r="L2858" s="16" t="str">
        <f aca="false">IF(B2858="","",IF(A2858=_xlfn.MAXIFS($A$2:$A$5001,$B$2:$B$5001,B2858,$I$2:$I$5001,I2858),1,0))</f>
        <v/>
      </c>
    </row>
    <row r="2859" customFormat="false" ht="15" hidden="false" customHeight="false" outlineLevel="0" collapsed="false">
      <c r="I2859" s="15" t="str">
        <f aca="false">IF(A2859="","",INT(A2859))</f>
        <v/>
      </c>
      <c r="J2859" s="16" t="str">
        <f aca="false">IF(B2859="","",IF(A2859=_xlfn.MINIFS($A$2:$A$5001,$B$2:$B$5001,B2859),1,0))</f>
        <v/>
      </c>
      <c r="K2859" s="16" t="str">
        <f aca="false">IF(B2859="","",IF(AND(D2859="Formalização",E2859="Concluído"),IF(COUNTIFS($B$2:$B$5001,B2859,$E$2:$E$5001,"Em ajustes",$A$2:$A$5001,"&lt;"&amp;I2859)&gt;0,1,0),0))</f>
        <v/>
      </c>
      <c r="L2859" s="16" t="str">
        <f aca="false">IF(B2859="","",IF(A2859=_xlfn.MAXIFS($A$2:$A$5001,$B$2:$B$5001,B2859,$I$2:$I$5001,I2859),1,0))</f>
        <v/>
      </c>
    </row>
    <row r="2860" customFormat="false" ht="15" hidden="false" customHeight="false" outlineLevel="0" collapsed="false">
      <c r="I2860" s="15" t="str">
        <f aca="false">IF(A2860="","",INT(A2860))</f>
        <v/>
      </c>
      <c r="J2860" s="16" t="str">
        <f aca="false">IF(B2860="","",IF(A2860=_xlfn.MINIFS($A$2:$A$5001,$B$2:$B$5001,B2860),1,0))</f>
        <v/>
      </c>
      <c r="K2860" s="16" t="str">
        <f aca="false">IF(B2860="","",IF(AND(D2860="Formalização",E2860="Concluído"),IF(COUNTIFS($B$2:$B$5001,B2860,$E$2:$E$5001,"Em ajustes",$A$2:$A$5001,"&lt;"&amp;I2860)&gt;0,1,0),0))</f>
        <v/>
      </c>
      <c r="L2860" s="16" t="str">
        <f aca="false">IF(B2860="","",IF(A2860=_xlfn.MAXIFS($A$2:$A$5001,$B$2:$B$5001,B2860,$I$2:$I$5001,I2860),1,0))</f>
        <v/>
      </c>
    </row>
    <row r="2861" customFormat="false" ht="15" hidden="false" customHeight="false" outlineLevel="0" collapsed="false">
      <c r="I2861" s="15" t="str">
        <f aca="false">IF(A2861="","",INT(A2861))</f>
        <v/>
      </c>
      <c r="J2861" s="16" t="str">
        <f aca="false">IF(B2861="","",IF(A2861=_xlfn.MINIFS($A$2:$A$5001,$B$2:$B$5001,B2861),1,0))</f>
        <v/>
      </c>
      <c r="K2861" s="16" t="str">
        <f aca="false">IF(B2861="","",IF(AND(D2861="Formalização",E2861="Concluído"),IF(COUNTIFS($B$2:$B$5001,B2861,$E$2:$E$5001,"Em ajustes",$A$2:$A$5001,"&lt;"&amp;I2861)&gt;0,1,0),0))</f>
        <v/>
      </c>
      <c r="L2861" s="16" t="str">
        <f aca="false">IF(B2861="","",IF(A2861=_xlfn.MAXIFS($A$2:$A$5001,$B$2:$B$5001,B2861,$I$2:$I$5001,I2861),1,0))</f>
        <v/>
      </c>
    </row>
    <row r="2862" customFormat="false" ht="15" hidden="false" customHeight="false" outlineLevel="0" collapsed="false">
      <c r="I2862" s="15" t="str">
        <f aca="false">IF(A2862="","",INT(A2862))</f>
        <v/>
      </c>
      <c r="J2862" s="16" t="str">
        <f aca="false">IF(B2862="","",IF(A2862=_xlfn.MINIFS($A$2:$A$5001,$B$2:$B$5001,B2862),1,0))</f>
        <v/>
      </c>
      <c r="K2862" s="16" t="str">
        <f aca="false">IF(B2862="","",IF(AND(D2862="Formalização",E2862="Concluído"),IF(COUNTIFS($B$2:$B$5001,B2862,$E$2:$E$5001,"Em ajustes",$A$2:$A$5001,"&lt;"&amp;I2862)&gt;0,1,0),0))</f>
        <v/>
      </c>
      <c r="L2862" s="16" t="str">
        <f aca="false">IF(B2862="","",IF(A2862=_xlfn.MAXIFS($A$2:$A$5001,$B$2:$B$5001,B2862,$I$2:$I$5001,I2862),1,0))</f>
        <v/>
      </c>
    </row>
    <row r="2863" customFormat="false" ht="15" hidden="false" customHeight="false" outlineLevel="0" collapsed="false">
      <c r="I2863" s="15" t="str">
        <f aca="false">IF(A2863="","",INT(A2863))</f>
        <v/>
      </c>
      <c r="J2863" s="16" t="str">
        <f aca="false">IF(B2863="","",IF(A2863=_xlfn.MINIFS($A$2:$A$5001,$B$2:$B$5001,B2863),1,0))</f>
        <v/>
      </c>
      <c r="K2863" s="16" t="str">
        <f aca="false">IF(B2863="","",IF(AND(D2863="Formalização",E2863="Concluído"),IF(COUNTIFS($B$2:$B$5001,B2863,$E$2:$E$5001,"Em ajustes",$A$2:$A$5001,"&lt;"&amp;I2863)&gt;0,1,0),0))</f>
        <v/>
      </c>
      <c r="L2863" s="16" t="str">
        <f aca="false">IF(B2863="","",IF(A2863=_xlfn.MAXIFS($A$2:$A$5001,$B$2:$B$5001,B2863,$I$2:$I$5001,I2863),1,0))</f>
        <v/>
      </c>
    </row>
    <row r="2864" customFormat="false" ht="15" hidden="false" customHeight="false" outlineLevel="0" collapsed="false">
      <c r="I2864" s="15" t="str">
        <f aca="false">IF(A2864="","",INT(A2864))</f>
        <v/>
      </c>
      <c r="J2864" s="16" t="str">
        <f aca="false">IF(B2864="","",IF(A2864=_xlfn.MINIFS($A$2:$A$5001,$B$2:$B$5001,B2864),1,0))</f>
        <v/>
      </c>
      <c r="K2864" s="16" t="str">
        <f aca="false">IF(B2864="","",IF(AND(D2864="Formalização",E2864="Concluído"),IF(COUNTIFS($B$2:$B$5001,B2864,$E$2:$E$5001,"Em ajustes",$A$2:$A$5001,"&lt;"&amp;I2864)&gt;0,1,0),0))</f>
        <v/>
      </c>
      <c r="L2864" s="16" t="str">
        <f aca="false">IF(B2864="","",IF(A2864=_xlfn.MAXIFS($A$2:$A$5001,$B$2:$B$5001,B2864,$I$2:$I$5001,I2864),1,0))</f>
        <v/>
      </c>
    </row>
    <row r="2865" customFormat="false" ht="15" hidden="false" customHeight="false" outlineLevel="0" collapsed="false">
      <c r="I2865" s="15" t="str">
        <f aca="false">IF(A2865="","",INT(A2865))</f>
        <v/>
      </c>
      <c r="J2865" s="16" t="str">
        <f aca="false">IF(B2865="","",IF(A2865=_xlfn.MINIFS($A$2:$A$5001,$B$2:$B$5001,B2865),1,0))</f>
        <v/>
      </c>
      <c r="K2865" s="16" t="str">
        <f aca="false">IF(B2865="","",IF(AND(D2865="Formalização",E2865="Concluído"),IF(COUNTIFS($B$2:$B$5001,B2865,$E$2:$E$5001,"Em ajustes",$A$2:$A$5001,"&lt;"&amp;I2865)&gt;0,1,0),0))</f>
        <v/>
      </c>
      <c r="L2865" s="16" t="str">
        <f aca="false">IF(B2865="","",IF(A2865=_xlfn.MAXIFS($A$2:$A$5001,$B$2:$B$5001,B2865,$I$2:$I$5001,I2865),1,0))</f>
        <v/>
      </c>
    </row>
    <row r="2866" customFormat="false" ht="15" hidden="false" customHeight="false" outlineLevel="0" collapsed="false">
      <c r="I2866" s="15" t="str">
        <f aca="false">IF(A2866="","",INT(A2866))</f>
        <v/>
      </c>
      <c r="J2866" s="16" t="str">
        <f aca="false">IF(B2866="","",IF(A2866=_xlfn.MINIFS($A$2:$A$5001,$B$2:$B$5001,B2866),1,0))</f>
        <v/>
      </c>
      <c r="K2866" s="16" t="str">
        <f aca="false">IF(B2866="","",IF(AND(D2866="Formalização",E2866="Concluído"),IF(COUNTIFS($B$2:$B$5001,B2866,$E$2:$E$5001,"Em ajustes",$A$2:$A$5001,"&lt;"&amp;I2866)&gt;0,1,0),0))</f>
        <v/>
      </c>
      <c r="L2866" s="16" t="str">
        <f aca="false">IF(B2866="","",IF(A2866=_xlfn.MAXIFS($A$2:$A$5001,$B$2:$B$5001,B2866,$I$2:$I$5001,I2866),1,0))</f>
        <v/>
      </c>
    </row>
    <row r="2867" customFormat="false" ht="15" hidden="false" customHeight="false" outlineLevel="0" collapsed="false">
      <c r="I2867" s="15" t="str">
        <f aca="false">IF(A2867="","",INT(A2867))</f>
        <v/>
      </c>
      <c r="J2867" s="16" t="str">
        <f aca="false">IF(B2867="","",IF(A2867=_xlfn.MINIFS($A$2:$A$5001,$B$2:$B$5001,B2867),1,0))</f>
        <v/>
      </c>
      <c r="K2867" s="16" t="str">
        <f aca="false">IF(B2867="","",IF(AND(D2867="Formalização",E2867="Concluído"),IF(COUNTIFS($B$2:$B$5001,B2867,$E$2:$E$5001,"Em ajustes",$A$2:$A$5001,"&lt;"&amp;I2867)&gt;0,1,0),0))</f>
        <v/>
      </c>
      <c r="L2867" s="16" t="str">
        <f aca="false">IF(B2867="","",IF(A2867=_xlfn.MAXIFS($A$2:$A$5001,$B$2:$B$5001,B2867,$I$2:$I$5001,I2867),1,0))</f>
        <v/>
      </c>
    </row>
    <row r="2868" customFormat="false" ht="15" hidden="false" customHeight="false" outlineLevel="0" collapsed="false">
      <c r="I2868" s="15" t="str">
        <f aca="false">IF(A2868="","",INT(A2868))</f>
        <v/>
      </c>
      <c r="J2868" s="16" t="str">
        <f aca="false">IF(B2868="","",IF(A2868=_xlfn.MINIFS($A$2:$A$5001,$B$2:$B$5001,B2868),1,0))</f>
        <v/>
      </c>
      <c r="K2868" s="16" t="str">
        <f aca="false">IF(B2868="","",IF(AND(D2868="Formalização",E2868="Concluído"),IF(COUNTIFS($B$2:$B$5001,B2868,$E$2:$E$5001,"Em ajustes",$A$2:$A$5001,"&lt;"&amp;I2868)&gt;0,1,0),0))</f>
        <v/>
      </c>
      <c r="L2868" s="16" t="str">
        <f aca="false">IF(B2868="","",IF(A2868=_xlfn.MAXIFS($A$2:$A$5001,$B$2:$B$5001,B2868,$I$2:$I$5001,I2868),1,0))</f>
        <v/>
      </c>
    </row>
    <row r="2869" customFormat="false" ht="15" hidden="false" customHeight="false" outlineLevel="0" collapsed="false">
      <c r="I2869" s="15" t="str">
        <f aca="false">IF(A2869="","",INT(A2869))</f>
        <v/>
      </c>
      <c r="J2869" s="16" t="str">
        <f aca="false">IF(B2869="","",IF(A2869=_xlfn.MINIFS($A$2:$A$5001,$B$2:$B$5001,B2869),1,0))</f>
        <v/>
      </c>
      <c r="K2869" s="16" t="str">
        <f aca="false">IF(B2869="","",IF(AND(D2869="Formalização",E2869="Concluído"),IF(COUNTIFS($B$2:$B$5001,B2869,$E$2:$E$5001,"Em ajustes",$A$2:$A$5001,"&lt;"&amp;I2869)&gt;0,1,0),0))</f>
        <v/>
      </c>
      <c r="L2869" s="16" t="str">
        <f aca="false">IF(B2869="","",IF(A2869=_xlfn.MAXIFS($A$2:$A$5001,$B$2:$B$5001,B2869,$I$2:$I$5001,I2869),1,0))</f>
        <v/>
      </c>
    </row>
    <row r="2870" customFormat="false" ht="15" hidden="false" customHeight="false" outlineLevel="0" collapsed="false">
      <c r="I2870" s="15" t="str">
        <f aca="false">IF(A2870="","",INT(A2870))</f>
        <v/>
      </c>
      <c r="J2870" s="16" t="str">
        <f aca="false">IF(B2870="","",IF(A2870=_xlfn.MINIFS($A$2:$A$5001,$B$2:$B$5001,B2870),1,0))</f>
        <v/>
      </c>
      <c r="K2870" s="16" t="str">
        <f aca="false">IF(B2870="","",IF(AND(D2870="Formalização",E2870="Concluído"),IF(COUNTIFS($B$2:$B$5001,B2870,$E$2:$E$5001,"Em ajustes",$A$2:$A$5001,"&lt;"&amp;I2870)&gt;0,1,0),0))</f>
        <v/>
      </c>
      <c r="L2870" s="16" t="str">
        <f aca="false">IF(B2870="","",IF(A2870=_xlfn.MAXIFS($A$2:$A$5001,$B$2:$B$5001,B2870,$I$2:$I$5001,I2870),1,0))</f>
        <v/>
      </c>
    </row>
    <row r="2871" customFormat="false" ht="15" hidden="false" customHeight="false" outlineLevel="0" collapsed="false">
      <c r="I2871" s="15" t="str">
        <f aca="false">IF(A2871="","",INT(A2871))</f>
        <v/>
      </c>
      <c r="J2871" s="16" t="str">
        <f aca="false">IF(B2871="","",IF(A2871=_xlfn.MINIFS($A$2:$A$5001,$B$2:$B$5001,B2871),1,0))</f>
        <v/>
      </c>
      <c r="K2871" s="16" t="str">
        <f aca="false">IF(B2871="","",IF(AND(D2871="Formalização",E2871="Concluído"),IF(COUNTIFS($B$2:$B$5001,B2871,$E$2:$E$5001,"Em ajustes",$A$2:$A$5001,"&lt;"&amp;I2871)&gt;0,1,0),0))</f>
        <v/>
      </c>
      <c r="L2871" s="16" t="str">
        <f aca="false">IF(B2871="","",IF(A2871=_xlfn.MAXIFS($A$2:$A$5001,$B$2:$B$5001,B2871,$I$2:$I$5001,I2871),1,0))</f>
        <v/>
      </c>
    </row>
    <row r="2872" customFormat="false" ht="15" hidden="false" customHeight="false" outlineLevel="0" collapsed="false">
      <c r="I2872" s="15" t="str">
        <f aca="false">IF(A2872="","",INT(A2872))</f>
        <v/>
      </c>
      <c r="J2872" s="16" t="str">
        <f aca="false">IF(B2872="","",IF(A2872=_xlfn.MINIFS($A$2:$A$5001,$B$2:$B$5001,B2872),1,0))</f>
        <v/>
      </c>
      <c r="K2872" s="16" t="str">
        <f aca="false">IF(B2872="","",IF(AND(D2872="Formalização",E2872="Concluído"),IF(COUNTIFS($B$2:$B$5001,B2872,$E$2:$E$5001,"Em ajustes",$A$2:$A$5001,"&lt;"&amp;I2872)&gt;0,1,0),0))</f>
        <v/>
      </c>
      <c r="L2872" s="16" t="str">
        <f aca="false">IF(B2872="","",IF(A2872=_xlfn.MAXIFS($A$2:$A$5001,$B$2:$B$5001,B2872,$I$2:$I$5001,I2872),1,0))</f>
        <v/>
      </c>
    </row>
    <row r="2873" customFormat="false" ht="15" hidden="false" customHeight="false" outlineLevel="0" collapsed="false">
      <c r="I2873" s="15" t="str">
        <f aca="false">IF(A2873="","",INT(A2873))</f>
        <v/>
      </c>
      <c r="J2873" s="16" t="str">
        <f aca="false">IF(B2873="","",IF(A2873=_xlfn.MINIFS($A$2:$A$5001,$B$2:$B$5001,B2873),1,0))</f>
        <v/>
      </c>
      <c r="K2873" s="16" t="str">
        <f aca="false">IF(B2873="","",IF(AND(D2873="Formalização",E2873="Concluído"),IF(COUNTIFS($B$2:$B$5001,B2873,$E$2:$E$5001,"Em ajustes",$A$2:$A$5001,"&lt;"&amp;I2873)&gt;0,1,0),0))</f>
        <v/>
      </c>
      <c r="L2873" s="16" t="str">
        <f aca="false">IF(B2873="","",IF(A2873=_xlfn.MAXIFS($A$2:$A$5001,$B$2:$B$5001,B2873,$I$2:$I$5001,I2873),1,0))</f>
        <v/>
      </c>
    </row>
    <row r="2874" customFormat="false" ht="15" hidden="false" customHeight="false" outlineLevel="0" collapsed="false">
      <c r="I2874" s="15" t="str">
        <f aca="false">IF(A2874="","",INT(A2874))</f>
        <v/>
      </c>
      <c r="J2874" s="16" t="str">
        <f aca="false">IF(B2874="","",IF(A2874=_xlfn.MINIFS($A$2:$A$5001,$B$2:$B$5001,B2874),1,0))</f>
        <v/>
      </c>
      <c r="K2874" s="16" t="str">
        <f aca="false">IF(B2874="","",IF(AND(D2874="Formalização",E2874="Concluído"),IF(COUNTIFS($B$2:$B$5001,B2874,$E$2:$E$5001,"Em ajustes",$A$2:$A$5001,"&lt;"&amp;I2874)&gt;0,1,0),0))</f>
        <v/>
      </c>
      <c r="L2874" s="16" t="str">
        <f aca="false">IF(B2874="","",IF(A2874=_xlfn.MAXIFS($A$2:$A$5001,$B$2:$B$5001,B2874,$I$2:$I$5001,I2874),1,0))</f>
        <v/>
      </c>
    </row>
    <row r="2875" customFormat="false" ht="15" hidden="false" customHeight="false" outlineLevel="0" collapsed="false">
      <c r="I2875" s="15" t="str">
        <f aca="false">IF(A2875="","",INT(A2875))</f>
        <v/>
      </c>
      <c r="J2875" s="16" t="str">
        <f aca="false">IF(B2875="","",IF(A2875=_xlfn.MINIFS($A$2:$A$5001,$B$2:$B$5001,B2875),1,0))</f>
        <v/>
      </c>
      <c r="K2875" s="16" t="str">
        <f aca="false">IF(B2875="","",IF(AND(D2875="Formalização",E2875="Concluído"),IF(COUNTIFS($B$2:$B$5001,B2875,$E$2:$E$5001,"Em ajustes",$A$2:$A$5001,"&lt;"&amp;I2875)&gt;0,1,0),0))</f>
        <v/>
      </c>
      <c r="L2875" s="16" t="str">
        <f aca="false">IF(B2875="","",IF(A2875=_xlfn.MAXIFS($A$2:$A$5001,$B$2:$B$5001,B2875,$I$2:$I$5001,I2875),1,0))</f>
        <v/>
      </c>
    </row>
    <row r="2876" customFormat="false" ht="15" hidden="false" customHeight="false" outlineLevel="0" collapsed="false">
      <c r="I2876" s="15" t="str">
        <f aca="false">IF(A2876="","",INT(A2876))</f>
        <v/>
      </c>
      <c r="J2876" s="16" t="str">
        <f aca="false">IF(B2876="","",IF(A2876=_xlfn.MINIFS($A$2:$A$5001,$B$2:$B$5001,B2876),1,0))</f>
        <v/>
      </c>
      <c r="K2876" s="16" t="str">
        <f aca="false">IF(B2876="","",IF(AND(D2876="Formalização",E2876="Concluído"),IF(COUNTIFS($B$2:$B$5001,B2876,$E$2:$E$5001,"Em ajustes",$A$2:$A$5001,"&lt;"&amp;I2876)&gt;0,1,0),0))</f>
        <v/>
      </c>
      <c r="L2876" s="16" t="str">
        <f aca="false">IF(B2876="","",IF(A2876=_xlfn.MAXIFS($A$2:$A$5001,$B$2:$B$5001,B2876,$I$2:$I$5001,I2876),1,0))</f>
        <v/>
      </c>
    </row>
    <row r="2877" customFormat="false" ht="15" hidden="false" customHeight="false" outlineLevel="0" collapsed="false">
      <c r="I2877" s="15" t="str">
        <f aca="false">IF(A2877="","",INT(A2877))</f>
        <v/>
      </c>
      <c r="J2877" s="16" t="str">
        <f aca="false">IF(B2877="","",IF(A2877=_xlfn.MINIFS($A$2:$A$5001,$B$2:$B$5001,B2877),1,0))</f>
        <v/>
      </c>
      <c r="K2877" s="16" t="str">
        <f aca="false">IF(B2877="","",IF(AND(D2877="Formalização",E2877="Concluído"),IF(COUNTIFS($B$2:$B$5001,B2877,$E$2:$E$5001,"Em ajustes",$A$2:$A$5001,"&lt;"&amp;I2877)&gt;0,1,0),0))</f>
        <v/>
      </c>
      <c r="L2877" s="16" t="str">
        <f aca="false">IF(B2877="","",IF(A2877=_xlfn.MAXIFS($A$2:$A$5001,$B$2:$B$5001,B2877,$I$2:$I$5001,I2877),1,0))</f>
        <v/>
      </c>
    </row>
    <row r="2878" customFormat="false" ht="15" hidden="false" customHeight="false" outlineLevel="0" collapsed="false">
      <c r="I2878" s="15" t="str">
        <f aca="false">IF(A2878="","",INT(A2878))</f>
        <v/>
      </c>
      <c r="J2878" s="16" t="str">
        <f aca="false">IF(B2878="","",IF(A2878=_xlfn.MINIFS($A$2:$A$5001,$B$2:$B$5001,B2878),1,0))</f>
        <v/>
      </c>
      <c r="K2878" s="16" t="str">
        <f aca="false">IF(B2878="","",IF(AND(D2878="Formalização",E2878="Concluído"),IF(COUNTIFS($B$2:$B$5001,B2878,$E$2:$E$5001,"Em ajustes",$A$2:$A$5001,"&lt;"&amp;I2878)&gt;0,1,0),0))</f>
        <v/>
      </c>
      <c r="L2878" s="16" t="str">
        <f aca="false">IF(B2878="","",IF(A2878=_xlfn.MAXIFS($A$2:$A$5001,$B$2:$B$5001,B2878,$I$2:$I$5001,I2878),1,0))</f>
        <v/>
      </c>
    </row>
    <row r="2879" customFormat="false" ht="15" hidden="false" customHeight="false" outlineLevel="0" collapsed="false">
      <c r="I2879" s="15" t="str">
        <f aca="false">IF(A2879="","",INT(A2879))</f>
        <v/>
      </c>
      <c r="J2879" s="16" t="str">
        <f aca="false">IF(B2879="","",IF(A2879=_xlfn.MINIFS($A$2:$A$5001,$B$2:$B$5001,B2879),1,0))</f>
        <v/>
      </c>
      <c r="K2879" s="16" t="str">
        <f aca="false">IF(B2879="","",IF(AND(D2879="Formalização",E2879="Concluído"),IF(COUNTIFS($B$2:$B$5001,B2879,$E$2:$E$5001,"Em ajustes",$A$2:$A$5001,"&lt;"&amp;I2879)&gt;0,1,0),0))</f>
        <v/>
      </c>
      <c r="L2879" s="16" t="str">
        <f aca="false">IF(B2879="","",IF(A2879=_xlfn.MAXIFS($A$2:$A$5001,$B$2:$B$5001,B2879,$I$2:$I$5001,I2879),1,0))</f>
        <v/>
      </c>
    </row>
    <row r="2880" customFormat="false" ht="15" hidden="false" customHeight="false" outlineLevel="0" collapsed="false">
      <c r="I2880" s="15" t="str">
        <f aca="false">IF(A2880="","",INT(A2880))</f>
        <v/>
      </c>
      <c r="J2880" s="16" t="str">
        <f aca="false">IF(B2880="","",IF(A2880=_xlfn.MINIFS($A$2:$A$5001,$B$2:$B$5001,B2880),1,0))</f>
        <v/>
      </c>
      <c r="K2880" s="16" t="str">
        <f aca="false">IF(B2880="","",IF(AND(D2880="Formalização",E2880="Concluído"),IF(COUNTIFS($B$2:$B$5001,B2880,$E$2:$E$5001,"Em ajustes",$A$2:$A$5001,"&lt;"&amp;I2880)&gt;0,1,0),0))</f>
        <v/>
      </c>
      <c r="L2880" s="16" t="str">
        <f aca="false">IF(B2880="","",IF(A2880=_xlfn.MAXIFS($A$2:$A$5001,$B$2:$B$5001,B2880,$I$2:$I$5001,I2880),1,0))</f>
        <v/>
      </c>
    </row>
    <row r="2881" customFormat="false" ht="15" hidden="false" customHeight="false" outlineLevel="0" collapsed="false">
      <c r="I2881" s="15" t="str">
        <f aca="false">IF(A2881="","",INT(A2881))</f>
        <v/>
      </c>
      <c r="J2881" s="16" t="str">
        <f aca="false">IF(B2881="","",IF(A2881=_xlfn.MINIFS($A$2:$A$5001,$B$2:$B$5001,B2881),1,0))</f>
        <v/>
      </c>
      <c r="K2881" s="16" t="str">
        <f aca="false">IF(B2881="","",IF(AND(D2881="Formalização",E2881="Concluído"),IF(COUNTIFS($B$2:$B$5001,B2881,$E$2:$E$5001,"Em ajustes",$A$2:$A$5001,"&lt;"&amp;I2881)&gt;0,1,0),0))</f>
        <v/>
      </c>
      <c r="L2881" s="16" t="str">
        <f aca="false">IF(B2881="","",IF(A2881=_xlfn.MAXIFS($A$2:$A$5001,$B$2:$B$5001,B2881,$I$2:$I$5001,I2881),1,0))</f>
        <v/>
      </c>
    </row>
    <row r="2882" customFormat="false" ht="15" hidden="false" customHeight="false" outlineLevel="0" collapsed="false">
      <c r="I2882" s="15" t="str">
        <f aca="false">IF(A2882="","",INT(A2882))</f>
        <v/>
      </c>
      <c r="J2882" s="16" t="str">
        <f aca="false">IF(B2882="","",IF(A2882=_xlfn.MINIFS($A$2:$A$5001,$B$2:$B$5001,B2882),1,0))</f>
        <v/>
      </c>
      <c r="K2882" s="16" t="str">
        <f aca="false">IF(B2882="","",IF(AND(D2882="Formalização",E2882="Concluído"),IF(COUNTIFS($B$2:$B$5001,B2882,$E$2:$E$5001,"Em ajustes",$A$2:$A$5001,"&lt;"&amp;I2882)&gt;0,1,0),0))</f>
        <v/>
      </c>
      <c r="L2882" s="16" t="str">
        <f aca="false">IF(B2882="","",IF(A2882=_xlfn.MAXIFS($A$2:$A$5001,$B$2:$B$5001,B2882,$I$2:$I$5001,I2882),1,0))</f>
        <v/>
      </c>
    </row>
    <row r="2883" customFormat="false" ht="15" hidden="false" customHeight="false" outlineLevel="0" collapsed="false">
      <c r="I2883" s="15" t="str">
        <f aca="false">IF(A2883="","",INT(A2883))</f>
        <v/>
      </c>
      <c r="J2883" s="16" t="str">
        <f aca="false">IF(B2883="","",IF(A2883=_xlfn.MINIFS($A$2:$A$5001,$B$2:$B$5001,B2883),1,0))</f>
        <v/>
      </c>
      <c r="K2883" s="16" t="str">
        <f aca="false">IF(B2883="","",IF(AND(D2883="Formalização",E2883="Concluído"),IF(COUNTIFS($B$2:$B$5001,B2883,$E$2:$E$5001,"Em ajustes",$A$2:$A$5001,"&lt;"&amp;I2883)&gt;0,1,0),0))</f>
        <v/>
      </c>
      <c r="L2883" s="16" t="str">
        <f aca="false">IF(B2883="","",IF(A2883=_xlfn.MAXIFS($A$2:$A$5001,$B$2:$B$5001,B2883,$I$2:$I$5001,I2883),1,0))</f>
        <v/>
      </c>
    </row>
    <row r="2884" customFormat="false" ht="15" hidden="false" customHeight="false" outlineLevel="0" collapsed="false">
      <c r="I2884" s="15" t="str">
        <f aca="false">IF(A2884="","",INT(A2884))</f>
        <v/>
      </c>
      <c r="J2884" s="16" t="str">
        <f aca="false">IF(B2884="","",IF(A2884=_xlfn.MINIFS($A$2:$A$5001,$B$2:$B$5001,B2884),1,0))</f>
        <v/>
      </c>
      <c r="K2884" s="16" t="str">
        <f aca="false">IF(B2884="","",IF(AND(D2884="Formalização",E2884="Concluído"),IF(COUNTIFS($B$2:$B$5001,B2884,$E$2:$E$5001,"Em ajustes",$A$2:$A$5001,"&lt;"&amp;I2884)&gt;0,1,0),0))</f>
        <v/>
      </c>
      <c r="L2884" s="16" t="str">
        <f aca="false">IF(B2884="","",IF(A2884=_xlfn.MAXIFS($A$2:$A$5001,$B$2:$B$5001,B2884,$I$2:$I$5001,I2884),1,0))</f>
        <v/>
      </c>
    </row>
    <row r="2885" customFormat="false" ht="15" hidden="false" customHeight="false" outlineLevel="0" collapsed="false">
      <c r="I2885" s="15" t="str">
        <f aca="false">IF(A2885="","",INT(A2885))</f>
        <v/>
      </c>
      <c r="J2885" s="16" t="str">
        <f aca="false">IF(B2885="","",IF(A2885=_xlfn.MINIFS($A$2:$A$5001,$B$2:$B$5001,B2885),1,0))</f>
        <v/>
      </c>
      <c r="K2885" s="16" t="str">
        <f aca="false">IF(B2885="","",IF(AND(D2885="Formalização",E2885="Concluído"),IF(COUNTIFS($B$2:$B$5001,B2885,$E$2:$E$5001,"Em ajustes",$A$2:$A$5001,"&lt;"&amp;I2885)&gt;0,1,0),0))</f>
        <v/>
      </c>
      <c r="L2885" s="16" t="str">
        <f aca="false">IF(B2885="","",IF(A2885=_xlfn.MAXIFS($A$2:$A$5001,$B$2:$B$5001,B2885,$I$2:$I$5001,I2885),1,0))</f>
        <v/>
      </c>
    </row>
    <row r="2886" customFormat="false" ht="15" hidden="false" customHeight="false" outlineLevel="0" collapsed="false">
      <c r="I2886" s="15" t="str">
        <f aca="false">IF(A2886="","",INT(A2886))</f>
        <v/>
      </c>
      <c r="J2886" s="16" t="str">
        <f aca="false">IF(B2886="","",IF(A2886=_xlfn.MINIFS($A$2:$A$5001,$B$2:$B$5001,B2886),1,0))</f>
        <v/>
      </c>
      <c r="K2886" s="16" t="str">
        <f aca="false">IF(B2886="","",IF(AND(D2886="Formalização",E2886="Concluído"),IF(COUNTIFS($B$2:$B$5001,B2886,$E$2:$E$5001,"Em ajustes",$A$2:$A$5001,"&lt;"&amp;I2886)&gt;0,1,0),0))</f>
        <v/>
      </c>
      <c r="L2886" s="16" t="str">
        <f aca="false">IF(B2886="","",IF(A2886=_xlfn.MAXIFS($A$2:$A$5001,$B$2:$B$5001,B2886,$I$2:$I$5001,I2886),1,0))</f>
        <v/>
      </c>
    </row>
    <row r="2887" customFormat="false" ht="15" hidden="false" customHeight="false" outlineLevel="0" collapsed="false">
      <c r="I2887" s="15" t="str">
        <f aca="false">IF(A2887="","",INT(A2887))</f>
        <v/>
      </c>
      <c r="J2887" s="16" t="str">
        <f aca="false">IF(B2887="","",IF(A2887=_xlfn.MINIFS($A$2:$A$5001,$B$2:$B$5001,B2887),1,0))</f>
        <v/>
      </c>
      <c r="K2887" s="16" t="str">
        <f aca="false">IF(B2887="","",IF(AND(D2887="Formalização",E2887="Concluído"),IF(COUNTIFS($B$2:$B$5001,B2887,$E$2:$E$5001,"Em ajustes",$A$2:$A$5001,"&lt;"&amp;I2887)&gt;0,1,0),0))</f>
        <v/>
      </c>
      <c r="L2887" s="16" t="str">
        <f aca="false">IF(B2887="","",IF(A2887=_xlfn.MAXIFS($A$2:$A$5001,$B$2:$B$5001,B2887,$I$2:$I$5001,I2887),1,0))</f>
        <v/>
      </c>
    </row>
    <row r="2888" customFormat="false" ht="15" hidden="false" customHeight="false" outlineLevel="0" collapsed="false">
      <c r="I2888" s="15" t="str">
        <f aca="false">IF(A2888="","",INT(A2888))</f>
        <v/>
      </c>
      <c r="J2888" s="16" t="str">
        <f aca="false">IF(B2888="","",IF(A2888=_xlfn.MINIFS($A$2:$A$5001,$B$2:$B$5001,B2888),1,0))</f>
        <v/>
      </c>
      <c r="K2888" s="16" t="str">
        <f aca="false">IF(B2888="","",IF(AND(D2888="Formalização",E2888="Concluído"),IF(COUNTIFS($B$2:$B$5001,B2888,$E$2:$E$5001,"Em ajustes",$A$2:$A$5001,"&lt;"&amp;I2888)&gt;0,1,0),0))</f>
        <v/>
      </c>
      <c r="L2888" s="16" t="str">
        <f aca="false">IF(B2888="","",IF(A2888=_xlfn.MAXIFS($A$2:$A$5001,$B$2:$B$5001,B2888,$I$2:$I$5001,I2888),1,0))</f>
        <v/>
      </c>
    </row>
    <row r="2889" customFormat="false" ht="15" hidden="false" customHeight="false" outlineLevel="0" collapsed="false">
      <c r="I2889" s="15" t="str">
        <f aca="false">IF(A2889="","",INT(A2889))</f>
        <v/>
      </c>
      <c r="J2889" s="16" t="str">
        <f aca="false">IF(B2889="","",IF(A2889=_xlfn.MINIFS($A$2:$A$5001,$B$2:$B$5001,B2889),1,0))</f>
        <v/>
      </c>
      <c r="K2889" s="16" t="str">
        <f aca="false">IF(B2889="","",IF(AND(D2889="Formalização",E2889="Concluído"),IF(COUNTIFS($B$2:$B$5001,B2889,$E$2:$E$5001,"Em ajustes",$A$2:$A$5001,"&lt;"&amp;I2889)&gt;0,1,0),0))</f>
        <v/>
      </c>
      <c r="L2889" s="16" t="str">
        <f aca="false">IF(B2889="","",IF(A2889=_xlfn.MAXIFS($A$2:$A$5001,$B$2:$B$5001,B2889,$I$2:$I$5001,I2889),1,0))</f>
        <v/>
      </c>
    </row>
    <row r="2890" customFormat="false" ht="15" hidden="false" customHeight="false" outlineLevel="0" collapsed="false">
      <c r="I2890" s="15" t="str">
        <f aca="false">IF(A2890="","",INT(A2890))</f>
        <v/>
      </c>
      <c r="J2890" s="16" t="str">
        <f aca="false">IF(B2890="","",IF(A2890=_xlfn.MINIFS($A$2:$A$5001,$B$2:$B$5001,B2890),1,0))</f>
        <v/>
      </c>
      <c r="K2890" s="16" t="str">
        <f aca="false">IF(B2890="","",IF(AND(D2890="Formalização",E2890="Concluído"),IF(COUNTIFS($B$2:$B$5001,B2890,$E$2:$E$5001,"Em ajustes",$A$2:$A$5001,"&lt;"&amp;I2890)&gt;0,1,0),0))</f>
        <v/>
      </c>
      <c r="L2890" s="16" t="str">
        <f aca="false">IF(B2890="","",IF(A2890=_xlfn.MAXIFS($A$2:$A$5001,$B$2:$B$5001,B2890,$I$2:$I$5001,I2890),1,0))</f>
        <v/>
      </c>
    </row>
    <row r="2891" customFormat="false" ht="15" hidden="false" customHeight="false" outlineLevel="0" collapsed="false">
      <c r="I2891" s="15" t="str">
        <f aca="false">IF(A2891="","",INT(A2891))</f>
        <v/>
      </c>
      <c r="J2891" s="16" t="str">
        <f aca="false">IF(B2891="","",IF(A2891=_xlfn.MINIFS($A$2:$A$5001,$B$2:$B$5001,B2891),1,0))</f>
        <v/>
      </c>
      <c r="K2891" s="16" t="str">
        <f aca="false">IF(B2891="","",IF(AND(D2891="Formalização",E2891="Concluído"),IF(COUNTIFS($B$2:$B$5001,B2891,$E$2:$E$5001,"Em ajustes",$A$2:$A$5001,"&lt;"&amp;I2891)&gt;0,1,0),0))</f>
        <v/>
      </c>
      <c r="L2891" s="16" t="str">
        <f aca="false">IF(B2891="","",IF(A2891=_xlfn.MAXIFS($A$2:$A$5001,$B$2:$B$5001,B2891,$I$2:$I$5001,I2891),1,0))</f>
        <v/>
      </c>
    </row>
    <row r="2892" customFormat="false" ht="15" hidden="false" customHeight="false" outlineLevel="0" collapsed="false">
      <c r="I2892" s="15" t="str">
        <f aca="false">IF(A2892="","",INT(A2892))</f>
        <v/>
      </c>
      <c r="J2892" s="16" t="str">
        <f aca="false">IF(B2892="","",IF(A2892=_xlfn.MINIFS($A$2:$A$5001,$B$2:$B$5001,B2892),1,0))</f>
        <v/>
      </c>
      <c r="K2892" s="16" t="str">
        <f aca="false">IF(B2892="","",IF(AND(D2892="Formalização",E2892="Concluído"),IF(COUNTIFS($B$2:$B$5001,B2892,$E$2:$E$5001,"Em ajustes",$A$2:$A$5001,"&lt;"&amp;I2892)&gt;0,1,0),0))</f>
        <v/>
      </c>
      <c r="L2892" s="16" t="str">
        <f aca="false">IF(B2892="","",IF(A2892=_xlfn.MAXIFS($A$2:$A$5001,$B$2:$B$5001,B2892,$I$2:$I$5001,I2892),1,0))</f>
        <v/>
      </c>
    </row>
    <row r="2893" customFormat="false" ht="15" hidden="false" customHeight="false" outlineLevel="0" collapsed="false">
      <c r="I2893" s="15" t="str">
        <f aca="false">IF(A2893="","",INT(A2893))</f>
        <v/>
      </c>
      <c r="J2893" s="16" t="str">
        <f aca="false">IF(B2893="","",IF(A2893=_xlfn.MINIFS($A$2:$A$5001,$B$2:$B$5001,B2893),1,0))</f>
        <v/>
      </c>
      <c r="K2893" s="16" t="str">
        <f aca="false">IF(B2893="","",IF(AND(D2893="Formalização",E2893="Concluído"),IF(COUNTIFS($B$2:$B$5001,B2893,$E$2:$E$5001,"Em ajustes",$A$2:$A$5001,"&lt;"&amp;I2893)&gt;0,1,0),0))</f>
        <v/>
      </c>
      <c r="L2893" s="16" t="str">
        <f aca="false">IF(B2893="","",IF(A2893=_xlfn.MAXIFS($A$2:$A$5001,$B$2:$B$5001,B2893,$I$2:$I$5001,I2893),1,0))</f>
        <v/>
      </c>
    </row>
    <row r="2894" customFormat="false" ht="15" hidden="false" customHeight="false" outlineLevel="0" collapsed="false">
      <c r="I2894" s="15" t="str">
        <f aca="false">IF(A2894="","",INT(A2894))</f>
        <v/>
      </c>
      <c r="J2894" s="16" t="str">
        <f aca="false">IF(B2894="","",IF(A2894=_xlfn.MINIFS($A$2:$A$5001,$B$2:$B$5001,B2894),1,0))</f>
        <v/>
      </c>
      <c r="K2894" s="16" t="str">
        <f aca="false">IF(B2894="","",IF(AND(D2894="Formalização",E2894="Concluído"),IF(COUNTIFS($B$2:$B$5001,B2894,$E$2:$E$5001,"Em ajustes",$A$2:$A$5001,"&lt;"&amp;I2894)&gt;0,1,0),0))</f>
        <v/>
      </c>
      <c r="L2894" s="16" t="str">
        <f aca="false">IF(B2894="","",IF(A2894=_xlfn.MAXIFS($A$2:$A$5001,$B$2:$B$5001,B2894,$I$2:$I$5001,I2894),1,0))</f>
        <v/>
      </c>
    </row>
    <row r="2895" customFormat="false" ht="15" hidden="false" customHeight="false" outlineLevel="0" collapsed="false">
      <c r="I2895" s="15" t="str">
        <f aca="false">IF(A2895="","",INT(A2895))</f>
        <v/>
      </c>
      <c r="J2895" s="16" t="str">
        <f aca="false">IF(B2895="","",IF(A2895=_xlfn.MINIFS($A$2:$A$5001,$B$2:$B$5001,B2895),1,0))</f>
        <v/>
      </c>
      <c r="K2895" s="16" t="str">
        <f aca="false">IF(B2895="","",IF(AND(D2895="Formalização",E2895="Concluído"),IF(COUNTIFS($B$2:$B$5001,B2895,$E$2:$E$5001,"Em ajustes",$A$2:$A$5001,"&lt;"&amp;I2895)&gt;0,1,0),0))</f>
        <v/>
      </c>
      <c r="L2895" s="16" t="str">
        <f aca="false">IF(B2895="","",IF(A2895=_xlfn.MAXIFS($A$2:$A$5001,$B$2:$B$5001,B2895,$I$2:$I$5001,I2895),1,0))</f>
        <v/>
      </c>
    </row>
    <row r="2896" customFormat="false" ht="15" hidden="false" customHeight="false" outlineLevel="0" collapsed="false">
      <c r="I2896" s="15" t="str">
        <f aca="false">IF(A2896="","",INT(A2896))</f>
        <v/>
      </c>
      <c r="J2896" s="16" t="str">
        <f aca="false">IF(B2896="","",IF(A2896=_xlfn.MINIFS($A$2:$A$5001,$B$2:$B$5001,B2896),1,0))</f>
        <v/>
      </c>
      <c r="K2896" s="16" t="str">
        <f aca="false">IF(B2896="","",IF(AND(D2896="Formalização",E2896="Concluído"),IF(COUNTIFS($B$2:$B$5001,B2896,$E$2:$E$5001,"Em ajustes",$A$2:$A$5001,"&lt;"&amp;I2896)&gt;0,1,0),0))</f>
        <v/>
      </c>
      <c r="L2896" s="16" t="str">
        <f aca="false">IF(B2896="","",IF(A2896=_xlfn.MAXIFS($A$2:$A$5001,$B$2:$B$5001,B2896,$I$2:$I$5001,I2896),1,0))</f>
        <v/>
      </c>
    </row>
    <row r="2897" customFormat="false" ht="15" hidden="false" customHeight="false" outlineLevel="0" collapsed="false">
      <c r="I2897" s="15" t="str">
        <f aca="false">IF(A2897="","",INT(A2897))</f>
        <v/>
      </c>
      <c r="J2897" s="16" t="str">
        <f aca="false">IF(B2897="","",IF(A2897=_xlfn.MINIFS($A$2:$A$5001,$B$2:$B$5001,B2897),1,0))</f>
        <v/>
      </c>
      <c r="K2897" s="16" t="str">
        <f aca="false">IF(B2897="","",IF(AND(D2897="Formalização",E2897="Concluído"),IF(COUNTIFS($B$2:$B$5001,B2897,$E$2:$E$5001,"Em ajustes",$A$2:$A$5001,"&lt;"&amp;I2897)&gt;0,1,0),0))</f>
        <v/>
      </c>
      <c r="L2897" s="16" t="str">
        <f aca="false">IF(B2897="","",IF(A2897=_xlfn.MAXIFS($A$2:$A$5001,$B$2:$B$5001,B2897,$I$2:$I$5001,I2897),1,0))</f>
        <v/>
      </c>
    </row>
    <row r="2898" customFormat="false" ht="15" hidden="false" customHeight="false" outlineLevel="0" collapsed="false">
      <c r="I2898" s="15" t="str">
        <f aca="false">IF(A2898="","",INT(A2898))</f>
        <v/>
      </c>
      <c r="J2898" s="16" t="str">
        <f aca="false">IF(B2898="","",IF(A2898=_xlfn.MINIFS($A$2:$A$5001,$B$2:$B$5001,B2898),1,0))</f>
        <v/>
      </c>
      <c r="K2898" s="16" t="str">
        <f aca="false">IF(B2898="","",IF(AND(D2898="Formalização",E2898="Concluído"),IF(COUNTIFS($B$2:$B$5001,B2898,$E$2:$E$5001,"Em ajustes",$A$2:$A$5001,"&lt;"&amp;I2898)&gt;0,1,0),0))</f>
        <v/>
      </c>
      <c r="L2898" s="16" t="str">
        <f aca="false">IF(B2898="","",IF(A2898=_xlfn.MAXIFS($A$2:$A$5001,$B$2:$B$5001,B2898,$I$2:$I$5001,I2898),1,0))</f>
        <v/>
      </c>
    </row>
    <row r="2899" customFormat="false" ht="15" hidden="false" customHeight="false" outlineLevel="0" collapsed="false">
      <c r="I2899" s="15" t="str">
        <f aca="false">IF(A2899="","",INT(A2899))</f>
        <v/>
      </c>
      <c r="J2899" s="16" t="str">
        <f aca="false">IF(B2899="","",IF(A2899=_xlfn.MINIFS($A$2:$A$5001,$B$2:$B$5001,B2899),1,0))</f>
        <v/>
      </c>
      <c r="K2899" s="16" t="str">
        <f aca="false">IF(B2899="","",IF(AND(D2899="Formalização",E2899="Concluído"),IF(COUNTIFS($B$2:$B$5001,B2899,$E$2:$E$5001,"Em ajustes",$A$2:$A$5001,"&lt;"&amp;I2899)&gt;0,1,0),0))</f>
        <v/>
      </c>
      <c r="L2899" s="16" t="str">
        <f aca="false">IF(B2899="","",IF(A2899=_xlfn.MAXIFS($A$2:$A$5001,$B$2:$B$5001,B2899,$I$2:$I$5001,I2899),1,0))</f>
        <v/>
      </c>
    </row>
    <row r="2900" customFormat="false" ht="15" hidden="false" customHeight="false" outlineLevel="0" collapsed="false">
      <c r="I2900" s="15" t="str">
        <f aca="false">IF(A2900="","",INT(A2900))</f>
        <v/>
      </c>
      <c r="J2900" s="16" t="str">
        <f aca="false">IF(B2900="","",IF(A2900=_xlfn.MINIFS($A$2:$A$5001,$B$2:$B$5001,B2900),1,0))</f>
        <v/>
      </c>
      <c r="K2900" s="16" t="str">
        <f aca="false">IF(B2900="","",IF(AND(D2900="Formalização",E2900="Concluído"),IF(COUNTIFS($B$2:$B$5001,B2900,$E$2:$E$5001,"Em ajustes",$A$2:$A$5001,"&lt;"&amp;I2900)&gt;0,1,0),0))</f>
        <v/>
      </c>
      <c r="L2900" s="16" t="str">
        <f aca="false">IF(B2900="","",IF(A2900=_xlfn.MAXIFS($A$2:$A$5001,$B$2:$B$5001,B2900,$I$2:$I$5001,I2900),1,0))</f>
        <v/>
      </c>
    </row>
    <row r="2901" customFormat="false" ht="15" hidden="false" customHeight="false" outlineLevel="0" collapsed="false">
      <c r="I2901" s="15" t="str">
        <f aca="false">IF(A2901="","",INT(A2901))</f>
        <v/>
      </c>
      <c r="J2901" s="16" t="str">
        <f aca="false">IF(B2901="","",IF(A2901=_xlfn.MINIFS($A$2:$A$5001,$B$2:$B$5001,B2901),1,0))</f>
        <v/>
      </c>
      <c r="K2901" s="16" t="str">
        <f aca="false">IF(B2901="","",IF(AND(D2901="Formalização",E2901="Concluído"),IF(COUNTIFS($B$2:$B$5001,B2901,$E$2:$E$5001,"Em ajustes",$A$2:$A$5001,"&lt;"&amp;I2901)&gt;0,1,0),0))</f>
        <v/>
      </c>
      <c r="L2901" s="16" t="str">
        <f aca="false">IF(B2901="","",IF(A2901=_xlfn.MAXIFS($A$2:$A$5001,$B$2:$B$5001,B2901,$I$2:$I$5001,I2901),1,0))</f>
        <v/>
      </c>
    </row>
    <row r="2902" customFormat="false" ht="15" hidden="false" customHeight="false" outlineLevel="0" collapsed="false">
      <c r="I2902" s="15" t="str">
        <f aca="false">IF(A2902="","",INT(A2902))</f>
        <v/>
      </c>
      <c r="J2902" s="16" t="str">
        <f aca="false">IF(B2902="","",IF(A2902=_xlfn.MINIFS($A$2:$A$5001,$B$2:$B$5001,B2902),1,0))</f>
        <v/>
      </c>
      <c r="K2902" s="16" t="str">
        <f aca="false">IF(B2902="","",IF(AND(D2902="Formalização",E2902="Concluído"),IF(COUNTIFS($B$2:$B$5001,B2902,$E$2:$E$5001,"Em ajustes",$A$2:$A$5001,"&lt;"&amp;I2902)&gt;0,1,0),0))</f>
        <v/>
      </c>
      <c r="L2902" s="16" t="str">
        <f aca="false">IF(B2902="","",IF(A2902=_xlfn.MAXIFS($A$2:$A$5001,$B$2:$B$5001,B2902,$I$2:$I$5001,I2902),1,0))</f>
        <v/>
      </c>
    </row>
    <row r="2903" customFormat="false" ht="15" hidden="false" customHeight="false" outlineLevel="0" collapsed="false">
      <c r="I2903" s="15" t="str">
        <f aca="false">IF(A2903="","",INT(A2903))</f>
        <v/>
      </c>
      <c r="J2903" s="16" t="str">
        <f aca="false">IF(B2903="","",IF(A2903=_xlfn.MINIFS($A$2:$A$5001,$B$2:$B$5001,B2903),1,0))</f>
        <v/>
      </c>
      <c r="K2903" s="16" t="str">
        <f aca="false">IF(B2903="","",IF(AND(D2903="Formalização",E2903="Concluído"),IF(COUNTIFS($B$2:$B$5001,B2903,$E$2:$E$5001,"Em ajustes",$A$2:$A$5001,"&lt;"&amp;I2903)&gt;0,1,0),0))</f>
        <v/>
      </c>
      <c r="L2903" s="16" t="str">
        <f aca="false">IF(B2903="","",IF(A2903=_xlfn.MAXIFS($A$2:$A$5001,$B$2:$B$5001,B2903,$I$2:$I$5001,I2903),1,0))</f>
        <v/>
      </c>
    </row>
    <row r="2904" customFormat="false" ht="15" hidden="false" customHeight="false" outlineLevel="0" collapsed="false">
      <c r="I2904" s="15" t="str">
        <f aca="false">IF(A2904="","",INT(A2904))</f>
        <v/>
      </c>
      <c r="J2904" s="16" t="str">
        <f aca="false">IF(B2904="","",IF(A2904=_xlfn.MINIFS($A$2:$A$5001,$B$2:$B$5001,B2904),1,0))</f>
        <v/>
      </c>
      <c r="K2904" s="16" t="str">
        <f aca="false">IF(B2904="","",IF(AND(D2904="Formalização",E2904="Concluído"),IF(COUNTIFS($B$2:$B$5001,B2904,$E$2:$E$5001,"Em ajustes",$A$2:$A$5001,"&lt;"&amp;I2904)&gt;0,1,0),0))</f>
        <v/>
      </c>
      <c r="L2904" s="16" t="str">
        <f aca="false">IF(B2904="","",IF(A2904=_xlfn.MAXIFS($A$2:$A$5001,$B$2:$B$5001,B2904,$I$2:$I$5001,I2904),1,0))</f>
        <v/>
      </c>
    </row>
    <row r="2905" customFormat="false" ht="15" hidden="false" customHeight="false" outlineLevel="0" collapsed="false">
      <c r="I2905" s="15" t="str">
        <f aca="false">IF(A2905="","",INT(A2905))</f>
        <v/>
      </c>
      <c r="J2905" s="16" t="str">
        <f aca="false">IF(B2905="","",IF(A2905=_xlfn.MINIFS($A$2:$A$5001,$B$2:$B$5001,B2905),1,0))</f>
        <v/>
      </c>
      <c r="K2905" s="16" t="str">
        <f aca="false">IF(B2905="","",IF(AND(D2905="Formalização",E2905="Concluído"),IF(COUNTIFS($B$2:$B$5001,B2905,$E$2:$E$5001,"Em ajustes",$A$2:$A$5001,"&lt;"&amp;I2905)&gt;0,1,0),0))</f>
        <v/>
      </c>
      <c r="L2905" s="16" t="str">
        <f aca="false">IF(B2905="","",IF(A2905=_xlfn.MAXIFS($A$2:$A$5001,$B$2:$B$5001,B2905,$I$2:$I$5001,I2905),1,0))</f>
        <v/>
      </c>
    </row>
    <row r="2906" customFormat="false" ht="15" hidden="false" customHeight="false" outlineLevel="0" collapsed="false">
      <c r="I2906" s="15" t="str">
        <f aca="false">IF(A2906="","",INT(A2906))</f>
        <v/>
      </c>
      <c r="J2906" s="16" t="str">
        <f aca="false">IF(B2906="","",IF(A2906=_xlfn.MINIFS($A$2:$A$5001,$B$2:$B$5001,B2906),1,0))</f>
        <v/>
      </c>
      <c r="K2906" s="16" t="str">
        <f aca="false">IF(B2906="","",IF(AND(D2906="Formalização",E2906="Concluído"),IF(COUNTIFS($B$2:$B$5001,B2906,$E$2:$E$5001,"Em ajustes",$A$2:$A$5001,"&lt;"&amp;I2906)&gt;0,1,0),0))</f>
        <v/>
      </c>
      <c r="L2906" s="16" t="str">
        <f aca="false">IF(B2906="","",IF(A2906=_xlfn.MAXIFS($A$2:$A$5001,$B$2:$B$5001,B2906,$I$2:$I$5001,I2906),1,0))</f>
        <v/>
      </c>
    </row>
    <row r="2907" customFormat="false" ht="15" hidden="false" customHeight="false" outlineLevel="0" collapsed="false">
      <c r="I2907" s="15" t="str">
        <f aca="false">IF(A2907="","",INT(A2907))</f>
        <v/>
      </c>
      <c r="J2907" s="16" t="str">
        <f aca="false">IF(B2907="","",IF(A2907=_xlfn.MINIFS($A$2:$A$5001,$B$2:$B$5001,B2907),1,0))</f>
        <v/>
      </c>
      <c r="K2907" s="16" t="str">
        <f aca="false">IF(B2907="","",IF(AND(D2907="Formalização",E2907="Concluído"),IF(COUNTIFS($B$2:$B$5001,B2907,$E$2:$E$5001,"Em ajustes",$A$2:$A$5001,"&lt;"&amp;I2907)&gt;0,1,0),0))</f>
        <v/>
      </c>
      <c r="L2907" s="16" t="str">
        <f aca="false">IF(B2907="","",IF(A2907=_xlfn.MAXIFS($A$2:$A$5001,$B$2:$B$5001,B2907,$I$2:$I$5001,I2907),1,0))</f>
        <v/>
      </c>
    </row>
    <row r="2908" customFormat="false" ht="15" hidden="false" customHeight="false" outlineLevel="0" collapsed="false">
      <c r="I2908" s="15" t="str">
        <f aca="false">IF(A2908="","",INT(A2908))</f>
        <v/>
      </c>
      <c r="J2908" s="16" t="str">
        <f aca="false">IF(B2908="","",IF(A2908=_xlfn.MINIFS($A$2:$A$5001,$B$2:$B$5001,B2908),1,0))</f>
        <v/>
      </c>
      <c r="K2908" s="16" t="str">
        <f aca="false">IF(B2908="","",IF(AND(D2908="Formalização",E2908="Concluído"),IF(COUNTIFS($B$2:$B$5001,B2908,$E$2:$E$5001,"Em ajustes",$A$2:$A$5001,"&lt;"&amp;I2908)&gt;0,1,0),0))</f>
        <v/>
      </c>
      <c r="L2908" s="16" t="str">
        <f aca="false">IF(B2908="","",IF(A2908=_xlfn.MAXIFS($A$2:$A$5001,$B$2:$B$5001,B2908,$I$2:$I$5001,I2908),1,0))</f>
        <v/>
      </c>
    </row>
    <row r="2909" customFormat="false" ht="15" hidden="false" customHeight="false" outlineLevel="0" collapsed="false">
      <c r="I2909" s="15" t="str">
        <f aca="false">IF(A2909="","",INT(A2909))</f>
        <v/>
      </c>
      <c r="J2909" s="16" t="str">
        <f aca="false">IF(B2909="","",IF(A2909=_xlfn.MINIFS($A$2:$A$5001,$B$2:$B$5001,B2909),1,0))</f>
        <v/>
      </c>
      <c r="K2909" s="16" t="str">
        <f aca="false">IF(B2909="","",IF(AND(D2909="Formalização",E2909="Concluído"),IF(COUNTIFS($B$2:$B$5001,B2909,$E$2:$E$5001,"Em ajustes",$A$2:$A$5001,"&lt;"&amp;I2909)&gt;0,1,0),0))</f>
        <v/>
      </c>
      <c r="L2909" s="16" t="str">
        <f aca="false">IF(B2909="","",IF(A2909=_xlfn.MAXIFS($A$2:$A$5001,$B$2:$B$5001,B2909,$I$2:$I$5001,I2909),1,0))</f>
        <v/>
      </c>
    </row>
    <row r="2910" customFormat="false" ht="15" hidden="false" customHeight="false" outlineLevel="0" collapsed="false">
      <c r="I2910" s="15" t="str">
        <f aca="false">IF(A2910="","",INT(A2910))</f>
        <v/>
      </c>
      <c r="J2910" s="16" t="str">
        <f aca="false">IF(B2910="","",IF(A2910=_xlfn.MINIFS($A$2:$A$5001,$B$2:$B$5001,B2910),1,0))</f>
        <v/>
      </c>
      <c r="K2910" s="16" t="str">
        <f aca="false">IF(B2910="","",IF(AND(D2910="Formalização",E2910="Concluído"),IF(COUNTIFS($B$2:$B$5001,B2910,$E$2:$E$5001,"Em ajustes",$A$2:$A$5001,"&lt;"&amp;I2910)&gt;0,1,0),0))</f>
        <v/>
      </c>
      <c r="L2910" s="16" t="str">
        <f aca="false">IF(B2910="","",IF(A2910=_xlfn.MAXIFS($A$2:$A$5001,$B$2:$B$5001,B2910,$I$2:$I$5001,I2910),1,0))</f>
        <v/>
      </c>
    </row>
    <row r="2911" customFormat="false" ht="15" hidden="false" customHeight="false" outlineLevel="0" collapsed="false">
      <c r="I2911" s="15" t="str">
        <f aca="false">IF(A2911="","",INT(A2911))</f>
        <v/>
      </c>
      <c r="J2911" s="16" t="str">
        <f aca="false">IF(B2911="","",IF(A2911=_xlfn.MINIFS($A$2:$A$5001,$B$2:$B$5001,B2911),1,0))</f>
        <v/>
      </c>
      <c r="K2911" s="16" t="str">
        <f aca="false">IF(B2911="","",IF(AND(D2911="Formalização",E2911="Concluído"),IF(COUNTIFS($B$2:$B$5001,B2911,$E$2:$E$5001,"Em ajustes",$A$2:$A$5001,"&lt;"&amp;I2911)&gt;0,1,0),0))</f>
        <v/>
      </c>
      <c r="L2911" s="16" t="str">
        <f aca="false">IF(B2911="","",IF(A2911=_xlfn.MAXIFS($A$2:$A$5001,$B$2:$B$5001,B2911,$I$2:$I$5001,I2911),1,0))</f>
        <v/>
      </c>
    </row>
    <row r="2912" customFormat="false" ht="15" hidden="false" customHeight="false" outlineLevel="0" collapsed="false">
      <c r="I2912" s="15" t="str">
        <f aca="false">IF(A2912="","",INT(A2912))</f>
        <v/>
      </c>
      <c r="J2912" s="16" t="str">
        <f aca="false">IF(B2912="","",IF(A2912=_xlfn.MINIFS($A$2:$A$5001,$B$2:$B$5001,B2912),1,0))</f>
        <v/>
      </c>
      <c r="K2912" s="16" t="str">
        <f aca="false">IF(B2912="","",IF(AND(D2912="Formalização",E2912="Concluído"),IF(COUNTIFS($B$2:$B$5001,B2912,$E$2:$E$5001,"Em ajustes",$A$2:$A$5001,"&lt;"&amp;I2912)&gt;0,1,0),0))</f>
        <v/>
      </c>
      <c r="L2912" s="16" t="str">
        <f aca="false">IF(B2912="","",IF(A2912=_xlfn.MAXIFS($A$2:$A$5001,$B$2:$B$5001,B2912,$I$2:$I$5001,I2912),1,0))</f>
        <v/>
      </c>
    </row>
    <row r="2913" customFormat="false" ht="15" hidden="false" customHeight="false" outlineLevel="0" collapsed="false">
      <c r="I2913" s="15" t="str">
        <f aca="false">IF(A2913="","",INT(A2913))</f>
        <v/>
      </c>
      <c r="J2913" s="16" t="str">
        <f aca="false">IF(B2913="","",IF(A2913=_xlfn.MINIFS($A$2:$A$5001,$B$2:$B$5001,B2913),1,0))</f>
        <v/>
      </c>
      <c r="K2913" s="16" t="str">
        <f aca="false">IF(B2913="","",IF(AND(D2913="Formalização",E2913="Concluído"),IF(COUNTIFS($B$2:$B$5001,B2913,$E$2:$E$5001,"Em ajustes",$A$2:$A$5001,"&lt;"&amp;I2913)&gt;0,1,0),0))</f>
        <v/>
      </c>
      <c r="L2913" s="16" t="str">
        <f aca="false">IF(B2913="","",IF(A2913=_xlfn.MAXIFS($A$2:$A$5001,$B$2:$B$5001,B2913,$I$2:$I$5001,I2913),1,0))</f>
        <v/>
      </c>
    </row>
    <row r="2914" customFormat="false" ht="15" hidden="false" customHeight="false" outlineLevel="0" collapsed="false">
      <c r="I2914" s="15" t="str">
        <f aca="false">IF(A2914="","",INT(A2914))</f>
        <v/>
      </c>
      <c r="J2914" s="16" t="str">
        <f aca="false">IF(B2914="","",IF(A2914=_xlfn.MINIFS($A$2:$A$5001,$B$2:$B$5001,B2914),1,0))</f>
        <v/>
      </c>
      <c r="K2914" s="16" t="str">
        <f aca="false">IF(B2914="","",IF(AND(D2914="Formalização",E2914="Concluído"),IF(COUNTIFS($B$2:$B$5001,B2914,$E$2:$E$5001,"Em ajustes",$A$2:$A$5001,"&lt;"&amp;I2914)&gt;0,1,0),0))</f>
        <v/>
      </c>
      <c r="L2914" s="16" t="str">
        <f aca="false">IF(B2914="","",IF(A2914=_xlfn.MAXIFS($A$2:$A$5001,$B$2:$B$5001,B2914,$I$2:$I$5001,I2914),1,0))</f>
        <v/>
      </c>
    </row>
    <row r="2915" customFormat="false" ht="15" hidden="false" customHeight="false" outlineLevel="0" collapsed="false">
      <c r="I2915" s="15" t="str">
        <f aca="false">IF(A2915="","",INT(A2915))</f>
        <v/>
      </c>
      <c r="J2915" s="16" t="str">
        <f aca="false">IF(B2915="","",IF(A2915=_xlfn.MINIFS($A$2:$A$5001,$B$2:$B$5001,B2915),1,0))</f>
        <v/>
      </c>
      <c r="K2915" s="16" t="str">
        <f aca="false">IF(B2915="","",IF(AND(D2915="Formalização",E2915="Concluído"),IF(COUNTIFS($B$2:$B$5001,B2915,$E$2:$E$5001,"Em ajustes",$A$2:$A$5001,"&lt;"&amp;I2915)&gt;0,1,0),0))</f>
        <v/>
      </c>
      <c r="L2915" s="16" t="str">
        <f aca="false">IF(B2915="","",IF(A2915=_xlfn.MAXIFS($A$2:$A$5001,$B$2:$B$5001,B2915,$I$2:$I$5001,I2915),1,0))</f>
        <v/>
      </c>
    </row>
    <row r="2916" customFormat="false" ht="15" hidden="false" customHeight="false" outlineLevel="0" collapsed="false">
      <c r="I2916" s="15" t="str">
        <f aca="false">IF(A2916="","",INT(A2916))</f>
        <v/>
      </c>
      <c r="J2916" s="16" t="str">
        <f aca="false">IF(B2916="","",IF(A2916=_xlfn.MINIFS($A$2:$A$5001,$B$2:$B$5001,B2916),1,0))</f>
        <v/>
      </c>
      <c r="K2916" s="16" t="str">
        <f aca="false">IF(B2916="","",IF(AND(D2916="Formalização",E2916="Concluído"),IF(COUNTIFS($B$2:$B$5001,B2916,$E$2:$E$5001,"Em ajustes",$A$2:$A$5001,"&lt;"&amp;I2916)&gt;0,1,0),0))</f>
        <v/>
      </c>
      <c r="L2916" s="16" t="str">
        <f aca="false">IF(B2916="","",IF(A2916=_xlfn.MAXIFS($A$2:$A$5001,$B$2:$B$5001,B2916,$I$2:$I$5001,I2916),1,0))</f>
        <v/>
      </c>
    </row>
    <row r="2917" customFormat="false" ht="15" hidden="false" customHeight="false" outlineLevel="0" collapsed="false">
      <c r="I2917" s="15" t="str">
        <f aca="false">IF(A2917="","",INT(A2917))</f>
        <v/>
      </c>
      <c r="J2917" s="16" t="str">
        <f aca="false">IF(B2917="","",IF(A2917=_xlfn.MINIFS($A$2:$A$5001,$B$2:$B$5001,B2917),1,0))</f>
        <v/>
      </c>
      <c r="K2917" s="16" t="str">
        <f aca="false">IF(B2917="","",IF(AND(D2917="Formalização",E2917="Concluído"),IF(COUNTIFS($B$2:$B$5001,B2917,$E$2:$E$5001,"Em ajustes",$A$2:$A$5001,"&lt;"&amp;I2917)&gt;0,1,0),0))</f>
        <v/>
      </c>
      <c r="L2917" s="16" t="str">
        <f aca="false">IF(B2917="","",IF(A2917=_xlfn.MAXIFS($A$2:$A$5001,$B$2:$B$5001,B2917,$I$2:$I$5001,I2917),1,0))</f>
        <v/>
      </c>
    </row>
    <row r="2918" customFormat="false" ht="15" hidden="false" customHeight="false" outlineLevel="0" collapsed="false">
      <c r="I2918" s="15" t="str">
        <f aca="false">IF(A2918="","",INT(A2918))</f>
        <v/>
      </c>
      <c r="J2918" s="16" t="str">
        <f aca="false">IF(B2918="","",IF(A2918=_xlfn.MINIFS($A$2:$A$5001,$B$2:$B$5001,B2918),1,0))</f>
        <v/>
      </c>
      <c r="K2918" s="16" t="str">
        <f aca="false">IF(B2918="","",IF(AND(D2918="Formalização",E2918="Concluído"),IF(COUNTIFS($B$2:$B$5001,B2918,$E$2:$E$5001,"Em ajustes",$A$2:$A$5001,"&lt;"&amp;I2918)&gt;0,1,0),0))</f>
        <v/>
      </c>
      <c r="L2918" s="16" t="str">
        <f aca="false">IF(B2918="","",IF(A2918=_xlfn.MAXIFS($A$2:$A$5001,$B$2:$B$5001,B2918,$I$2:$I$5001,I2918),1,0))</f>
        <v/>
      </c>
    </row>
    <row r="2919" customFormat="false" ht="15" hidden="false" customHeight="false" outlineLevel="0" collapsed="false">
      <c r="I2919" s="15" t="str">
        <f aca="false">IF(A2919="","",INT(A2919))</f>
        <v/>
      </c>
      <c r="J2919" s="16" t="str">
        <f aca="false">IF(B2919="","",IF(A2919=_xlfn.MINIFS($A$2:$A$5001,$B$2:$B$5001,B2919),1,0))</f>
        <v/>
      </c>
      <c r="K2919" s="16" t="str">
        <f aca="false">IF(B2919="","",IF(AND(D2919="Formalização",E2919="Concluído"),IF(COUNTIFS($B$2:$B$5001,B2919,$E$2:$E$5001,"Em ajustes",$A$2:$A$5001,"&lt;"&amp;I2919)&gt;0,1,0),0))</f>
        <v/>
      </c>
      <c r="L2919" s="16" t="str">
        <f aca="false">IF(B2919="","",IF(A2919=_xlfn.MAXIFS($A$2:$A$5001,$B$2:$B$5001,B2919,$I$2:$I$5001,I2919),1,0))</f>
        <v/>
      </c>
    </row>
    <row r="2920" customFormat="false" ht="15" hidden="false" customHeight="false" outlineLevel="0" collapsed="false">
      <c r="I2920" s="15" t="str">
        <f aca="false">IF(A2920="","",INT(A2920))</f>
        <v/>
      </c>
      <c r="J2920" s="16" t="str">
        <f aca="false">IF(B2920="","",IF(A2920=_xlfn.MINIFS($A$2:$A$5001,$B$2:$B$5001,B2920),1,0))</f>
        <v/>
      </c>
      <c r="K2920" s="16" t="str">
        <f aca="false">IF(B2920="","",IF(AND(D2920="Formalização",E2920="Concluído"),IF(COUNTIFS($B$2:$B$5001,B2920,$E$2:$E$5001,"Em ajustes",$A$2:$A$5001,"&lt;"&amp;I2920)&gt;0,1,0),0))</f>
        <v/>
      </c>
      <c r="L2920" s="16" t="str">
        <f aca="false">IF(B2920="","",IF(A2920=_xlfn.MAXIFS($A$2:$A$5001,$B$2:$B$5001,B2920,$I$2:$I$5001,I2920),1,0))</f>
        <v/>
      </c>
    </row>
    <row r="2921" customFormat="false" ht="15" hidden="false" customHeight="false" outlineLevel="0" collapsed="false">
      <c r="I2921" s="15" t="str">
        <f aca="false">IF(A2921="","",INT(A2921))</f>
        <v/>
      </c>
      <c r="J2921" s="16" t="str">
        <f aca="false">IF(B2921="","",IF(A2921=_xlfn.MINIFS($A$2:$A$5001,$B$2:$B$5001,B2921),1,0))</f>
        <v/>
      </c>
      <c r="K2921" s="16" t="str">
        <f aca="false">IF(B2921="","",IF(AND(D2921="Formalização",E2921="Concluído"),IF(COUNTIFS($B$2:$B$5001,B2921,$E$2:$E$5001,"Em ajustes",$A$2:$A$5001,"&lt;"&amp;I2921)&gt;0,1,0),0))</f>
        <v/>
      </c>
      <c r="L2921" s="16" t="str">
        <f aca="false">IF(B2921="","",IF(A2921=_xlfn.MAXIFS($A$2:$A$5001,$B$2:$B$5001,B2921,$I$2:$I$5001,I2921),1,0))</f>
        <v/>
      </c>
    </row>
    <row r="2922" customFormat="false" ht="15" hidden="false" customHeight="false" outlineLevel="0" collapsed="false">
      <c r="I2922" s="15" t="str">
        <f aca="false">IF(A2922="","",INT(A2922))</f>
        <v/>
      </c>
      <c r="J2922" s="16" t="str">
        <f aca="false">IF(B2922="","",IF(A2922=_xlfn.MINIFS($A$2:$A$5001,$B$2:$B$5001,B2922),1,0))</f>
        <v/>
      </c>
      <c r="K2922" s="16" t="str">
        <f aca="false">IF(B2922="","",IF(AND(D2922="Formalização",E2922="Concluído"),IF(COUNTIFS($B$2:$B$5001,B2922,$E$2:$E$5001,"Em ajustes",$A$2:$A$5001,"&lt;"&amp;I2922)&gt;0,1,0),0))</f>
        <v/>
      </c>
      <c r="L2922" s="16" t="str">
        <f aca="false">IF(B2922="","",IF(A2922=_xlfn.MAXIFS($A$2:$A$5001,$B$2:$B$5001,B2922,$I$2:$I$5001,I2922),1,0))</f>
        <v/>
      </c>
    </row>
    <row r="2923" customFormat="false" ht="15" hidden="false" customHeight="false" outlineLevel="0" collapsed="false">
      <c r="I2923" s="15" t="str">
        <f aca="false">IF(A2923="","",INT(A2923))</f>
        <v/>
      </c>
      <c r="J2923" s="16" t="str">
        <f aca="false">IF(B2923="","",IF(A2923=_xlfn.MINIFS($A$2:$A$5001,$B$2:$B$5001,B2923),1,0))</f>
        <v/>
      </c>
      <c r="K2923" s="16" t="str">
        <f aca="false">IF(B2923="","",IF(AND(D2923="Formalização",E2923="Concluído"),IF(COUNTIFS($B$2:$B$5001,B2923,$E$2:$E$5001,"Em ajustes",$A$2:$A$5001,"&lt;"&amp;I2923)&gt;0,1,0),0))</f>
        <v/>
      </c>
      <c r="L2923" s="16" t="str">
        <f aca="false">IF(B2923="","",IF(A2923=_xlfn.MAXIFS($A$2:$A$5001,$B$2:$B$5001,B2923,$I$2:$I$5001,I2923),1,0))</f>
        <v/>
      </c>
    </row>
    <row r="2924" customFormat="false" ht="15" hidden="false" customHeight="false" outlineLevel="0" collapsed="false">
      <c r="I2924" s="15" t="str">
        <f aca="false">IF(A2924="","",INT(A2924))</f>
        <v/>
      </c>
      <c r="J2924" s="16" t="str">
        <f aca="false">IF(B2924="","",IF(A2924=_xlfn.MINIFS($A$2:$A$5001,$B$2:$B$5001,B2924),1,0))</f>
        <v/>
      </c>
      <c r="K2924" s="16" t="str">
        <f aca="false">IF(B2924="","",IF(AND(D2924="Formalização",E2924="Concluído"),IF(COUNTIFS($B$2:$B$5001,B2924,$E$2:$E$5001,"Em ajustes",$A$2:$A$5001,"&lt;"&amp;I2924)&gt;0,1,0),0))</f>
        <v/>
      </c>
      <c r="L2924" s="16" t="str">
        <f aca="false">IF(B2924="","",IF(A2924=_xlfn.MAXIFS($A$2:$A$5001,$B$2:$B$5001,B2924,$I$2:$I$5001,I2924),1,0))</f>
        <v/>
      </c>
    </row>
    <row r="2925" customFormat="false" ht="15" hidden="false" customHeight="false" outlineLevel="0" collapsed="false">
      <c r="I2925" s="15" t="str">
        <f aca="false">IF(A2925="","",INT(A2925))</f>
        <v/>
      </c>
      <c r="J2925" s="16" t="str">
        <f aca="false">IF(B2925="","",IF(A2925=_xlfn.MINIFS($A$2:$A$5001,$B$2:$B$5001,B2925),1,0))</f>
        <v/>
      </c>
      <c r="K2925" s="16" t="str">
        <f aca="false">IF(B2925="","",IF(AND(D2925="Formalização",E2925="Concluído"),IF(COUNTIFS($B$2:$B$5001,B2925,$E$2:$E$5001,"Em ajustes",$A$2:$A$5001,"&lt;"&amp;I2925)&gt;0,1,0),0))</f>
        <v/>
      </c>
      <c r="L2925" s="16" t="str">
        <f aca="false">IF(B2925="","",IF(A2925=_xlfn.MAXIFS($A$2:$A$5001,$B$2:$B$5001,B2925,$I$2:$I$5001,I2925),1,0))</f>
        <v/>
      </c>
    </row>
    <row r="2926" customFormat="false" ht="15" hidden="false" customHeight="false" outlineLevel="0" collapsed="false">
      <c r="I2926" s="15" t="str">
        <f aca="false">IF(A2926="","",INT(A2926))</f>
        <v/>
      </c>
      <c r="J2926" s="16" t="str">
        <f aca="false">IF(B2926="","",IF(A2926=_xlfn.MINIFS($A$2:$A$5001,$B$2:$B$5001,B2926),1,0))</f>
        <v/>
      </c>
      <c r="K2926" s="16" t="str">
        <f aca="false">IF(B2926="","",IF(AND(D2926="Formalização",E2926="Concluído"),IF(COUNTIFS($B$2:$B$5001,B2926,$E$2:$E$5001,"Em ajustes",$A$2:$A$5001,"&lt;"&amp;I2926)&gt;0,1,0),0))</f>
        <v/>
      </c>
      <c r="L2926" s="16" t="str">
        <f aca="false">IF(B2926="","",IF(A2926=_xlfn.MAXIFS($A$2:$A$5001,$B$2:$B$5001,B2926,$I$2:$I$5001,I2926),1,0))</f>
        <v/>
      </c>
    </row>
    <row r="2927" customFormat="false" ht="15" hidden="false" customHeight="false" outlineLevel="0" collapsed="false">
      <c r="I2927" s="15" t="str">
        <f aca="false">IF(A2927="","",INT(A2927))</f>
        <v/>
      </c>
      <c r="J2927" s="16" t="str">
        <f aca="false">IF(B2927="","",IF(A2927=_xlfn.MINIFS($A$2:$A$5001,$B$2:$B$5001,B2927),1,0))</f>
        <v/>
      </c>
      <c r="K2927" s="16" t="str">
        <f aca="false">IF(B2927="","",IF(AND(D2927="Formalização",E2927="Concluído"),IF(COUNTIFS($B$2:$B$5001,B2927,$E$2:$E$5001,"Em ajustes",$A$2:$A$5001,"&lt;"&amp;I2927)&gt;0,1,0),0))</f>
        <v/>
      </c>
      <c r="L2927" s="16" t="str">
        <f aca="false">IF(B2927="","",IF(A2927=_xlfn.MAXIFS($A$2:$A$5001,$B$2:$B$5001,B2927,$I$2:$I$5001,I2927),1,0))</f>
        <v/>
      </c>
    </row>
    <row r="2928" customFormat="false" ht="15" hidden="false" customHeight="false" outlineLevel="0" collapsed="false">
      <c r="I2928" s="15" t="str">
        <f aca="false">IF(A2928="","",INT(A2928))</f>
        <v/>
      </c>
      <c r="J2928" s="16" t="str">
        <f aca="false">IF(B2928="","",IF(A2928=_xlfn.MINIFS($A$2:$A$5001,$B$2:$B$5001,B2928),1,0))</f>
        <v/>
      </c>
      <c r="K2928" s="16" t="str">
        <f aca="false">IF(B2928="","",IF(AND(D2928="Formalização",E2928="Concluído"),IF(COUNTIFS($B$2:$B$5001,B2928,$E$2:$E$5001,"Em ajustes",$A$2:$A$5001,"&lt;"&amp;I2928)&gt;0,1,0),0))</f>
        <v/>
      </c>
      <c r="L2928" s="16" t="str">
        <f aca="false">IF(B2928="","",IF(A2928=_xlfn.MAXIFS($A$2:$A$5001,$B$2:$B$5001,B2928,$I$2:$I$5001,I2928),1,0))</f>
        <v/>
      </c>
    </row>
    <row r="2929" customFormat="false" ht="15" hidden="false" customHeight="false" outlineLevel="0" collapsed="false">
      <c r="I2929" s="15" t="str">
        <f aca="false">IF(A2929="","",INT(A2929))</f>
        <v/>
      </c>
      <c r="J2929" s="16" t="str">
        <f aca="false">IF(B2929="","",IF(A2929=_xlfn.MINIFS($A$2:$A$5001,$B$2:$B$5001,B2929),1,0))</f>
        <v/>
      </c>
      <c r="K2929" s="16" t="str">
        <f aca="false">IF(B2929="","",IF(AND(D2929="Formalização",E2929="Concluído"),IF(COUNTIFS($B$2:$B$5001,B2929,$E$2:$E$5001,"Em ajustes",$A$2:$A$5001,"&lt;"&amp;I2929)&gt;0,1,0),0))</f>
        <v/>
      </c>
      <c r="L2929" s="16" t="str">
        <f aca="false">IF(B2929="","",IF(A2929=_xlfn.MAXIFS($A$2:$A$5001,$B$2:$B$5001,B2929,$I$2:$I$5001,I2929),1,0))</f>
        <v/>
      </c>
    </row>
    <row r="2930" customFormat="false" ht="15" hidden="false" customHeight="false" outlineLevel="0" collapsed="false">
      <c r="I2930" s="15" t="str">
        <f aca="false">IF(A2930="","",INT(A2930))</f>
        <v/>
      </c>
      <c r="J2930" s="16" t="str">
        <f aca="false">IF(B2930="","",IF(A2930=_xlfn.MINIFS($A$2:$A$5001,$B$2:$B$5001,B2930),1,0))</f>
        <v/>
      </c>
      <c r="K2930" s="16" t="str">
        <f aca="false">IF(B2930="","",IF(AND(D2930="Formalização",E2930="Concluído"),IF(COUNTIFS($B$2:$B$5001,B2930,$E$2:$E$5001,"Em ajustes",$A$2:$A$5001,"&lt;"&amp;I2930)&gt;0,1,0),0))</f>
        <v/>
      </c>
      <c r="L2930" s="16" t="str">
        <f aca="false">IF(B2930="","",IF(A2930=_xlfn.MAXIFS($A$2:$A$5001,$B$2:$B$5001,B2930,$I$2:$I$5001,I2930),1,0))</f>
        <v/>
      </c>
    </row>
    <row r="2931" customFormat="false" ht="15" hidden="false" customHeight="false" outlineLevel="0" collapsed="false">
      <c r="I2931" s="15" t="str">
        <f aca="false">IF(A2931="","",INT(A2931))</f>
        <v/>
      </c>
      <c r="J2931" s="16" t="str">
        <f aca="false">IF(B2931="","",IF(A2931=_xlfn.MINIFS($A$2:$A$5001,$B$2:$B$5001,B2931),1,0))</f>
        <v/>
      </c>
      <c r="K2931" s="16" t="str">
        <f aca="false">IF(B2931="","",IF(AND(D2931="Formalização",E2931="Concluído"),IF(COUNTIFS($B$2:$B$5001,B2931,$E$2:$E$5001,"Em ajustes",$A$2:$A$5001,"&lt;"&amp;I2931)&gt;0,1,0),0))</f>
        <v/>
      </c>
      <c r="L2931" s="16" t="str">
        <f aca="false">IF(B2931="","",IF(A2931=_xlfn.MAXIFS($A$2:$A$5001,$B$2:$B$5001,B2931,$I$2:$I$5001,I2931),1,0))</f>
        <v/>
      </c>
    </row>
    <row r="2932" customFormat="false" ht="15" hidden="false" customHeight="false" outlineLevel="0" collapsed="false">
      <c r="I2932" s="15" t="str">
        <f aca="false">IF(A2932="","",INT(A2932))</f>
        <v/>
      </c>
      <c r="J2932" s="16" t="str">
        <f aca="false">IF(B2932="","",IF(A2932=_xlfn.MINIFS($A$2:$A$5001,$B$2:$B$5001,B2932),1,0))</f>
        <v/>
      </c>
      <c r="K2932" s="16" t="str">
        <f aca="false">IF(B2932="","",IF(AND(D2932="Formalização",E2932="Concluído"),IF(COUNTIFS($B$2:$B$5001,B2932,$E$2:$E$5001,"Em ajustes",$A$2:$A$5001,"&lt;"&amp;I2932)&gt;0,1,0),0))</f>
        <v/>
      </c>
      <c r="L2932" s="16" t="str">
        <f aca="false">IF(B2932="","",IF(A2932=_xlfn.MAXIFS($A$2:$A$5001,$B$2:$B$5001,B2932,$I$2:$I$5001,I2932),1,0))</f>
        <v/>
      </c>
    </row>
    <row r="2933" customFormat="false" ht="15" hidden="false" customHeight="false" outlineLevel="0" collapsed="false">
      <c r="I2933" s="15" t="str">
        <f aca="false">IF(A2933="","",INT(A2933))</f>
        <v/>
      </c>
      <c r="J2933" s="16" t="str">
        <f aca="false">IF(B2933="","",IF(A2933=_xlfn.MINIFS($A$2:$A$5001,$B$2:$B$5001,B2933),1,0))</f>
        <v/>
      </c>
      <c r="K2933" s="16" t="str">
        <f aca="false">IF(B2933="","",IF(AND(D2933="Formalização",E2933="Concluído"),IF(COUNTIFS($B$2:$B$5001,B2933,$E$2:$E$5001,"Em ajustes",$A$2:$A$5001,"&lt;"&amp;I2933)&gt;0,1,0),0))</f>
        <v/>
      </c>
      <c r="L2933" s="16" t="str">
        <f aca="false">IF(B2933="","",IF(A2933=_xlfn.MAXIFS($A$2:$A$5001,$B$2:$B$5001,B2933,$I$2:$I$5001,I2933),1,0))</f>
        <v/>
      </c>
    </row>
    <row r="2934" customFormat="false" ht="15" hidden="false" customHeight="false" outlineLevel="0" collapsed="false">
      <c r="I2934" s="15" t="str">
        <f aca="false">IF(A2934="","",INT(A2934))</f>
        <v/>
      </c>
      <c r="J2934" s="16" t="str">
        <f aca="false">IF(B2934="","",IF(A2934=_xlfn.MINIFS($A$2:$A$5001,$B$2:$B$5001,B2934),1,0))</f>
        <v/>
      </c>
      <c r="K2934" s="16" t="str">
        <f aca="false">IF(B2934="","",IF(AND(D2934="Formalização",E2934="Concluído"),IF(COUNTIFS($B$2:$B$5001,B2934,$E$2:$E$5001,"Em ajustes",$A$2:$A$5001,"&lt;"&amp;I2934)&gt;0,1,0),0))</f>
        <v/>
      </c>
      <c r="L2934" s="16" t="str">
        <f aca="false">IF(B2934="","",IF(A2934=_xlfn.MAXIFS($A$2:$A$5001,$B$2:$B$5001,B2934,$I$2:$I$5001,I2934),1,0))</f>
        <v/>
      </c>
    </row>
    <row r="2935" customFormat="false" ht="15" hidden="false" customHeight="false" outlineLevel="0" collapsed="false">
      <c r="I2935" s="15" t="str">
        <f aca="false">IF(A2935="","",INT(A2935))</f>
        <v/>
      </c>
      <c r="J2935" s="16" t="str">
        <f aca="false">IF(B2935="","",IF(A2935=_xlfn.MINIFS($A$2:$A$5001,$B$2:$B$5001,B2935),1,0))</f>
        <v/>
      </c>
      <c r="K2935" s="16" t="str">
        <f aca="false">IF(B2935="","",IF(AND(D2935="Formalização",E2935="Concluído"),IF(COUNTIFS($B$2:$B$5001,B2935,$E$2:$E$5001,"Em ajustes",$A$2:$A$5001,"&lt;"&amp;I2935)&gt;0,1,0),0))</f>
        <v/>
      </c>
      <c r="L2935" s="16" t="str">
        <f aca="false">IF(B2935="","",IF(A2935=_xlfn.MAXIFS($A$2:$A$5001,$B$2:$B$5001,B2935,$I$2:$I$5001,I2935),1,0))</f>
        <v/>
      </c>
    </row>
    <row r="2936" customFormat="false" ht="15" hidden="false" customHeight="false" outlineLevel="0" collapsed="false">
      <c r="I2936" s="15" t="str">
        <f aca="false">IF(A2936="","",INT(A2936))</f>
        <v/>
      </c>
      <c r="J2936" s="16" t="str">
        <f aca="false">IF(B2936="","",IF(A2936=_xlfn.MINIFS($A$2:$A$5001,$B$2:$B$5001,B2936),1,0))</f>
        <v/>
      </c>
      <c r="K2936" s="16" t="str">
        <f aca="false">IF(B2936="","",IF(AND(D2936="Formalização",E2936="Concluído"),IF(COUNTIFS($B$2:$B$5001,B2936,$E$2:$E$5001,"Em ajustes",$A$2:$A$5001,"&lt;"&amp;I2936)&gt;0,1,0),0))</f>
        <v/>
      </c>
      <c r="L2936" s="16" t="str">
        <f aca="false">IF(B2936="","",IF(A2936=_xlfn.MAXIFS($A$2:$A$5001,$B$2:$B$5001,B2936,$I$2:$I$5001,I2936),1,0))</f>
        <v/>
      </c>
    </row>
    <row r="2937" customFormat="false" ht="15" hidden="false" customHeight="false" outlineLevel="0" collapsed="false">
      <c r="I2937" s="15" t="str">
        <f aca="false">IF(A2937="","",INT(A2937))</f>
        <v/>
      </c>
      <c r="J2937" s="16" t="str">
        <f aca="false">IF(B2937="","",IF(A2937=_xlfn.MINIFS($A$2:$A$5001,$B$2:$B$5001,B2937),1,0))</f>
        <v/>
      </c>
      <c r="K2937" s="16" t="str">
        <f aca="false">IF(B2937="","",IF(AND(D2937="Formalização",E2937="Concluído"),IF(COUNTIFS($B$2:$B$5001,B2937,$E$2:$E$5001,"Em ajustes",$A$2:$A$5001,"&lt;"&amp;I2937)&gt;0,1,0),0))</f>
        <v/>
      </c>
      <c r="L2937" s="16" t="str">
        <f aca="false">IF(B2937="","",IF(A2937=_xlfn.MAXIFS($A$2:$A$5001,$B$2:$B$5001,B2937,$I$2:$I$5001,I2937),1,0))</f>
        <v/>
      </c>
    </row>
    <row r="2938" customFormat="false" ht="15" hidden="false" customHeight="false" outlineLevel="0" collapsed="false">
      <c r="I2938" s="15" t="str">
        <f aca="false">IF(A2938="","",INT(A2938))</f>
        <v/>
      </c>
      <c r="J2938" s="16" t="str">
        <f aca="false">IF(B2938="","",IF(A2938=_xlfn.MINIFS($A$2:$A$5001,$B$2:$B$5001,B2938),1,0))</f>
        <v/>
      </c>
      <c r="K2938" s="16" t="str">
        <f aca="false">IF(B2938="","",IF(AND(D2938="Formalização",E2938="Concluído"),IF(COUNTIFS($B$2:$B$5001,B2938,$E$2:$E$5001,"Em ajustes",$A$2:$A$5001,"&lt;"&amp;I2938)&gt;0,1,0),0))</f>
        <v/>
      </c>
      <c r="L2938" s="16" t="str">
        <f aca="false">IF(B2938="","",IF(A2938=_xlfn.MAXIFS($A$2:$A$5001,$B$2:$B$5001,B2938,$I$2:$I$5001,I2938),1,0))</f>
        <v/>
      </c>
    </row>
    <row r="2939" customFormat="false" ht="15" hidden="false" customHeight="false" outlineLevel="0" collapsed="false">
      <c r="I2939" s="15" t="str">
        <f aca="false">IF(A2939="","",INT(A2939))</f>
        <v/>
      </c>
      <c r="J2939" s="16" t="str">
        <f aca="false">IF(B2939="","",IF(A2939=_xlfn.MINIFS($A$2:$A$5001,$B$2:$B$5001,B2939),1,0))</f>
        <v/>
      </c>
      <c r="K2939" s="16" t="str">
        <f aca="false">IF(B2939="","",IF(AND(D2939="Formalização",E2939="Concluído"),IF(COUNTIFS($B$2:$B$5001,B2939,$E$2:$E$5001,"Em ajustes",$A$2:$A$5001,"&lt;"&amp;I2939)&gt;0,1,0),0))</f>
        <v/>
      </c>
      <c r="L2939" s="16" t="str">
        <f aca="false">IF(B2939="","",IF(A2939=_xlfn.MAXIFS($A$2:$A$5001,$B$2:$B$5001,B2939,$I$2:$I$5001,I2939),1,0))</f>
        <v/>
      </c>
    </row>
    <row r="2940" customFormat="false" ht="15" hidden="false" customHeight="false" outlineLevel="0" collapsed="false">
      <c r="I2940" s="15" t="str">
        <f aca="false">IF(A2940="","",INT(A2940))</f>
        <v/>
      </c>
      <c r="J2940" s="16" t="str">
        <f aca="false">IF(B2940="","",IF(A2940=_xlfn.MINIFS($A$2:$A$5001,$B$2:$B$5001,B2940),1,0))</f>
        <v/>
      </c>
      <c r="K2940" s="16" t="str">
        <f aca="false">IF(B2940="","",IF(AND(D2940="Formalização",E2940="Concluído"),IF(COUNTIFS($B$2:$B$5001,B2940,$E$2:$E$5001,"Em ajustes",$A$2:$A$5001,"&lt;"&amp;I2940)&gt;0,1,0),0))</f>
        <v/>
      </c>
      <c r="L2940" s="16" t="str">
        <f aca="false">IF(B2940="","",IF(A2940=_xlfn.MAXIFS($A$2:$A$5001,$B$2:$B$5001,B2940,$I$2:$I$5001,I2940),1,0))</f>
        <v/>
      </c>
    </row>
    <row r="2941" customFormat="false" ht="15" hidden="false" customHeight="false" outlineLevel="0" collapsed="false">
      <c r="I2941" s="15" t="str">
        <f aca="false">IF(A2941="","",INT(A2941))</f>
        <v/>
      </c>
      <c r="J2941" s="16" t="str">
        <f aca="false">IF(B2941="","",IF(A2941=_xlfn.MINIFS($A$2:$A$5001,$B$2:$B$5001,B2941),1,0))</f>
        <v/>
      </c>
      <c r="K2941" s="16" t="str">
        <f aca="false">IF(B2941="","",IF(AND(D2941="Formalização",E2941="Concluído"),IF(COUNTIFS($B$2:$B$5001,B2941,$E$2:$E$5001,"Em ajustes",$A$2:$A$5001,"&lt;"&amp;I2941)&gt;0,1,0),0))</f>
        <v/>
      </c>
      <c r="L2941" s="16" t="str">
        <f aca="false">IF(B2941="","",IF(A2941=_xlfn.MAXIFS($A$2:$A$5001,$B$2:$B$5001,B2941,$I$2:$I$5001,I2941),1,0))</f>
        <v/>
      </c>
    </row>
    <row r="2942" customFormat="false" ht="15" hidden="false" customHeight="false" outlineLevel="0" collapsed="false">
      <c r="I2942" s="15" t="str">
        <f aca="false">IF(A2942="","",INT(A2942))</f>
        <v/>
      </c>
      <c r="J2942" s="16" t="str">
        <f aca="false">IF(B2942="","",IF(A2942=_xlfn.MINIFS($A$2:$A$5001,$B$2:$B$5001,B2942),1,0))</f>
        <v/>
      </c>
      <c r="K2942" s="16" t="str">
        <f aca="false">IF(B2942="","",IF(AND(D2942="Formalização",E2942="Concluído"),IF(COUNTIFS($B$2:$B$5001,B2942,$E$2:$E$5001,"Em ajustes",$A$2:$A$5001,"&lt;"&amp;I2942)&gt;0,1,0),0))</f>
        <v/>
      </c>
      <c r="L2942" s="16" t="str">
        <f aca="false">IF(B2942="","",IF(A2942=_xlfn.MAXIFS($A$2:$A$5001,$B$2:$B$5001,B2942,$I$2:$I$5001,I2942),1,0))</f>
        <v/>
      </c>
    </row>
    <row r="2943" customFormat="false" ht="15" hidden="false" customHeight="false" outlineLevel="0" collapsed="false">
      <c r="I2943" s="15" t="str">
        <f aca="false">IF(A2943="","",INT(A2943))</f>
        <v/>
      </c>
      <c r="J2943" s="16" t="str">
        <f aca="false">IF(B2943="","",IF(A2943=_xlfn.MINIFS($A$2:$A$5001,$B$2:$B$5001,B2943),1,0))</f>
        <v/>
      </c>
      <c r="K2943" s="16" t="str">
        <f aca="false">IF(B2943="","",IF(AND(D2943="Formalização",E2943="Concluído"),IF(COUNTIFS($B$2:$B$5001,B2943,$E$2:$E$5001,"Em ajustes",$A$2:$A$5001,"&lt;"&amp;I2943)&gt;0,1,0),0))</f>
        <v/>
      </c>
      <c r="L2943" s="16" t="str">
        <f aca="false">IF(B2943="","",IF(A2943=_xlfn.MAXIFS($A$2:$A$5001,$B$2:$B$5001,B2943,$I$2:$I$5001,I2943),1,0))</f>
        <v/>
      </c>
    </row>
    <row r="2944" customFormat="false" ht="15" hidden="false" customHeight="false" outlineLevel="0" collapsed="false">
      <c r="I2944" s="15" t="str">
        <f aca="false">IF(A2944="","",INT(A2944))</f>
        <v/>
      </c>
      <c r="J2944" s="16" t="str">
        <f aca="false">IF(B2944="","",IF(A2944=_xlfn.MINIFS($A$2:$A$5001,$B$2:$B$5001,B2944),1,0))</f>
        <v/>
      </c>
      <c r="K2944" s="16" t="str">
        <f aca="false">IF(B2944="","",IF(AND(D2944="Formalização",E2944="Concluído"),IF(COUNTIFS($B$2:$B$5001,B2944,$E$2:$E$5001,"Em ajustes",$A$2:$A$5001,"&lt;"&amp;I2944)&gt;0,1,0),0))</f>
        <v/>
      </c>
      <c r="L2944" s="16" t="str">
        <f aca="false">IF(B2944="","",IF(A2944=_xlfn.MAXIFS($A$2:$A$5001,$B$2:$B$5001,B2944,$I$2:$I$5001,I2944),1,0))</f>
        <v/>
      </c>
    </row>
    <row r="2945" customFormat="false" ht="15" hidden="false" customHeight="false" outlineLevel="0" collapsed="false">
      <c r="I2945" s="15" t="str">
        <f aca="false">IF(A2945="","",INT(A2945))</f>
        <v/>
      </c>
      <c r="J2945" s="16" t="str">
        <f aca="false">IF(B2945="","",IF(A2945=_xlfn.MINIFS($A$2:$A$5001,$B$2:$B$5001,B2945),1,0))</f>
        <v/>
      </c>
      <c r="K2945" s="16" t="str">
        <f aca="false">IF(B2945="","",IF(AND(D2945="Formalização",E2945="Concluído"),IF(COUNTIFS($B$2:$B$5001,B2945,$E$2:$E$5001,"Em ajustes",$A$2:$A$5001,"&lt;"&amp;I2945)&gt;0,1,0),0))</f>
        <v/>
      </c>
      <c r="L2945" s="16" t="str">
        <f aca="false">IF(B2945="","",IF(A2945=_xlfn.MAXIFS($A$2:$A$5001,$B$2:$B$5001,B2945,$I$2:$I$5001,I2945),1,0))</f>
        <v/>
      </c>
    </row>
    <row r="2946" customFormat="false" ht="15" hidden="false" customHeight="false" outlineLevel="0" collapsed="false">
      <c r="I2946" s="15" t="str">
        <f aca="false">IF(A2946="","",INT(A2946))</f>
        <v/>
      </c>
      <c r="J2946" s="16" t="str">
        <f aca="false">IF(B2946="","",IF(A2946=_xlfn.MINIFS($A$2:$A$5001,$B$2:$B$5001,B2946),1,0))</f>
        <v/>
      </c>
      <c r="K2946" s="16" t="str">
        <f aca="false">IF(B2946="","",IF(AND(D2946="Formalização",E2946="Concluído"),IF(COUNTIFS($B$2:$B$5001,B2946,$E$2:$E$5001,"Em ajustes",$A$2:$A$5001,"&lt;"&amp;I2946)&gt;0,1,0),0))</f>
        <v/>
      </c>
      <c r="L2946" s="16" t="str">
        <f aca="false">IF(B2946="","",IF(A2946=_xlfn.MAXIFS($A$2:$A$5001,$B$2:$B$5001,B2946,$I$2:$I$5001,I2946),1,0))</f>
        <v/>
      </c>
    </row>
    <row r="2947" customFormat="false" ht="15" hidden="false" customHeight="false" outlineLevel="0" collapsed="false">
      <c r="I2947" s="15" t="str">
        <f aca="false">IF(A2947="","",INT(A2947))</f>
        <v/>
      </c>
      <c r="J2947" s="16" t="str">
        <f aca="false">IF(B2947="","",IF(A2947=_xlfn.MINIFS($A$2:$A$5001,$B$2:$B$5001,B2947),1,0))</f>
        <v/>
      </c>
      <c r="K2947" s="16" t="str">
        <f aca="false">IF(B2947="","",IF(AND(D2947="Formalização",E2947="Concluído"),IF(COUNTIFS($B$2:$B$5001,B2947,$E$2:$E$5001,"Em ajustes",$A$2:$A$5001,"&lt;"&amp;I2947)&gt;0,1,0),0))</f>
        <v/>
      </c>
      <c r="L2947" s="16" t="str">
        <f aca="false">IF(B2947="","",IF(A2947=_xlfn.MAXIFS($A$2:$A$5001,$B$2:$B$5001,B2947,$I$2:$I$5001,I2947),1,0))</f>
        <v/>
      </c>
    </row>
    <row r="2948" customFormat="false" ht="15" hidden="false" customHeight="false" outlineLevel="0" collapsed="false">
      <c r="I2948" s="15" t="str">
        <f aca="false">IF(A2948="","",INT(A2948))</f>
        <v/>
      </c>
      <c r="J2948" s="16" t="str">
        <f aca="false">IF(B2948="","",IF(A2948=_xlfn.MINIFS($A$2:$A$5001,$B$2:$B$5001,B2948),1,0))</f>
        <v/>
      </c>
      <c r="K2948" s="16" t="str">
        <f aca="false">IF(B2948="","",IF(AND(D2948="Formalização",E2948="Concluído"),IF(COUNTIFS($B$2:$B$5001,B2948,$E$2:$E$5001,"Em ajustes",$A$2:$A$5001,"&lt;"&amp;I2948)&gt;0,1,0),0))</f>
        <v/>
      </c>
      <c r="L2948" s="16" t="str">
        <f aca="false">IF(B2948="","",IF(A2948=_xlfn.MAXIFS($A$2:$A$5001,$B$2:$B$5001,B2948,$I$2:$I$5001,I2948),1,0))</f>
        <v/>
      </c>
    </row>
    <row r="2949" customFormat="false" ht="15" hidden="false" customHeight="false" outlineLevel="0" collapsed="false">
      <c r="I2949" s="15" t="str">
        <f aca="false">IF(A2949="","",INT(A2949))</f>
        <v/>
      </c>
      <c r="J2949" s="16" t="str">
        <f aca="false">IF(B2949="","",IF(A2949=_xlfn.MINIFS($A$2:$A$5001,$B$2:$B$5001,B2949),1,0))</f>
        <v/>
      </c>
      <c r="K2949" s="16" t="str">
        <f aca="false">IF(B2949="","",IF(AND(D2949="Formalização",E2949="Concluído"),IF(COUNTIFS($B$2:$B$5001,B2949,$E$2:$E$5001,"Em ajustes",$A$2:$A$5001,"&lt;"&amp;I2949)&gt;0,1,0),0))</f>
        <v/>
      </c>
      <c r="L2949" s="16" t="str">
        <f aca="false">IF(B2949="","",IF(A2949=_xlfn.MAXIFS($A$2:$A$5001,$B$2:$B$5001,B2949,$I$2:$I$5001,I2949),1,0))</f>
        <v/>
      </c>
    </row>
    <row r="2950" customFormat="false" ht="15" hidden="false" customHeight="false" outlineLevel="0" collapsed="false">
      <c r="I2950" s="15" t="str">
        <f aca="false">IF(A2950="","",INT(A2950))</f>
        <v/>
      </c>
      <c r="J2950" s="16" t="str">
        <f aca="false">IF(B2950="","",IF(A2950=_xlfn.MINIFS($A$2:$A$5001,$B$2:$B$5001,B2950),1,0))</f>
        <v/>
      </c>
      <c r="K2950" s="16" t="str">
        <f aca="false">IF(B2950="","",IF(AND(D2950="Formalização",E2950="Concluído"),IF(COUNTIFS($B$2:$B$5001,B2950,$E$2:$E$5001,"Em ajustes",$A$2:$A$5001,"&lt;"&amp;I2950)&gt;0,1,0),0))</f>
        <v/>
      </c>
      <c r="L2950" s="16" t="str">
        <f aca="false">IF(B2950="","",IF(A2950=_xlfn.MAXIFS($A$2:$A$5001,$B$2:$B$5001,B2950,$I$2:$I$5001,I2950),1,0))</f>
        <v/>
      </c>
    </row>
    <row r="2951" customFormat="false" ht="15" hidden="false" customHeight="false" outlineLevel="0" collapsed="false">
      <c r="I2951" s="15" t="str">
        <f aca="false">IF(A2951="","",INT(A2951))</f>
        <v/>
      </c>
      <c r="J2951" s="16" t="str">
        <f aca="false">IF(B2951="","",IF(A2951=_xlfn.MINIFS($A$2:$A$5001,$B$2:$B$5001,B2951),1,0))</f>
        <v/>
      </c>
      <c r="K2951" s="16" t="str">
        <f aca="false">IF(B2951="","",IF(AND(D2951="Formalização",E2951="Concluído"),IF(COUNTIFS($B$2:$B$5001,B2951,$E$2:$E$5001,"Em ajustes",$A$2:$A$5001,"&lt;"&amp;I2951)&gt;0,1,0),0))</f>
        <v/>
      </c>
      <c r="L2951" s="16" t="str">
        <f aca="false">IF(B2951="","",IF(A2951=_xlfn.MAXIFS($A$2:$A$5001,$B$2:$B$5001,B2951,$I$2:$I$5001,I2951),1,0))</f>
        <v/>
      </c>
    </row>
    <row r="2952" customFormat="false" ht="15" hidden="false" customHeight="false" outlineLevel="0" collapsed="false">
      <c r="I2952" s="15" t="str">
        <f aca="false">IF(A2952="","",INT(A2952))</f>
        <v/>
      </c>
      <c r="J2952" s="16" t="str">
        <f aca="false">IF(B2952="","",IF(A2952=_xlfn.MINIFS($A$2:$A$5001,$B$2:$B$5001,B2952),1,0))</f>
        <v/>
      </c>
      <c r="K2952" s="16" t="str">
        <f aca="false">IF(B2952="","",IF(AND(D2952="Formalização",E2952="Concluído"),IF(COUNTIFS($B$2:$B$5001,B2952,$E$2:$E$5001,"Em ajustes",$A$2:$A$5001,"&lt;"&amp;I2952)&gt;0,1,0),0))</f>
        <v/>
      </c>
      <c r="L2952" s="16" t="str">
        <f aca="false">IF(B2952="","",IF(A2952=_xlfn.MAXIFS($A$2:$A$5001,$B$2:$B$5001,B2952,$I$2:$I$5001,I2952),1,0))</f>
        <v/>
      </c>
    </row>
    <row r="2953" customFormat="false" ht="15" hidden="false" customHeight="false" outlineLevel="0" collapsed="false">
      <c r="I2953" s="15" t="str">
        <f aca="false">IF(A2953="","",INT(A2953))</f>
        <v/>
      </c>
      <c r="J2953" s="16" t="str">
        <f aca="false">IF(B2953="","",IF(A2953=_xlfn.MINIFS($A$2:$A$5001,$B$2:$B$5001,B2953),1,0))</f>
        <v/>
      </c>
      <c r="K2953" s="16" t="str">
        <f aca="false">IF(B2953="","",IF(AND(D2953="Formalização",E2953="Concluído"),IF(COUNTIFS($B$2:$B$5001,B2953,$E$2:$E$5001,"Em ajustes",$A$2:$A$5001,"&lt;"&amp;I2953)&gt;0,1,0),0))</f>
        <v/>
      </c>
      <c r="L2953" s="16" t="str">
        <f aca="false">IF(B2953="","",IF(A2953=_xlfn.MAXIFS($A$2:$A$5001,$B$2:$B$5001,B2953,$I$2:$I$5001,I2953),1,0))</f>
        <v/>
      </c>
    </row>
    <row r="2954" customFormat="false" ht="15" hidden="false" customHeight="false" outlineLevel="0" collapsed="false">
      <c r="I2954" s="15" t="str">
        <f aca="false">IF(A2954="","",INT(A2954))</f>
        <v/>
      </c>
      <c r="J2954" s="16" t="str">
        <f aca="false">IF(B2954="","",IF(A2954=_xlfn.MINIFS($A$2:$A$5001,$B$2:$B$5001,B2954),1,0))</f>
        <v/>
      </c>
      <c r="K2954" s="16" t="str">
        <f aca="false">IF(B2954="","",IF(AND(D2954="Formalização",E2954="Concluído"),IF(COUNTIFS($B$2:$B$5001,B2954,$E$2:$E$5001,"Em ajustes",$A$2:$A$5001,"&lt;"&amp;I2954)&gt;0,1,0),0))</f>
        <v/>
      </c>
      <c r="L2954" s="16" t="str">
        <f aca="false">IF(B2954="","",IF(A2954=_xlfn.MAXIFS($A$2:$A$5001,$B$2:$B$5001,B2954,$I$2:$I$5001,I2954),1,0))</f>
        <v/>
      </c>
    </row>
    <row r="2955" customFormat="false" ht="15" hidden="false" customHeight="false" outlineLevel="0" collapsed="false">
      <c r="I2955" s="15" t="str">
        <f aca="false">IF(A2955="","",INT(A2955))</f>
        <v/>
      </c>
      <c r="J2955" s="16" t="str">
        <f aca="false">IF(B2955="","",IF(A2955=_xlfn.MINIFS($A$2:$A$5001,$B$2:$B$5001,B2955),1,0))</f>
        <v/>
      </c>
      <c r="K2955" s="16" t="str">
        <f aca="false">IF(B2955="","",IF(AND(D2955="Formalização",E2955="Concluído"),IF(COUNTIFS($B$2:$B$5001,B2955,$E$2:$E$5001,"Em ajustes",$A$2:$A$5001,"&lt;"&amp;I2955)&gt;0,1,0),0))</f>
        <v/>
      </c>
      <c r="L2955" s="16" t="str">
        <f aca="false">IF(B2955="","",IF(A2955=_xlfn.MAXIFS($A$2:$A$5001,$B$2:$B$5001,B2955,$I$2:$I$5001,I2955),1,0))</f>
        <v/>
      </c>
    </row>
    <row r="2956" customFormat="false" ht="15" hidden="false" customHeight="false" outlineLevel="0" collapsed="false">
      <c r="I2956" s="15" t="str">
        <f aca="false">IF(A2956="","",INT(A2956))</f>
        <v/>
      </c>
      <c r="J2956" s="16" t="str">
        <f aca="false">IF(B2956="","",IF(A2956=_xlfn.MINIFS($A$2:$A$5001,$B$2:$B$5001,B2956),1,0))</f>
        <v/>
      </c>
      <c r="K2956" s="16" t="str">
        <f aca="false">IF(B2956="","",IF(AND(D2956="Formalização",E2956="Concluído"),IF(COUNTIFS($B$2:$B$5001,B2956,$E$2:$E$5001,"Em ajustes",$A$2:$A$5001,"&lt;"&amp;I2956)&gt;0,1,0),0))</f>
        <v/>
      </c>
      <c r="L2956" s="16" t="str">
        <f aca="false">IF(B2956="","",IF(A2956=_xlfn.MAXIFS($A$2:$A$5001,$B$2:$B$5001,B2956,$I$2:$I$5001,I2956),1,0))</f>
        <v/>
      </c>
    </row>
    <row r="2957" customFormat="false" ht="15" hidden="false" customHeight="false" outlineLevel="0" collapsed="false">
      <c r="I2957" s="15" t="str">
        <f aca="false">IF(A2957="","",INT(A2957))</f>
        <v/>
      </c>
      <c r="J2957" s="16" t="str">
        <f aca="false">IF(B2957="","",IF(A2957=_xlfn.MINIFS($A$2:$A$5001,$B$2:$B$5001,B2957),1,0))</f>
        <v/>
      </c>
      <c r="K2957" s="16" t="str">
        <f aca="false">IF(B2957="","",IF(AND(D2957="Formalização",E2957="Concluído"),IF(COUNTIFS($B$2:$B$5001,B2957,$E$2:$E$5001,"Em ajustes",$A$2:$A$5001,"&lt;"&amp;I2957)&gt;0,1,0),0))</f>
        <v/>
      </c>
      <c r="L2957" s="16" t="str">
        <f aca="false">IF(B2957="","",IF(A2957=_xlfn.MAXIFS($A$2:$A$5001,$B$2:$B$5001,B2957,$I$2:$I$5001,I2957),1,0))</f>
        <v/>
      </c>
    </row>
    <row r="2958" customFormat="false" ht="15" hidden="false" customHeight="false" outlineLevel="0" collapsed="false">
      <c r="I2958" s="15" t="str">
        <f aca="false">IF(A2958="","",INT(A2958))</f>
        <v/>
      </c>
      <c r="J2958" s="16" t="str">
        <f aca="false">IF(B2958="","",IF(A2958=_xlfn.MINIFS($A$2:$A$5001,$B$2:$B$5001,B2958),1,0))</f>
        <v/>
      </c>
      <c r="K2958" s="16" t="str">
        <f aca="false">IF(B2958="","",IF(AND(D2958="Formalização",E2958="Concluído"),IF(COUNTIFS($B$2:$B$5001,B2958,$E$2:$E$5001,"Em ajustes",$A$2:$A$5001,"&lt;"&amp;I2958)&gt;0,1,0),0))</f>
        <v/>
      </c>
      <c r="L2958" s="16" t="str">
        <f aca="false">IF(B2958="","",IF(A2958=_xlfn.MAXIFS($A$2:$A$5001,$B$2:$B$5001,B2958,$I$2:$I$5001,I2958),1,0))</f>
        <v/>
      </c>
    </row>
    <row r="2959" customFormat="false" ht="15" hidden="false" customHeight="false" outlineLevel="0" collapsed="false">
      <c r="I2959" s="15" t="str">
        <f aca="false">IF(A2959="","",INT(A2959))</f>
        <v/>
      </c>
      <c r="J2959" s="16" t="str">
        <f aca="false">IF(B2959="","",IF(A2959=_xlfn.MINIFS($A$2:$A$5001,$B$2:$B$5001,B2959),1,0))</f>
        <v/>
      </c>
      <c r="K2959" s="16" t="str">
        <f aca="false">IF(B2959="","",IF(AND(D2959="Formalização",E2959="Concluído"),IF(COUNTIFS($B$2:$B$5001,B2959,$E$2:$E$5001,"Em ajustes",$A$2:$A$5001,"&lt;"&amp;I2959)&gt;0,1,0),0))</f>
        <v/>
      </c>
      <c r="L2959" s="16" t="str">
        <f aca="false">IF(B2959="","",IF(A2959=_xlfn.MAXIFS($A$2:$A$5001,$B$2:$B$5001,B2959,$I$2:$I$5001,I2959),1,0))</f>
        <v/>
      </c>
    </row>
    <row r="2960" customFormat="false" ht="15" hidden="false" customHeight="false" outlineLevel="0" collapsed="false">
      <c r="I2960" s="15" t="str">
        <f aca="false">IF(A2960="","",INT(A2960))</f>
        <v/>
      </c>
      <c r="J2960" s="16" t="str">
        <f aca="false">IF(B2960="","",IF(A2960=_xlfn.MINIFS($A$2:$A$5001,$B$2:$B$5001,B2960),1,0))</f>
        <v/>
      </c>
      <c r="K2960" s="16" t="str">
        <f aca="false">IF(B2960="","",IF(AND(D2960="Formalização",E2960="Concluído"),IF(COUNTIFS($B$2:$B$5001,B2960,$E$2:$E$5001,"Em ajustes",$A$2:$A$5001,"&lt;"&amp;I2960)&gt;0,1,0),0))</f>
        <v/>
      </c>
      <c r="L2960" s="16" t="str">
        <f aca="false">IF(B2960="","",IF(A2960=_xlfn.MAXIFS($A$2:$A$5001,$B$2:$B$5001,B2960,$I$2:$I$5001,I2960),1,0))</f>
        <v/>
      </c>
    </row>
    <row r="2961" customFormat="false" ht="15" hidden="false" customHeight="false" outlineLevel="0" collapsed="false">
      <c r="I2961" s="15" t="str">
        <f aca="false">IF(A2961="","",INT(A2961))</f>
        <v/>
      </c>
      <c r="J2961" s="16" t="str">
        <f aca="false">IF(B2961="","",IF(A2961=_xlfn.MINIFS($A$2:$A$5001,$B$2:$B$5001,B2961),1,0))</f>
        <v/>
      </c>
      <c r="K2961" s="16" t="str">
        <f aca="false">IF(B2961="","",IF(AND(D2961="Formalização",E2961="Concluído"),IF(COUNTIFS($B$2:$B$5001,B2961,$E$2:$E$5001,"Em ajustes",$A$2:$A$5001,"&lt;"&amp;I2961)&gt;0,1,0),0))</f>
        <v/>
      </c>
      <c r="L2961" s="16" t="str">
        <f aca="false">IF(B2961="","",IF(A2961=_xlfn.MAXIFS($A$2:$A$5001,$B$2:$B$5001,B2961,$I$2:$I$5001,I2961),1,0))</f>
        <v/>
      </c>
    </row>
    <row r="2962" customFormat="false" ht="15" hidden="false" customHeight="false" outlineLevel="0" collapsed="false">
      <c r="I2962" s="15" t="str">
        <f aca="false">IF(A2962="","",INT(A2962))</f>
        <v/>
      </c>
      <c r="J2962" s="16" t="str">
        <f aca="false">IF(B2962="","",IF(A2962=_xlfn.MINIFS($A$2:$A$5001,$B$2:$B$5001,B2962),1,0))</f>
        <v/>
      </c>
      <c r="K2962" s="16" t="str">
        <f aca="false">IF(B2962="","",IF(AND(D2962="Formalização",E2962="Concluído"),IF(COUNTIFS($B$2:$B$5001,B2962,$E$2:$E$5001,"Em ajustes",$A$2:$A$5001,"&lt;"&amp;I2962)&gt;0,1,0),0))</f>
        <v/>
      </c>
      <c r="L2962" s="16" t="str">
        <f aca="false">IF(B2962="","",IF(A2962=_xlfn.MAXIFS($A$2:$A$5001,$B$2:$B$5001,B2962,$I$2:$I$5001,I2962),1,0))</f>
        <v/>
      </c>
    </row>
    <row r="2963" customFormat="false" ht="15" hidden="false" customHeight="false" outlineLevel="0" collapsed="false">
      <c r="I2963" s="15" t="str">
        <f aca="false">IF(A2963="","",INT(A2963))</f>
        <v/>
      </c>
      <c r="J2963" s="16" t="str">
        <f aca="false">IF(B2963="","",IF(A2963=_xlfn.MINIFS($A$2:$A$5001,$B$2:$B$5001,B2963),1,0))</f>
        <v/>
      </c>
      <c r="K2963" s="16" t="str">
        <f aca="false">IF(B2963="","",IF(AND(D2963="Formalização",E2963="Concluído"),IF(COUNTIFS($B$2:$B$5001,B2963,$E$2:$E$5001,"Em ajustes",$A$2:$A$5001,"&lt;"&amp;I2963)&gt;0,1,0),0))</f>
        <v/>
      </c>
      <c r="L2963" s="16" t="str">
        <f aca="false">IF(B2963="","",IF(A2963=_xlfn.MAXIFS($A$2:$A$5001,$B$2:$B$5001,B2963,$I$2:$I$5001,I2963),1,0))</f>
        <v/>
      </c>
    </row>
    <row r="2964" customFormat="false" ht="15" hidden="false" customHeight="false" outlineLevel="0" collapsed="false">
      <c r="I2964" s="15" t="str">
        <f aca="false">IF(A2964="","",INT(A2964))</f>
        <v/>
      </c>
      <c r="J2964" s="16" t="str">
        <f aca="false">IF(B2964="","",IF(A2964=_xlfn.MINIFS($A$2:$A$5001,$B$2:$B$5001,B2964),1,0))</f>
        <v/>
      </c>
      <c r="K2964" s="16" t="str">
        <f aca="false">IF(B2964="","",IF(AND(D2964="Formalização",E2964="Concluído"),IF(COUNTIFS($B$2:$B$5001,B2964,$E$2:$E$5001,"Em ajustes",$A$2:$A$5001,"&lt;"&amp;I2964)&gt;0,1,0),0))</f>
        <v/>
      </c>
      <c r="L2964" s="16" t="str">
        <f aca="false">IF(B2964="","",IF(A2964=_xlfn.MAXIFS($A$2:$A$5001,$B$2:$B$5001,B2964,$I$2:$I$5001,I2964),1,0))</f>
        <v/>
      </c>
    </row>
    <row r="2965" customFormat="false" ht="15" hidden="false" customHeight="false" outlineLevel="0" collapsed="false">
      <c r="I2965" s="15" t="str">
        <f aca="false">IF(A2965="","",INT(A2965))</f>
        <v/>
      </c>
      <c r="J2965" s="16" t="str">
        <f aca="false">IF(B2965="","",IF(A2965=_xlfn.MINIFS($A$2:$A$5001,$B$2:$B$5001,B2965),1,0))</f>
        <v/>
      </c>
      <c r="K2965" s="16" t="str">
        <f aca="false">IF(B2965="","",IF(AND(D2965="Formalização",E2965="Concluído"),IF(COUNTIFS($B$2:$B$5001,B2965,$E$2:$E$5001,"Em ajustes",$A$2:$A$5001,"&lt;"&amp;I2965)&gt;0,1,0),0))</f>
        <v/>
      </c>
      <c r="L2965" s="16" t="str">
        <f aca="false">IF(B2965="","",IF(A2965=_xlfn.MAXIFS($A$2:$A$5001,$B$2:$B$5001,B2965,$I$2:$I$5001,I2965),1,0))</f>
        <v/>
      </c>
    </row>
    <row r="2966" customFormat="false" ht="15" hidden="false" customHeight="false" outlineLevel="0" collapsed="false">
      <c r="I2966" s="15" t="str">
        <f aca="false">IF(A2966="","",INT(A2966))</f>
        <v/>
      </c>
      <c r="J2966" s="16" t="str">
        <f aca="false">IF(B2966="","",IF(A2966=_xlfn.MINIFS($A$2:$A$5001,$B$2:$B$5001,B2966),1,0))</f>
        <v/>
      </c>
      <c r="K2966" s="16" t="str">
        <f aca="false">IF(B2966="","",IF(AND(D2966="Formalização",E2966="Concluído"),IF(COUNTIFS($B$2:$B$5001,B2966,$E$2:$E$5001,"Em ajustes",$A$2:$A$5001,"&lt;"&amp;I2966)&gt;0,1,0),0))</f>
        <v/>
      </c>
      <c r="L2966" s="16" t="str">
        <f aca="false">IF(B2966="","",IF(A2966=_xlfn.MAXIFS($A$2:$A$5001,$B$2:$B$5001,B2966,$I$2:$I$5001,I2966),1,0))</f>
        <v/>
      </c>
    </row>
    <row r="2967" customFormat="false" ht="15" hidden="false" customHeight="false" outlineLevel="0" collapsed="false">
      <c r="I2967" s="15" t="str">
        <f aca="false">IF(A2967="","",INT(A2967))</f>
        <v/>
      </c>
      <c r="J2967" s="16" t="str">
        <f aca="false">IF(B2967="","",IF(A2967=_xlfn.MINIFS($A$2:$A$5001,$B$2:$B$5001,B2967),1,0))</f>
        <v/>
      </c>
      <c r="K2967" s="16" t="str">
        <f aca="false">IF(B2967="","",IF(AND(D2967="Formalização",E2967="Concluído"),IF(COUNTIFS($B$2:$B$5001,B2967,$E$2:$E$5001,"Em ajustes",$A$2:$A$5001,"&lt;"&amp;I2967)&gt;0,1,0),0))</f>
        <v/>
      </c>
      <c r="L2967" s="16" t="str">
        <f aca="false">IF(B2967="","",IF(A2967=_xlfn.MAXIFS($A$2:$A$5001,$B$2:$B$5001,B2967,$I$2:$I$5001,I2967),1,0))</f>
        <v/>
      </c>
    </row>
    <row r="2968" customFormat="false" ht="15" hidden="false" customHeight="false" outlineLevel="0" collapsed="false">
      <c r="I2968" s="15" t="str">
        <f aca="false">IF(A2968="","",INT(A2968))</f>
        <v/>
      </c>
      <c r="J2968" s="16" t="str">
        <f aca="false">IF(B2968="","",IF(A2968=_xlfn.MINIFS($A$2:$A$5001,$B$2:$B$5001,B2968),1,0))</f>
        <v/>
      </c>
      <c r="K2968" s="16" t="str">
        <f aca="false">IF(B2968="","",IF(AND(D2968="Formalização",E2968="Concluído"),IF(COUNTIFS($B$2:$B$5001,B2968,$E$2:$E$5001,"Em ajustes",$A$2:$A$5001,"&lt;"&amp;I2968)&gt;0,1,0),0))</f>
        <v/>
      </c>
      <c r="L2968" s="16" t="str">
        <f aca="false">IF(B2968="","",IF(A2968=_xlfn.MAXIFS($A$2:$A$5001,$B$2:$B$5001,B2968,$I$2:$I$5001,I2968),1,0))</f>
        <v/>
      </c>
    </row>
    <row r="2969" customFormat="false" ht="15" hidden="false" customHeight="false" outlineLevel="0" collapsed="false">
      <c r="I2969" s="15" t="str">
        <f aca="false">IF(A2969="","",INT(A2969))</f>
        <v/>
      </c>
      <c r="J2969" s="16" t="str">
        <f aca="false">IF(B2969="","",IF(A2969=_xlfn.MINIFS($A$2:$A$5001,$B$2:$B$5001,B2969),1,0))</f>
        <v/>
      </c>
      <c r="K2969" s="16" t="str">
        <f aca="false">IF(B2969="","",IF(AND(D2969="Formalização",E2969="Concluído"),IF(COUNTIFS($B$2:$B$5001,B2969,$E$2:$E$5001,"Em ajustes",$A$2:$A$5001,"&lt;"&amp;I2969)&gt;0,1,0),0))</f>
        <v/>
      </c>
      <c r="L2969" s="16" t="str">
        <f aca="false">IF(B2969="","",IF(A2969=_xlfn.MAXIFS($A$2:$A$5001,$B$2:$B$5001,B2969,$I$2:$I$5001,I2969),1,0))</f>
        <v/>
      </c>
    </row>
    <row r="2970" customFormat="false" ht="15" hidden="false" customHeight="false" outlineLevel="0" collapsed="false">
      <c r="I2970" s="15" t="str">
        <f aca="false">IF(A2970="","",INT(A2970))</f>
        <v/>
      </c>
      <c r="J2970" s="16" t="str">
        <f aca="false">IF(B2970="","",IF(A2970=_xlfn.MINIFS($A$2:$A$5001,$B$2:$B$5001,B2970),1,0))</f>
        <v/>
      </c>
      <c r="K2970" s="16" t="str">
        <f aca="false">IF(B2970="","",IF(AND(D2970="Formalização",E2970="Concluído"),IF(COUNTIFS($B$2:$B$5001,B2970,$E$2:$E$5001,"Em ajustes",$A$2:$A$5001,"&lt;"&amp;I2970)&gt;0,1,0),0))</f>
        <v/>
      </c>
      <c r="L2970" s="16" t="str">
        <f aca="false">IF(B2970="","",IF(A2970=_xlfn.MAXIFS($A$2:$A$5001,$B$2:$B$5001,B2970,$I$2:$I$5001,I2970),1,0))</f>
        <v/>
      </c>
    </row>
    <row r="2971" customFormat="false" ht="15" hidden="false" customHeight="false" outlineLevel="0" collapsed="false">
      <c r="I2971" s="15" t="str">
        <f aca="false">IF(A2971="","",INT(A2971))</f>
        <v/>
      </c>
      <c r="J2971" s="16" t="str">
        <f aca="false">IF(B2971="","",IF(A2971=_xlfn.MINIFS($A$2:$A$5001,$B$2:$B$5001,B2971),1,0))</f>
        <v/>
      </c>
      <c r="K2971" s="16" t="str">
        <f aca="false">IF(B2971="","",IF(AND(D2971="Formalização",E2971="Concluído"),IF(COUNTIFS($B$2:$B$5001,B2971,$E$2:$E$5001,"Em ajustes",$A$2:$A$5001,"&lt;"&amp;I2971)&gt;0,1,0),0))</f>
        <v/>
      </c>
      <c r="L2971" s="16" t="str">
        <f aca="false">IF(B2971="","",IF(A2971=_xlfn.MAXIFS($A$2:$A$5001,$B$2:$B$5001,B2971,$I$2:$I$5001,I2971),1,0))</f>
        <v/>
      </c>
    </row>
    <row r="2972" customFormat="false" ht="15" hidden="false" customHeight="false" outlineLevel="0" collapsed="false">
      <c r="I2972" s="15" t="str">
        <f aca="false">IF(A2972="","",INT(A2972))</f>
        <v/>
      </c>
      <c r="J2972" s="16" t="str">
        <f aca="false">IF(B2972="","",IF(A2972=_xlfn.MINIFS($A$2:$A$5001,$B$2:$B$5001,B2972),1,0))</f>
        <v/>
      </c>
      <c r="K2972" s="16" t="str">
        <f aca="false">IF(B2972="","",IF(AND(D2972="Formalização",E2972="Concluído"),IF(COUNTIFS($B$2:$B$5001,B2972,$E$2:$E$5001,"Em ajustes",$A$2:$A$5001,"&lt;"&amp;I2972)&gt;0,1,0),0))</f>
        <v/>
      </c>
      <c r="L2972" s="16" t="str">
        <f aca="false">IF(B2972="","",IF(A2972=_xlfn.MAXIFS($A$2:$A$5001,$B$2:$B$5001,B2972,$I$2:$I$5001,I2972),1,0))</f>
        <v/>
      </c>
    </row>
    <row r="2973" customFormat="false" ht="15" hidden="false" customHeight="false" outlineLevel="0" collapsed="false">
      <c r="I2973" s="15" t="str">
        <f aca="false">IF(A2973="","",INT(A2973))</f>
        <v/>
      </c>
      <c r="J2973" s="16" t="str">
        <f aca="false">IF(B2973="","",IF(A2973=_xlfn.MINIFS($A$2:$A$5001,$B$2:$B$5001,B2973),1,0))</f>
        <v/>
      </c>
      <c r="K2973" s="16" t="str">
        <f aca="false">IF(B2973="","",IF(AND(D2973="Formalização",E2973="Concluído"),IF(COUNTIFS($B$2:$B$5001,B2973,$E$2:$E$5001,"Em ajustes",$A$2:$A$5001,"&lt;"&amp;I2973)&gt;0,1,0),0))</f>
        <v/>
      </c>
      <c r="L2973" s="16" t="str">
        <f aca="false">IF(B2973="","",IF(A2973=_xlfn.MAXIFS($A$2:$A$5001,$B$2:$B$5001,B2973,$I$2:$I$5001,I2973),1,0))</f>
        <v/>
      </c>
    </row>
    <row r="2974" customFormat="false" ht="15" hidden="false" customHeight="false" outlineLevel="0" collapsed="false">
      <c r="I2974" s="15" t="str">
        <f aca="false">IF(A2974="","",INT(A2974))</f>
        <v/>
      </c>
      <c r="J2974" s="16" t="str">
        <f aca="false">IF(B2974="","",IF(A2974=_xlfn.MINIFS($A$2:$A$5001,$B$2:$B$5001,B2974),1,0))</f>
        <v/>
      </c>
      <c r="K2974" s="16" t="str">
        <f aca="false">IF(B2974="","",IF(AND(D2974="Formalização",E2974="Concluído"),IF(COUNTIFS($B$2:$B$5001,B2974,$E$2:$E$5001,"Em ajustes",$A$2:$A$5001,"&lt;"&amp;I2974)&gt;0,1,0),0))</f>
        <v/>
      </c>
      <c r="L2974" s="16" t="str">
        <f aca="false">IF(B2974="","",IF(A2974=_xlfn.MAXIFS($A$2:$A$5001,$B$2:$B$5001,B2974,$I$2:$I$5001,I2974),1,0))</f>
        <v/>
      </c>
    </row>
    <row r="2975" customFormat="false" ht="15" hidden="false" customHeight="false" outlineLevel="0" collapsed="false">
      <c r="I2975" s="15" t="str">
        <f aca="false">IF(A2975="","",INT(A2975))</f>
        <v/>
      </c>
      <c r="J2975" s="16" t="str">
        <f aca="false">IF(B2975="","",IF(A2975=_xlfn.MINIFS($A$2:$A$5001,$B$2:$B$5001,B2975),1,0))</f>
        <v/>
      </c>
      <c r="K2975" s="16" t="str">
        <f aca="false">IF(B2975="","",IF(AND(D2975="Formalização",E2975="Concluído"),IF(COUNTIFS($B$2:$B$5001,B2975,$E$2:$E$5001,"Em ajustes",$A$2:$A$5001,"&lt;"&amp;I2975)&gt;0,1,0),0))</f>
        <v/>
      </c>
      <c r="L2975" s="16" t="str">
        <f aca="false">IF(B2975="","",IF(A2975=_xlfn.MAXIFS($A$2:$A$5001,$B$2:$B$5001,B2975,$I$2:$I$5001,I2975),1,0))</f>
        <v/>
      </c>
    </row>
    <row r="2976" customFormat="false" ht="15" hidden="false" customHeight="false" outlineLevel="0" collapsed="false">
      <c r="I2976" s="15" t="str">
        <f aca="false">IF(A2976="","",INT(A2976))</f>
        <v/>
      </c>
      <c r="J2976" s="16" t="str">
        <f aca="false">IF(B2976="","",IF(A2976=_xlfn.MINIFS($A$2:$A$5001,$B$2:$B$5001,B2976),1,0))</f>
        <v/>
      </c>
      <c r="K2976" s="16" t="str">
        <f aca="false">IF(B2976="","",IF(AND(D2976="Formalização",E2976="Concluído"),IF(COUNTIFS($B$2:$B$5001,B2976,$E$2:$E$5001,"Em ajustes",$A$2:$A$5001,"&lt;"&amp;I2976)&gt;0,1,0),0))</f>
        <v/>
      </c>
      <c r="L2976" s="16" t="str">
        <f aca="false">IF(B2976="","",IF(A2976=_xlfn.MAXIFS($A$2:$A$5001,$B$2:$B$5001,B2976,$I$2:$I$5001,I2976),1,0))</f>
        <v/>
      </c>
    </row>
    <row r="2977" customFormat="false" ht="15" hidden="false" customHeight="false" outlineLevel="0" collapsed="false">
      <c r="I2977" s="15" t="str">
        <f aca="false">IF(A2977="","",INT(A2977))</f>
        <v/>
      </c>
      <c r="J2977" s="16" t="str">
        <f aca="false">IF(B2977="","",IF(A2977=_xlfn.MINIFS($A$2:$A$5001,$B$2:$B$5001,B2977),1,0))</f>
        <v/>
      </c>
      <c r="K2977" s="16" t="str">
        <f aca="false">IF(B2977="","",IF(AND(D2977="Formalização",E2977="Concluído"),IF(COUNTIFS($B$2:$B$5001,B2977,$E$2:$E$5001,"Em ajustes",$A$2:$A$5001,"&lt;"&amp;I2977)&gt;0,1,0),0))</f>
        <v/>
      </c>
      <c r="L2977" s="16" t="str">
        <f aca="false">IF(B2977="","",IF(A2977=_xlfn.MAXIFS($A$2:$A$5001,$B$2:$B$5001,B2977,$I$2:$I$5001,I2977),1,0))</f>
        <v/>
      </c>
    </row>
    <row r="2978" customFormat="false" ht="15" hidden="false" customHeight="false" outlineLevel="0" collapsed="false">
      <c r="I2978" s="15" t="str">
        <f aca="false">IF(A2978="","",INT(A2978))</f>
        <v/>
      </c>
      <c r="J2978" s="16" t="str">
        <f aca="false">IF(B2978="","",IF(A2978=_xlfn.MINIFS($A$2:$A$5001,$B$2:$B$5001,B2978),1,0))</f>
        <v/>
      </c>
      <c r="K2978" s="16" t="str">
        <f aca="false">IF(B2978="","",IF(AND(D2978="Formalização",E2978="Concluído"),IF(COUNTIFS($B$2:$B$5001,B2978,$E$2:$E$5001,"Em ajustes",$A$2:$A$5001,"&lt;"&amp;I2978)&gt;0,1,0),0))</f>
        <v/>
      </c>
      <c r="L2978" s="16" t="str">
        <f aca="false">IF(B2978="","",IF(A2978=_xlfn.MAXIFS($A$2:$A$5001,$B$2:$B$5001,B2978,$I$2:$I$5001,I2978),1,0))</f>
        <v/>
      </c>
    </row>
    <row r="2979" customFormat="false" ht="15" hidden="false" customHeight="false" outlineLevel="0" collapsed="false">
      <c r="I2979" s="15" t="str">
        <f aca="false">IF(A2979="","",INT(A2979))</f>
        <v/>
      </c>
      <c r="J2979" s="16" t="str">
        <f aca="false">IF(B2979="","",IF(A2979=_xlfn.MINIFS($A$2:$A$5001,$B$2:$B$5001,B2979),1,0))</f>
        <v/>
      </c>
      <c r="K2979" s="16" t="str">
        <f aca="false">IF(B2979="","",IF(AND(D2979="Formalização",E2979="Concluído"),IF(COUNTIFS($B$2:$B$5001,B2979,$E$2:$E$5001,"Em ajustes",$A$2:$A$5001,"&lt;"&amp;I2979)&gt;0,1,0),0))</f>
        <v/>
      </c>
      <c r="L2979" s="16" t="str">
        <f aca="false">IF(B2979="","",IF(A2979=_xlfn.MAXIFS($A$2:$A$5001,$B$2:$B$5001,B2979,$I$2:$I$5001,I2979),1,0))</f>
        <v/>
      </c>
    </row>
    <row r="2980" customFormat="false" ht="15" hidden="false" customHeight="false" outlineLevel="0" collapsed="false">
      <c r="I2980" s="15" t="str">
        <f aca="false">IF(A2980="","",INT(A2980))</f>
        <v/>
      </c>
      <c r="J2980" s="16" t="str">
        <f aca="false">IF(B2980="","",IF(A2980=_xlfn.MINIFS($A$2:$A$5001,$B$2:$B$5001,B2980),1,0))</f>
        <v/>
      </c>
      <c r="K2980" s="16" t="str">
        <f aca="false">IF(B2980="","",IF(AND(D2980="Formalização",E2980="Concluído"),IF(COUNTIFS($B$2:$B$5001,B2980,$E$2:$E$5001,"Em ajustes",$A$2:$A$5001,"&lt;"&amp;I2980)&gt;0,1,0),0))</f>
        <v/>
      </c>
      <c r="L2980" s="16" t="str">
        <f aca="false">IF(B2980="","",IF(A2980=_xlfn.MAXIFS($A$2:$A$5001,$B$2:$B$5001,B2980,$I$2:$I$5001,I2980),1,0))</f>
        <v/>
      </c>
    </row>
    <row r="2981" customFormat="false" ht="15" hidden="false" customHeight="false" outlineLevel="0" collapsed="false">
      <c r="I2981" s="15" t="str">
        <f aca="false">IF(A2981="","",INT(A2981))</f>
        <v/>
      </c>
      <c r="J2981" s="16" t="str">
        <f aca="false">IF(B2981="","",IF(A2981=_xlfn.MINIFS($A$2:$A$5001,$B$2:$B$5001,B2981),1,0))</f>
        <v/>
      </c>
      <c r="K2981" s="16" t="str">
        <f aca="false">IF(B2981="","",IF(AND(D2981="Formalização",E2981="Concluído"),IF(COUNTIFS($B$2:$B$5001,B2981,$E$2:$E$5001,"Em ajustes",$A$2:$A$5001,"&lt;"&amp;I2981)&gt;0,1,0),0))</f>
        <v/>
      </c>
      <c r="L2981" s="16" t="str">
        <f aca="false">IF(B2981="","",IF(A2981=_xlfn.MAXIFS($A$2:$A$5001,$B$2:$B$5001,B2981,$I$2:$I$5001,I2981),1,0))</f>
        <v/>
      </c>
    </row>
    <row r="2982" customFormat="false" ht="15" hidden="false" customHeight="false" outlineLevel="0" collapsed="false">
      <c r="I2982" s="15" t="str">
        <f aca="false">IF(A2982="","",INT(A2982))</f>
        <v/>
      </c>
      <c r="J2982" s="16" t="str">
        <f aca="false">IF(B2982="","",IF(A2982=_xlfn.MINIFS($A$2:$A$5001,$B$2:$B$5001,B2982),1,0))</f>
        <v/>
      </c>
      <c r="K2982" s="16" t="str">
        <f aca="false">IF(B2982="","",IF(AND(D2982="Formalização",E2982="Concluído"),IF(COUNTIFS($B$2:$B$5001,B2982,$E$2:$E$5001,"Em ajustes",$A$2:$A$5001,"&lt;"&amp;I2982)&gt;0,1,0),0))</f>
        <v/>
      </c>
      <c r="L2982" s="16" t="str">
        <f aca="false">IF(B2982="","",IF(A2982=_xlfn.MAXIFS($A$2:$A$5001,$B$2:$B$5001,B2982,$I$2:$I$5001,I2982),1,0))</f>
        <v/>
      </c>
    </row>
    <row r="2983" customFormat="false" ht="15" hidden="false" customHeight="false" outlineLevel="0" collapsed="false">
      <c r="I2983" s="15" t="str">
        <f aca="false">IF(A2983="","",INT(A2983))</f>
        <v/>
      </c>
      <c r="J2983" s="16" t="str">
        <f aca="false">IF(B2983="","",IF(A2983=_xlfn.MINIFS($A$2:$A$5001,$B$2:$B$5001,B2983),1,0))</f>
        <v/>
      </c>
      <c r="K2983" s="16" t="str">
        <f aca="false">IF(B2983="","",IF(AND(D2983="Formalização",E2983="Concluído"),IF(COUNTIFS($B$2:$B$5001,B2983,$E$2:$E$5001,"Em ajustes",$A$2:$A$5001,"&lt;"&amp;I2983)&gt;0,1,0),0))</f>
        <v/>
      </c>
      <c r="L2983" s="16" t="str">
        <f aca="false">IF(B2983="","",IF(A2983=_xlfn.MAXIFS($A$2:$A$5001,$B$2:$B$5001,B2983,$I$2:$I$5001,I2983),1,0))</f>
        <v/>
      </c>
    </row>
    <row r="2984" customFormat="false" ht="15" hidden="false" customHeight="false" outlineLevel="0" collapsed="false">
      <c r="I2984" s="15" t="str">
        <f aca="false">IF(A2984="","",INT(A2984))</f>
        <v/>
      </c>
      <c r="J2984" s="16" t="str">
        <f aca="false">IF(B2984="","",IF(A2984=_xlfn.MINIFS($A$2:$A$5001,$B$2:$B$5001,B2984),1,0))</f>
        <v/>
      </c>
      <c r="K2984" s="16" t="str">
        <f aca="false">IF(B2984="","",IF(AND(D2984="Formalização",E2984="Concluído"),IF(COUNTIFS($B$2:$B$5001,B2984,$E$2:$E$5001,"Em ajustes",$A$2:$A$5001,"&lt;"&amp;I2984)&gt;0,1,0),0))</f>
        <v/>
      </c>
      <c r="L2984" s="16" t="str">
        <f aca="false">IF(B2984="","",IF(A2984=_xlfn.MAXIFS($A$2:$A$5001,$B$2:$B$5001,B2984,$I$2:$I$5001,I2984),1,0))</f>
        <v/>
      </c>
    </row>
    <row r="2985" customFormat="false" ht="15" hidden="false" customHeight="false" outlineLevel="0" collapsed="false">
      <c r="I2985" s="15" t="str">
        <f aca="false">IF(A2985="","",INT(A2985))</f>
        <v/>
      </c>
      <c r="J2985" s="16" t="str">
        <f aca="false">IF(B2985="","",IF(A2985=_xlfn.MINIFS($A$2:$A$5001,$B$2:$B$5001,B2985),1,0))</f>
        <v/>
      </c>
      <c r="K2985" s="16" t="str">
        <f aca="false">IF(B2985="","",IF(AND(D2985="Formalização",E2985="Concluído"),IF(COUNTIFS($B$2:$B$5001,B2985,$E$2:$E$5001,"Em ajustes",$A$2:$A$5001,"&lt;"&amp;I2985)&gt;0,1,0),0))</f>
        <v/>
      </c>
      <c r="L2985" s="16" t="str">
        <f aca="false">IF(B2985="","",IF(A2985=_xlfn.MAXIFS($A$2:$A$5001,$B$2:$B$5001,B2985,$I$2:$I$5001,I2985),1,0))</f>
        <v/>
      </c>
    </row>
    <row r="2986" customFormat="false" ht="15" hidden="false" customHeight="false" outlineLevel="0" collapsed="false">
      <c r="I2986" s="15" t="str">
        <f aca="false">IF(A2986="","",INT(A2986))</f>
        <v/>
      </c>
      <c r="J2986" s="16" t="str">
        <f aca="false">IF(B2986="","",IF(A2986=_xlfn.MINIFS($A$2:$A$5001,$B$2:$B$5001,B2986),1,0))</f>
        <v/>
      </c>
      <c r="K2986" s="16" t="str">
        <f aca="false">IF(B2986="","",IF(AND(D2986="Formalização",E2986="Concluído"),IF(COUNTIFS($B$2:$B$5001,B2986,$E$2:$E$5001,"Em ajustes",$A$2:$A$5001,"&lt;"&amp;I2986)&gt;0,1,0),0))</f>
        <v/>
      </c>
      <c r="L2986" s="16" t="str">
        <f aca="false">IF(B2986="","",IF(A2986=_xlfn.MAXIFS($A$2:$A$5001,$B$2:$B$5001,B2986,$I$2:$I$5001,I2986),1,0))</f>
        <v/>
      </c>
    </row>
    <row r="2987" customFormat="false" ht="15" hidden="false" customHeight="false" outlineLevel="0" collapsed="false">
      <c r="I2987" s="15" t="str">
        <f aca="false">IF(A2987="","",INT(A2987))</f>
        <v/>
      </c>
      <c r="J2987" s="16" t="str">
        <f aca="false">IF(B2987="","",IF(A2987=_xlfn.MINIFS($A$2:$A$5001,$B$2:$B$5001,B2987),1,0))</f>
        <v/>
      </c>
      <c r="K2987" s="16" t="str">
        <f aca="false">IF(B2987="","",IF(AND(D2987="Formalização",E2987="Concluído"),IF(COUNTIFS($B$2:$B$5001,B2987,$E$2:$E$5001,"Em ajustes",$A$2:$A$5001,"&lt;"&amp;I2987)&gt;0,1,0),0))</f>
        <v/>
      </c>
      <c r="L2987" s="16" t="str">
        <f aca="false">IF(B2987="","",IF(A2987=_xlfn.MAXIFS($A$2:$A$5001,$B$2:$B$5001,B2987,$I$2:$I$5001,I2987),1,0))</f>
        <v/>
      </c>
    </row>
    <row r="2988" customFormat="false" ht="15" hidden="false" customHeight="false" outlineLevel="0" collapsed="false">
      <c r="I2988" s="15" t="str">
        <f aca="false">IF(A2988="","",INT(A2988))</f>
        <v/>
      </c>
      <c r="J2988" s="16" t="str">
        <f aca="false">IF(B2988="","",IF(A2988=_xlfn.MINIFS($A$2:$A$5001,$B$2:$B$5001,B2988),1,0))</f>
        <v/>
      </c>
      <c r="K2988" s="16" t="str">
        <f aca="false">IF(B2988="","",IF(AND(D2988="Formalização",E2988="Concluído"),IF(COUNTIFS($B$2:$B$5001,B2988,$E$2:$E$5001,"Em ajustes",$A$2:$A$5001,"&lt;"&amp;I2988)&gt;0,1,0),0))</f>
        <v/>
      </c>
      <c r="L2988" s="16" t="str">
        <f aca="false">IF(B2988="","",IF(A2988=_xlfn.MAXIFS($A$2:$A$5001,$B$2:$B$5001,B2988,$I$2:$I$5001,I2988),1,0))</f>
        <v/>
      </c>
    </row>
    <row r="2989" customFormat="false" ht="15" hidden="false" customHeight="false" outlineLevel="0" collapsed="false">
      <c r="I2989" s="15" t="str">
        <f aca="false">IF(A2989="","",INT(A2989))</f>
        <v/>
      </c>
      <c r="J2989" s="16" t="str">
        <f aca="false">IF(B2989="","",IF(A2989=_xlfn.MINIFS($A$2:$A$5001,$B$2:$B$5001,B2989),1,0))</f>
        <v/>
      </c>
      <c r="K2989" s="16" t="str">
        <f aca="false">IF(B2989="","",IF(AND(D2989="Formalização",E2989="Concluído"),IF(COUNTIFS($B$2:$B$5001,B2989,$E$2:$E$5001,"Em ajustes",$A$2:$A$5001,"&lt;"&amp;I2989)&gt;0,1,0),0))</f>
        <v/>
      </c>
      <c r="L2989" s="16" t="str">
        <f aca="false">IF(B2989="","",IF(A2989=_xlfn.MAXIFS($A$2:$A$5001,$B$2:$B$5001,B2989,$I$2:$I$5001,I2989),1,0))</f>
        <v/>
      </c>
    </row>
    <row r="2990" customFormat="false" ht="15" hidden="false" customHeight="false" outlineLevel="0" collapsed="false">
      <c r="I2990" s="15" t="str">
        <f aca="false">IF(A2990="","",INT(A2990))</f>
        <v/>
      </c>
      <c r="J2990" s="16" t="str">
        <f aca="false">IF(B2990="","",IF(A2990=_xlfn.MINIFS($A$2:$A$5001,$B$2:$B$5001,B2990),1,0))</f>
        <v/>
      </c>
      <c r="K2990" s="16" t="str">
        <f aca="false">IF(B2990="","",IF(AND(D2990="Formalização",E2990="Concluído"),IF(COUNTIFS($B$2:$B$5001,B2990,$E$2:$E$5001,"Em ajustes",$A$2:$A$5001,"&lt;"&amp;I2990)&gt;0,1,0),0))</f>
        <v/>
      </c>
      <c r="L2990" s="16" t="str">
        <f aca="false">IF(B2990="","",IF(A2990=_xlfn.MAXIFS($A$2:$A$5001,$B$2:$B$5001,B2990,$I$2:$I$5001,I2990),1,0))</f>
        <v/>
      </c>
    </row>
    <row r="2991" customFormat="false" ht="15" hidden="false" customHeight="false" outlineLevel="0" collapsed="false">
      <c r="I2991" s="15" t="str">
        <f aca="false">IF(A2991="","",INT(A2991))</f>
        <v/>
      </c>
      <c r="J2991" s="16" t="str">
        <f aca="false">IF(B2991="","",IF(A2991=_xlfn.MINIFS($A$2:$A$5001,$B$2:$B$5001,B2991),1,0))</f>
        <v/>
      </c>
      <c r="K2991" s="16" t="str">
        <f aca="false">IF(B2991="","",IF(AND(D2991="Formalização",E2991="Concluído"),IF(COUNTIFS($B$2:$B$5001,B2991,$E$2:$E$5001,"Em ajustes",$A$2:$A$5001,"&lt;"&amp;I2991)&gt;0,1,0),0))</f>
        <v/>
      </c>
      <c r="L2991" s="16" t="str">
        <f aca="false">IF(B2991="","",IF(A2991=_xlfn.MAXIFS($A$2:$A$5001,$B$2:$B$5001,B2991,$I$2:$I$5001,I2991),1,0))</f>
        <v/>
      </c>
    </row>
    <row r="2992" customFormat="false" ht="15" hidden="false" customHeight="false" outlineLevel="0" collapsed="false">
      <c r="I2992" s="15" t="str">
        <f aca="false">IF(A2992="","",INT(A2992))</f>
        <v/>
      </c>
      <c r="J2992" s="16" t="str">
        <f aca="false">IF(B2992="","",IF(A2992=_xlfn.MINIFS($A$2:$A$5001,$B$2:$B$5001,B2992),1,0))</f>
        <v/>
      </c>
      <c r="K2992" s="16" t="str">
        <f aca="false">IF(B2992="","",IF(AND(D2992="Formalização",E2992="Concluído"),IF(COUNTIFS($B$2:$B$5001,B2992,$E$2:$E$5001,"Em ajustes",$A$2:$A$5001,"&lt;"&amp;I2992)&gt;0,1,0),0))</f>
        <v/>
      </c>
      <c r="L2992" s="16" t="str">
        <f aca="false">IF(B2992="","",IF(A2992=_xlfn.MAXIFS($A$2:$A$5001,$B$2:$B$5001,B2992,$I$2:$I$5001,I2992),1,0))</f>
        <v/>
      </c>
    </row>
    <row r="2993" customFormat="false" ht="15" hidden="false" customHeight="false" outlineLevel="0" collapsed="false">
      <c r="I2993" s="15" t="str">
        <f aca="false">IF(A2993="","",INT(A2993))</f>
        <v/>
      </c>
      <c r="J2993" s="16" t="str">
        <f aca="false">IF(B2993="","",IF(A2993=_xlfn.MINIFS($A$2:$A$5001,$B$2:$B$5001,B2993),1,0))</f>
        <v/>
      </c>
      <c r="K2993" s="16" t="str">
        <f aca="false">IF(B2993="","",IF(AND(D2993="Formalização",E2993="Concluído"),IF(COUNTIFS($B$2:$B$5001,B2993,$E$2:$E$5001,"Em ajustes",$A$2:$A$5001,"&lt;"&amp;I2993)&gt;0,1,0),0))</f>
        <v/>
      </c>
      <c r="L2993" s="16" t="str">
        <f aca="false">IF(B2993="","",IF(A2993=_xlfn.MAXIFS($A$2:$A$5001,$B$2:$B$5001,B2993,$I$2:$I$5001,I2993),1,0))</f>
        <v/>
      </c>
    </row>
    <row r="2994" customFormat="false" ht="15" hidden="false" customHeight="false" outlineLevel="0" collapsed="false">
      <c r="I2994" s="15" t="str">
        <f aca="false">IF(A2994="","",INT(A2994))</f>
        <v/>
      </c>
      <c r="J2994" s="16" t="str">
        <f aca="false">IF(B2994="","",IF(A2994=_xlfn.MINIFS($A$2:$A$5001,$B$2:$B$5001,B2994),1,0))</f>
        <v/>
      </c>
      <c r="K2994" s="16" t="str">
        <f aca="false">IF(B2994="","",IF(AND(D2994="Formalização",E2994="Concluído"),IF(COUNTIFS($B$2:$B$5001,B2994,$E$2:$E$5001,"Em ajustes",$A$2:$A$5001,"&lt;"&amp;I2994)&gt;0,1,0),0))</f>
        <v/>
      </c>
      <c r="L2994" s="16" t="str">
        <f aca="false">IF(B2994="","",IF(A2994=_xlfn.MAXIFS($A$2:$A$5001,$B$2:$B$5001,B2994,$I$2:$I$5001,I2994),1,0))</f>
        <v/>
      </c>
    </row>
    <row r="2995" customFormat="false" ht="15" hidden="false" customHeight="false" outlineLevel="0" collapsed="false">
      <c r="I2995" s="15" t="str">
        <f aca="false">IF(A2995="","",INT(A2995))</f>
        <v/>
      </c>
      <c r="J2995" s="16" t="str">
        <f aca="false">IF(B2995="","",IF(A2995=_xlfn.MINIFS($A$2:$A$5001,$B$2:$B$5001,B2995),1,0))</f>
        <v/>
      </c>
      <c r="K2995" s="16" t="str">
        <f aca="false">IF(B2995="","",IF(AND(D2995="Formalização",E2995="Concluído"),IF(COUNTIFS($B$2:$B$5001,B2995,$E$2:$E$5001,"Em ajustes",$A$2:$A$5001,"&lt;"&amp;I2995)&gt;0,1,0),0))</f>
        <v/>
      </c>
      <c r="L2995" s="16" t="str">
        <f aca="false">IF(B2995="","",IF(A2995=_xlfn.MAXIFS($A$2:$A$5001,$B$2:$B$5001,B2995,$I$2:$I$5001,I2995),1,0))</f>
        <v/>
      </c>
    </row>
    <row r="2996" customFormat="false" ht="15" hidden="false" customHeight="false" outlineLevel="0" collapsed="false">
      <c r="I2996" s="15" t="str">
        <f aca="false">IF(A2996="","",INT(A2996))</f>
        <v/>
      </c>
      <c r="J2996" s="16" t="str">
        <f aca="false">IF(B2996="","",IF(A2996=_xlfn.MINIFS($A$2:$A$5001,$B$2:$B$5001,B2996),1,0))</f>
        <v/>
      </c>
      <c r="K2996" s="16" t="str">
        <f aca="false">IF(B2996="","",IF(AND(D2996="Formalização",E2996="Concluído"),IF(COUNTIFS($B$2:$B$5001,B2996,$E$2:$E$5001,"Em ajustes",$A$2:$A$5001,"&lt;"&amp;I2996)&gt;0,1,0),0))</f>
        <v/>
      </c>
      <c r="L2996" s="16" t="str">
        <f aca="false">IF(B2996="","",IF(A2996=_xlfn.MAXIFS($A$2:$A$5001,$B$2:$B$5001,B2996,$I$2:$I$5001,I2996),1,0))</f>
        <v/>
      </c>
    </row>
    <row r="2997" customFormat="false" ht="15" hidden="false" customHeight="false" outlineLevel="0" collapsed="false">
      <c r="I2997" s="15" t="str">
        <f aca="false">IF(A2997="","",INT(A2997))</f>
        <v/>
      </c>
      <c r="J2997" s="16" t="str">
        <f aca="false">IF(B2997="","",IF(A2997=_xlfn.MINIFS($A$2:$A$5001,$B$2:$B$5001,B2997),1,0))</f>
        <v/>
      </c>
      <c r="K2997" s="16" t="str">
        <f aca="false">IF(B2997="","",IF(AND(D2997="Formalização",E2997="Concluído"),IF(COUNTIFS($B$2:$B$5001,B2997,$E$2:$E$5001,"Em ajustes",$A$2:$A$5001,"&lt;"&amp;I2997)&gt;0,1,0),0))</f>
        <v/>
      </c>
      <c r="L2997" s="16" t="str">
        <f aca="false">IF(B2997="","",IF(A2997=_xlfn.MAXIFS($A$2:$A$5001,$B$2:$B$5001,B2997,$I$2:$I$5001,I2997),1,0))</f>
        <v/>
      </c>
    </row>
    <row r="2998" customFormat="false" ht="15" hidden="false" customHeight="false" outlineLevel="0" collapsed="false">
      <c r="I2998" s="15" t="str">
        <f aca="false">IF(A2998="","",INT(A2998))</f>
        <v/>
      </c>
      <c r="J2998" s="16" t="str">
        <f aca="false">IF(B2998="","",IF(A2998=_xlfn.MINIFS($A$2:$A$5001,$B$2:$B$5001,B2998),1,0))</f>
        <v/>
      </c>
      <c r="K2998" s="16" t="str">
        <f aca="false">IF(B2998="","",IF(AND(D2998="Formalização",E2998="Concluído"),IF(COUNTIFS($B$2:$B$5001,B2998,$E$2:$E$5001,"Em ajustes",$A$2:$A$5001,"&lt;"&amp;I2998)&gt;0,1,0),0))</f>
        <v/>
      </c>
      <c r="L2998" s="16" t="str">
        <f aca="false">IF(B2998="","",IF(A2998=_xlfn.MAXIFS($A$2:$A$5001,$B$2:$B$5001,B2998,$I$2:$I$5001,I2998),1,0))</f>
        <v/>
      </c>
    </row>
    <row r="2999" customFormat="false" ht="15" hidden="false" customHeight="false" outlineLevel="0" collapsed="false">
      <c r="I2999" s="15" t="str">
        <f aca="false">IF(A2999="","",INT(A2999))</f>
        <v/>
      </c>
      <c r="J2999" s="16" t="str">
        <f aca="false">IF(B2999="","",IF(A2999=_xlfn.MINIFS($A$2:$A$5001,$B$2:$B$5001,B2999),1,0))</f>
        <v/>
      </c>
      <c r="K2999" s="16" t="str">
        <f aca="false">IF(B2999="","",IF(AND(D2999="Formalização",E2999="Concluído"),IF(COUNTIFS($B$2:$B$5001,B2999,$E$2:$E$5001,"Em ajustes",$A$2:$A$5001,"&lt;"&amp;I2999)&gt;0,1,0),0))</f>
        <v/>
      </c>
      <c r="L2999" s="16" t="str">
        <f aca="false">IF(B2999="","",IF(A2999=_xlfn.MAXIFS($A$2:$A$5001,$B$2:$B$5001,B2999,$I$2:$I$5001,I2999),1,0))</f>
        <v/>
      </c>
    </row>
    <row r="3000" customFormat="false" ht="15" hidden="false" customHeight="false" outlineLevel="0" collapsed="false">
      <c r="I3000" s="15" t="str">
        <f aca="false">IF(A3000="","",INT(A3000))</f>
        <v/>
      </c>
      <c r="J3000" s="16" t="str">
        <f aca="false">IF(B3000="","",IF(A3000=_xlfn.MINIFS($A$2:$A$5001,$B$2:$B$5001,B3000),1,0))</f>
        <v/>
      </c>
      <c r="K3000" s="16" t="str">
        <f aca="false">IF(B3000="","",IF(AND(D3000="Formalização",E3000="Concluído"),IF(COUNTIFS($B$2:$B$5001,B3000,$E$2:$E$5001,"Em ajustes",$A$2:$A$5001,"&lt;"&amp;I3000)&gt;0,1,0),0))</f>
        <v/>
      </c>
      <c r="L3000" s="16" t="str">
        <f aca="false">IF(B3000="","",IF(A3000=_xlfn.MAXIFS($A$2:$A$5001,$B$2:$B$5001,B3000,$I$2:$I$5001,I3000),1,0))</f>
        <v/>
      </c>
    </row>
    <row r="3001" customFormat="false" ht="15" hidden="false" customHeight="false" outlineLevel="0" collapsed="false">
      <c r="I3001" s="15" t="str">
        <f aca="false">IF(A3001="","",INT(A3001))</f>
        <v/>
      </c>
      <c r="J3001" s="16" t="str">
        <f aca="false">IF(B3001="","",IF(A3001=_xlfn.MINIFS($A$2:$A$5001,$B$2:$B$5001,B3001),1,0))</f>
        <v/>
      </c>
      <c r="K3001" s="16" t="str">
        <f aca="false">IF(B3001="","",IF(AND(D3001="Formalização",E3001="Concluído"),IF(COUNTIFS($B$2:$B$5001,B3001,$E$2:$E$5001,"Em ajustes",$A$2:$A$5001,"&lt;"&amp;I3001)&gt;0,1,0),0))</f>
        <v/>
      </c>
      <c r="L3001" s="16" t="str">
        <f aca="false">IF(B3001="","",IF(A3001=_xlfn.MAXIFS($A$2:$A$5001,$B$2:$B$5001,B3001,$I$2:$I$5001,I3001),1,0))</f>
        <v/>
      </c>
    </row>
    <row r="3002" customFormat="false" ht="15" hidden="false" customHeight="false" outlineLevel="0" collapsed="false">
      <c r="I3002" s="15" t="str">
        <f aca="false">IF(A3002="","",INT(A3002))</f>
        <v/>
      </c>
      <c r="J3002" s="16" t="str">
        <f aca="false">IF(B3002="","",IF(A3002=_xlfn.MINIFS($A$2:$A$5001,$B$2:$B$5001,B3002),1,0))</f>
        <v/>
      </c>
      <c r="K3002" s="16" t="str">
        <f aca="false">IF(B3002="","",IF(AND(D3002="Formalização",E3002="Concluído"),IF(COUNTIFS($B$2:$B$5001,B3002,$E$2:$E$5001,"Em ajustes",$A$2:$A$5001,"&lt;"&amp;I3002)&gt;0,1,0),0))</f>
        <v/>
      </c>
      <c r="L3002" s="16" t="str">
        <f aca="false">IF(B3002="","",IF(A3002=_xlfn.MAXIFS($A$2:$A$5001,$B$2:$B$5001,B3002,$I$2:$I$5001,I3002),1,0))</f>
        <v/>
      </c>
    </row>
    <row r="3003" customFormat="false" ht="15" hidden="false" customHeight="false" outlineLevel="0" collapsed="false">
      <c r="I3003" s="15" t="str">
        <f aca="false">IF(A3003="","",INT(A3003))</f>
        <v/>
      </c>
      <c r="J3003" s="16" t="str">
        <f aca="false">IF(B3003="","",IF(A3003=_xlfn.MINIFS($A$2:$A$5001,$B$2:$B$5001,B3003),1,0))</f>
        <v/>
      </c>
      <c r="K3003" s="16" t="str">
        <f aca="false">IF(B3003="","",IF(AND(D3003="Formalização",E3003="Concluído"),IF(COUNTIFS($B$2:$B$5001,B3003,$E$2:$E$5001,"Em ajustes",$A$2:$A$5001,"&lt;"&amp;I3003)&gt;0,1,0),0))</f>
        <v/>
      </c>
      <c r="L3003" s="16" t="str">
        <f aca="false">IF(B3003="","",IF(A3003=_xlfn.MAXIFS($A$2:$A$5001,$B$2:$B$5001,B3003,$I$2:$I$5001,I3003),1,0))</f>
        <v/>
      </c>
    </row>
    <row r="3004" customFormat="false" ht="15" hidden="false" customHeight="false" outlineLevel="0" collapsed="false">
      <c r="I3004" s="15" t="str">
        <f aca="false">IF(A3004="","",INT(A3004))</f>
        <v/>
      </c>
      <c r="J3004" s="16" t="str">
        <f aca="false">IF(B3004="","",IF(A3004=_xlfn.MINIFS($A$2:$A$5001,$B$2:$B$5001,B3004),1,0))</f>
        <v/>
      </c>
      <c r="K3004" s="16" t="str">
        <f aca="false">IF(B3004="","",IF(AND(D3004="Formalização",E3004="Concluído"),IF(COUNTIFS($B$2:$B$5001,B3004,$E$2:$E$5001,"Em ajustes",$A$2:$A$5001,"&lt;"&amp;I3004)&gt;0,1,0),0))</f>
        <v/>
      </c>
      <c r="L3004" s="16" t="str">
        <f aca="false">IF(B3004="","",IF(A3004=_xlfn.MAXIFS($A$2:$A$5001,$B$2:$B$5001,B3004,$I$2:$I$5001,I3004),1,0))</f>
        <v/>
      </c>
    </row>
    <row r="3005" customFormat="false" ht="15" hidden="false" customHeight="false" outlineLevel="0" collapsed="false">
      <c r="I3005" s="15" t="str">
        <f aca="false">IF(A3005="","",INT(A3005))</f>
        <v/>
      </c>
      <c r="J3005" s="16" t="str">
        <f aca="false">IF(B3005="","",IF(A3005=_xlfn.MINIFS($A$2:$A$5001,$B$2:$B$5001,B3005),1,0))</f>
        <v/>
      </c>
      <c r="K3005" s="16" t="str">
        <f aca="false">IF(B3005="","",IF(AND(D3005="Formalização",E3005="Concluído"),IF(COUNTIFS($B$2:$B$5001,B3005,$E$2:$E$5001,"Em ajustes",$A$2:$A$5001,"&lt;"&amp;I3005)&gt;0,1,0),0))</f>
        <v/>
      </c>
      <c r="L3005" s="16" t="str">
        <f aca="false">IF(B3005="","",IF(A3005=_xlfn.MAXIFS($A$2:$A$5001,$B$2:$B$5001,B3005,$I$2:$I$5001,I3005),1,0))</f>
        <v/>
      </c>
    </row>
    <row r="3006" customFormat="false" ht="15" hidden="false" customHeight="false" outlineLevel="0" collapsed="false">
      <c r="I3006" s="15" t="str">
        <f aca="false">IF(A3006="","",INT(A3006))</f>
        <v/>
      </c>
      <c r="J3006" s="16" t="str">
        <f aca="false">IF(B3006="","",IF(A3006=_xlfn.MINIFS($A$2:$A$5001,$B$2:$B$5001,B3006),1,0))</f>
        <v/>
      </c>
      <c r="K3006" s="16" t="str">
        <f aca="false">IF(B3006="","",IF(AND(D3006="Formalização",E3006="Concluído"),IF(COUNTIFS($B$2:$B$5001,B3006,$E$2:$E$5001,"Em ajustes",$A$2:$A$5001,"&lt;"&amp;I3006)&gt;0,1,0),0))</f>
        <v/>
      </c>
      <c r="L3006" s="16" t="str">
        <f aca="false">IF(B3006="","",IF(A3006=_xlfn.MAXIFS($A$2:$A$5001,$B$2:$B$5001,B3006,$I$2:$I$5001,I3006),1,0))</f>
        <v/>
      </c>
    </row>
    <row r="3007" customFormat="false" ht="15" hidden="false" customHeight="false" outlineLevel="0" collapsed="false">
      <c r="I3007" s="15" t="str">
        <f aca="false">IF(A3007="","",INT(A3007))</f>
        <v/>
      </c>
      <c r="J3007" s="16" t="str">
        <f aca="false">IF(B3007="","",IF(A3007=_xlfn.MINIFS($A$2:$A$5001,$B$2:$B$5001,B3007),1,0))</f>
        <v/>
      </c>
      <c r="K3007" s="16" t="str">
        <f aca="false">IF(B3007="","",IF(AND(D3007="Formalização",E3007="Concluído"),IF(COUNTIFS($B$2:$B$5001,B3007,$E$2:$E$5001,"Em ajustes",$A$2:$A$5001,"&lt;"&amp;I3007)&gt;0,1,0),0))</f>
        <v/>
      </c>
      <c r="L3007" s="16" t="str">
        <f aca="false">IF(B3007="","",IF(A3007=_xlfn.MAXIFS($A$2:$A$5001,$B$2:$B$5001,B3007,$I$2:$I$5001,I3007),1,0))</f>
        <v/>
      </c>
    </row>
    <row r="3008" customFormat="false" ht="15" hidden="false" customHeight="false" outlineLevel="0" collapsed="false">
      <c r="I3008" s="15" t="str">
        <f aca="false">IF(A3008="","",INT(A3008))</f>
        <v/>
      </c>
      <c r="J3008" s="16" t="str">
        <f aca="false">IF(B3008="","",IF(A3008=_xlfn.MINIFS($A$2:$A$5001,$B$2:$B$5001,B3008),1,0))</f>
        <v/>
      </c>
      <c r="K3008" s="16" t="str">
        <f aca="false">IF(B3008="","",IF(AND(D3008="Formalização",E3008="Concluído"),IF(COUNTIFS($B$2:$B$5001,B3008,$E$2:$E$5001,"Em ajustes",$A$2:$A$5001,"&lt;"&amp;I3008)&gt;0,1,0),0))</f>
        <v/>
      </c>
      <c r="L3008" s="16" t="str">
        <f aca="false">IF(B3008="","",IF(A3008=_xlfn.MAXIFS($A$2:$A$5001,$B$2:$B$5001,B3008,$I$2:$I$5001,I3008),1,0))</f>
        <v/>
      </c>
    </row>
    <row r="3009" customFormat="false" ht="15" hidden="false" customHeight="false" outlineLevel="0" collapsed="false">
      <c r="I3009" s="15" t="str">
        <f aca="false">IF(A3009="","",INT(A3009))</f>
        <v/>
      </c>
      <c r="J3009" s="16" t="str">
        <f aca="false">IF(B3009="","",IF(A3009=_xlfn.MINIFS($A$2:$A$5001,$B$2:$B$5001,B3009),1,0))</f>
        <v/>
      </c>
      <c r="K3009" s="16" t="str">
        <f aca="false">IF(B3009="","",IF(AND(D3009="Formalização",E3009="Concluído"),IF(COUNTIFS($B$2:$B$5001,B3009,$E$2:$E$5001,"Em ajustes",$A$2:$A$5001,"&lt;"&amp;I3009)&gt;0,1,0),0))</f>
        <v/>
      </c>
      <c r="L3009" s="16" t="str">
        <f aca="false">IF(B3009="","",IF(A3009=_xlfn.MAXIFS($A$2:$A$5001,$B$2:$B$5001,B3009,$I$2:$I$5001,I3009),1,0))</f>
        <v/>
      </c>
    </row>
    <row r="3010" customFormat="false" ht="15" hidden="false" customHeight="false" outlineLevel="0" collapsed="false">
      <c r="I3010" s="15" t="str">
        <f aca="false">IF(A3010="","",INT(A3010))</f>
        <v/>
      </c>
      <c r="J3010" s="16" t="str">
        <f aca="false">IF(B3010="","",IF(A3010=_xlfn.MINIFS($A$2:$A$5001,$B$2:$B$5001,B3010),1,0))</f>
        <v/>
      </c>
      <c r="K3010" s="16" t="str">
        <f aca="false">IF(B3010="","",IF(AND(D3010="Formalização",E3010="Concluído"),IF(COUNTIFS($B$2:$B$5001,B3010,$E$2:$E$5001,"Em ajustes",$A$2:$A$5001,"&lt;"&amp;I3010)&gt;0,1,0),0))</f>
        <v/>
      </c>
      <c r="L3010" s="16" t="str">
        <f aca="false">IF(B3010="","",IF(A3010=_xlfn.MAXIFS($A$2:$A$5001,$B$2:$B$5001,B3010,$I$2:$I$5001,I3010),1,0))</f>
        <v/>
      </c>
    </row>
    <row r="3011" customFormat="false" ht="15" hidden="false" customHeight="false" outlineLevel="0" collapsed="false">
      <c r="I3011" s="15" t="str">
        <f aca="false">IF(A3011="","",INT(A3011))</f>
        <v/>
      </c>
      <c r="J3011" s="16" t="str">
        <f aca="false">IF(B3011="","",IF(A3011=_xlfn.MINIFS($A$2:$A$5001,$B$2:$B$5001,B3011),1,0))</f>
        <v/>
      </c>
      <c r="K3011" s="16" t="str">
        <f aca="false">IF(B3011="","",IF(AND(D3011="Formalização",E3011="Concluído"),IF(COUNTIFS($B$2:$B$5001,B3011,$E$2:$E$5001,"Em ajustes",$A$2:$A$5001,"&lt;"&amp;I3011)&gt;0,1,0),0))</f>
        <v/>
      </c>
      <c r="L3011" s="16" t="str">
        <f aca="false">IF(B3011="","",IF(A3011=_xlfn.MAXIFS($A$2:$A$5001,$B$2:$B$5001,B3011,$I$2:$I$5001,I3011),1,0))</f>
        <v/>
      </c>
    </row>
    <row r="3012" customFormat="false" ht="15" hidden="false" customHeight="false" outlineLevel="0" collapsed="false">
      <c r="I3012" s="15" t="str">
        <f aca="false">IF(A3012="","",INT(A3012))</f>
        <v/>
      </c>
      <c r="J3012" s="16" t="str">
        <f aca="false">IF(B3012="","",IF(A3012=_xlfn.MINIFS($A$2:$A$5001,$B$2:$B$5001,B3012),1,0))</f>
        <v/>
      </c>
      <c r="K3012" s="16" t="str">
        <f aca="false">IF(B3012="","",IF(AND(D3012="Formalização",E3012="Concluído"),IF(COUNTIFS($B$2:$B$5001,B3012,$E$2:$E$5001,"Em ajustes",$A$2:$A$5001,"&lt;"&amp;I3012)&gt;0,1,0),0))</f>
        <v/>
      </c>
      <c r="L3012" s="16" t="str">
        <f aca="false">IF(B3012="","",IF(A3012=_xlfn.MAXIFS($A$2:$A$5001,$B$2:$B$5001,B3012,$I$2:$I$5001,I3012),1,0))</f>
        <v/>
      </c>
    </row>
    <row r="3013" customFormat="false" ht="15" hidden="false" customHeight="false" outlineLevel="0" collapsed="false">
      <c r="I3013" s="15" t="str">
        <f aca="false">IF(A3013="","",INT(A3013))</f>
        <v/>
      </c>
      <c r="J3013" s="16" t="str">
        <f aca="false">IF(B3013="","",IF(A3013=_xlfn.MINIFS($A$2:$A$5001,$B$2:$B$5001,B3013),1,0))</f>
        <v/>
      </c>
      <c r="K3013" s="16" t="str">
        <f aca="false">IF(B3013="","",IF(AND(D3013="Formalização",E3013="Concluído"),IF(COUNTIFS($B$2:$B$5001,B3013,$E$2:$E$5001,"Em ajustes",$A$2:$A$5001,"&lt;"&amp;I3013)&gt;0,1,0),0))</f>
        <v/>
      </c>
      <c r="L3013" s="16" t="str">
        <f aca="false">IF(B3013="","",IF(A3013=_xlfn.MAXIFS($A$2:$A$5001,$B$2:$B$5001,B3013,$I$2:$I$5001,I3013),1,0))</f>
        <v/>
      </c>
    </row>
    <row r="3014" customFormat="false" ht="15" hidden="false" customHeight="false" outlineLevel="0" collapsed="false">
      <c r="I3014" s="15" t="str">
        <f aca="false">IF(A3014="","",INT(A3014))</f>
        <v/>
      </c>
      <c r="J3014" s="16" t="str">
        <f aca="false">IF(B3014="","",IF(A3014=_xlfn.MINIFS($A$2:$A$5001,$B$2:$B$5001,B3014),1,0))</f>
        <v/>
      </c>
      <c r="K3014" s="16" t="str">
        <f aca="false">IF(B3014="","",IF(AND(D3014="Formalização",E3014="Concluído"),IF(COUNTIFS($B$2:$B$5001,B3014,$E$2:$E$5001,"Em ajustes",$A$2:$A$5001,"&lt;"&amp;I3014)&gt;0,1,0),0))</f>
        <v/>
      </c>
      <c r="L3014" s="16" t="str">
        <f aca="false">IF(B3014="","",IF(A3014=_xlfn.MAXIFS($A$2:$A$5001,$B$2:$B$5001,B3014,$I$2:$I$5001,I3014),1,0))</f>
        <v/>
      </c>
    </row>
    <row r="3015" customFormat="false" ht="15" hidden="false" customHeight="false" outlineLevel="0" collapsed="false">
      <c r="I3015" s="15" t="str">
        <f aca="false">IF(A3015="","",INT(A3015))</f>
        <v/>
      </c>
      <c r="J3015" s="16" t="str">
        <f aca="false">IF(B3015="","",IF(A3015=_xlfn.MINIFS($A$2:$A$5001,$B$2:$B$5001,B3015),1,0))</f>
        <v/>
      </c>
      <c r="K3015" s="16" t="str">
        <f aca="false">IF(B3015="","",IF(AND(D3015="Formalização",E3015="Concluído"),IF(COUNTIFS($B$2:$B$5001,B3015,$E$2:$E$5001,"Em ajustes",$A$2:$A$5001,"&lt;"&amp;I3015)&gt;0,1,0),0))</f>
        <v/>
      </c>
      <c r="L3015" s="16" t="str">
        <f aca="false">IF(B3015="","",IF(A3015=_xlfn.MAXIFS($A$2:$A$5001,$B$2:$B$5001,B3015,$I$2:$I$5001,I3015),1,0))</f>
        <v/>
      </c>
    </row>
    <row r="3016" customFormat="false" ht="15" hidden="false" customHeight="false" outlineLevel="0" collapsed="false">
      <c r="I3016" s="15" t="str">
        <f aca="false">IF(A3016="","",INT(A3016))</f>
        <v/>
      </c>
      <c r="J3016" s="16" t="str">
        <f aca="false">IF(B3016="","",IF(A3016=_xlfn.MINIFS($A$2:$A$5001,$B$2:$B$5001,B3016),1,0))</f>
        <v/>
      </c>
      <c r="K3016" s="16" t="str">
        <f aca="false">IF(B3016="","",IF(AND(D3016="Formalização",E3016="Concluído"),IF(COUNTIFS($B$2:$B$5001,B3016,$E$2:$E$5001,"Em ajustes",$A$2:$A$5001,"&lt;"&amp;I3016)&gt;0,1,0),0))</f>
        <v/>
      </c>
      <c r="L3016" s="16" t="str">
        <f aca="false">IF(B3016="","",IF(A3016=_xlfn.MAXIFS($A$2:$A$5001,$B$2:$B$5001,B3016,$I$2:$I$5001,I3016),1,0))</f>
        <v/>
      </c>
    </row>
    <row r="3017" customFormat="false" ht="15" hidden="false" customHeight="false" outlineLevel="0" collapsed="false">
      <c r="I3017" s="15" t="str">
        <f aca="false">IF(A3017="","",INT(A3017))</f>
        <v/>
      </c>
      <c r="J3017" s="16" t="str">
        <f aca="false">IF(B3017="","",IF(A3017=_xlfn.MINIFS($A$2:$A$5001,$B$2:$B$5001,B3017),1,0))</f>
        <v/>
      </c>
      <c r="K3017" s="16" t="str">
        <f aca="false">IF(B3017="","",IF(AND(D3017="Formalização",E3017="Concluído"),IF(COUNTIFS($B$2:$B$5001,B3017,$E$2:$E$5001,"Em ajustes",$A$2:$A$5001,"&lt;"&amp;I3017)&gt;0,1,0),0))</f>
        <v/>
      </c>
      <c r="L3017" s="16" t="str">
        <f aca="false">IF(B3017="","",IF(A3017=_xlfn.MAXIFS($A$2:$A$5001,$B$2:$B$5001,B3017,$I$2:$I$5001,I3017),1,0))</f>
        <v/>
      </c>
    </row>
    <row r="3018" customFormat="false" ht="15" hidden="false" customHeight="false" outlineLevel="0" collapsed="false">
      <c r="I3018" s="15" t="str">
        <f aca="false">IF(A3018="","",INT(A3018))</f>
        <v/>
      </c>
      <c r="J3018" s="16" t="str">
        <f aca="false">IF(B3018="","",IF(A3018=_xlfn.MINIFS($A$2:$A$5001,$B$2:$B$5001,B3018),1,0))</f>
        <v/>
      </c>
      <c r="K3018" s="16" t="str">
        <f aca="false">IF(B3018="","",IF(AND(D3018="Formalização",E3018="Concluído"),IF(COUNTIFS($B$2:$B$5001,B3018,$E$2:$E$5001,"Em ajustes",$A$2:$A$5001,"&lt;"&amp;I3018)&gt;0,1,0),0))</f>
        <v/>
      </c>
      <c r="L3018" s="16" t="str">
        <f aca="false">IF(B3018="","",IF(A3018=_xlfn.MAXIFS($A$2:$A$5001,$B$2:$B$5001,B3018,$I$2:$I$5001,I3018),1,0))</f>
        <v/>
      </c>
    </row>
    <row r="3019" customFormat="false" ht="15" hidden="false" customHeight="false" outlineLevel="0" collapsed="false">
      <c r="I3019" s="15" t="str">
        <f aca="false">IF(A3019="","",INT(A3019))</f>
        <v/>
      </c>
      <c r="J3019" s="16" t="str">
        <f aca="false">IF(B3019="","",IF(A3019=_xlfn.MINIFS($A$2:$A$5001,$B$2:$B$5001,B3019),1,0))</f>
        <v/>
      </c>
      <c r="K3019" s="16" t="str">
        <f aca="false">IF(B3019="","",IF(AND(D3019="Formalização",E3019="Concluído"),IF(COUNTIFS($B$2:$B$5001,B3019,$E$2:$E$5001,"Em ajustes",$A$2:$A$5001,"&lt;"&amp;I3019)&gt;0,1,0),0))</f>
        <v/>
      </c>
      <c r="L3019" s="16" t="str">
        <f aca="false">IF(B3019="","",IF(A3019=_xlfn.MAXIFS($A$2:$A$5001,$B$2:$B$5001,B3019,$I$2:$I$5001,I3019),1,0))</f>
        <v/>
      </c>
    </row>
    <row r="3020" customFormat="false" ht="15" hidden="false" customHeight="false" outlineLevel="0" collapsed="false">
      <c r="I3020" s="15" t="str">
        <f aca="false">IF(A3020="","",INT(A3020))</f>
        <v/>
      </c>
      <c r="J3020" s="16" t="str">
        <f aca="false">IF(B3020="","",IF(A3020=_xlfn.MINIFS($A$2:$A$5001,$B$2:$B$5001,B3020),1,0))</f>
        <v/>
      </c>
      <c r="K3020" s="16" t="str">
        <f aca="false">IF(B3020="","",IF(AND(D3020="Formalização",E3020="Concluído"),IF(COUNTIFS($B$2:$B$5001,B3020,$E$2:$E$5001,"Em ajustes",$A$2:$A$5001,"&lt;"&amp;I3020)&gt;0,1,0),0))</f>
        <v/>
      </c>
      <c r="L3020" s="16" t="str">
        <f aca="false">IF(B3020="","",IF(A3020=_xlfn.MAXIFS($A$2:$A$5001,$B$2:$B$5001,B3020,$I$2:$I$5001,I3020),1,0))</f>
        <v/>
      </c>
    </row>
    <row r="3021" customFormat="false" ht="15" hidden="false" customHeight="false" outlineLevel="0" collapsed="false">
      <c r="I3021" s="15" t="str">
        <f aca="false">IF(A3021="","",INT(A3021))</f>
        <v/>
      </c>
      <c r="J3021" s="16" t="str">
        <f aca="false">IF(B3021="","",IF(A3021=_xlfn.MINIFS($A$2:$A$5001,$B$2:$B$5001,B3021),1,0))</f>
        <v/>
      </c>
      <c r="K3021" s="16" t="str">
        <f aca="false">IF(B3021="","",IF(AND(D3021="Formalização",E3021="Concluído"),IF(COUNTIFS($B$2:$B$5001,B3021,$E$2:$E$5001,"Em ajustes",$A$2:$A$5001,"&lt;"&amp;I3021)&gt;0,1,0),0))</f>
        <v/>
      </c>
      <c r="L3021" s="16" t="str">
        <f aca="false">IF(B3021="","",IF(A3021=_xlfn.MAXIFS($A$2:$A$5001,$B$2:$B$5001,B3021,$I$2:$I$5001,I3021),1,0))</f>
        <v/>
      </c>
    </row>
    <row r="3022" customFormat="false" ht="15" hidden="false" customHeight="false" outlineLevel="0" collapsed="false">
      <c r="I3022" s="15" t="str">
        <f aca="false">IF(A3022="","",INT(A3022))</f>
        <v/>
      </c>
      <c r="J3022" s="16" t="str">
        <f aca="false">IF(B3022="","",IF(A3022=_xlfn.MINIFS($A$2:$A$5001,$B$2:$B$5001,B3022),1,0))</f>
        <v/>
      </c>
      <c r="K3022" s="16" t="str">
        <f aca="false">IF(B3022="","",IF(AND(D3022="Formalização",E3022="Concluído"),IF(COUNTIFS($B$2:$B$5001,B3022,$E$2:$E$5001,"Em ajustes",$A$2:$A$5001,"&lt;"&amp;I3022)&gt;0,1,0),0))</f>
        <v/>
      </c>
      <c r="L3022" s="16" t="str">
        <f aca="false">IF(B3022="","",IF(A3022=_xlfn.MAXIFS($A$2:$A$5001,$B$2:$B$5001,B3022,$I$2:$I$5001,I3022),1,0))</f>
        <v/>
      </c>
    </row>
    <row r="3023" customFormat="false" ht="15" hidden="false" customHeight="false" outlineLevel="0" collapsed="false">
      <c r="I3023" s="15" t="str">
        <f aca="false">IF(A3023="","",INT(A3023))</f>
        <v/>
      </c>
      <c r="J3023" s="16" t="str">
        <f aca="false">IF(B3023="","",IF(A3023=_xlfn.MINIFS($A$2:$A$5001,$B$2:$B$5001,B3023),1,0))</f>
        <v/>
      </c>
      <c r="K3023" s="16" t="str">
        <f aca="false">IF(B3023="","",IF(AND(D3023="Formalização",E3023="Concluído"),IF(COUNTIFS($B$2:$B$5001,B3023,$E$2:$E$5001,"Em ajustes",$A$2:$A$5001,"&lt;"&amp;I3023)&gt;0,1,0),0))</f>
        <v/>
      </c>
      <c r="L3023" s="16" t="str">
        <f aca="false">IF(B3023="","",IF(A3023=_xlfn.MAXIFS($A$2:$A$5001,$B$2:$B$5001,B3023,$I$2:$I$5001,I3023),1,0))</f>
        <v/>
      </c>
    </row>
    <row r="3024" customFormat="false" ht="15" hidden="false" customHeight="false" outlineLevel="0" collapsed="false">
      <c r="I3024" s="15" t="str">
        <f aca="false">IF(A3024="","",INT(A3024))</f>
        <v/>
      </c>
      <c r="J3024" s="16" t="str">
        <f aca="false">IF(B3024="","",IF(A3024=_xlfn.MINIFS($A$2:$A$5001,$B$2:$B$5001,B3024),1,0))</f>
        <v/>
      </c>
      <c r="K3024" s="16" t="str">
        <f aca="false">IF(B3024="","",IF(AND(D3024="Formalização",E3024="Concluído"),IF(COUNTIFS($B$2:$B$5001,B3024,$E$2:$E$5001,"Em ajustes",$A$2:$A$5001,"&lt;"&amp;I3024)&gt;0,1,0),0))</f>
        <v/>
      </c>
      <c r="L3024" s="16" t="str">
        <f aca="false">IF(B3024="","",IF(A3024=_xlfn.MAXIFS($A$2:$A$5001,$B$2:$B$5001,B3024,$I$2:$I$5001,I3024),1,0))</f>
        <v/>
      </c>
    </row>
    <row r="3025" customFormat="false" ht="15" hidden="false" customHeight="false" outlineLevel="0" collapsed="false">
      <c r="I3025" s="15" t="str">
        <f aca="false">IF(A3025="","",INT(A3025))</f>
        <v/>
      </c>
      <c r="J3025" s="16" t="str">
        <f aca="false">IF(B3025="","",IF(A3025=_xlfn.MINIFS($A$2:$A$5001,$B$2:$B$5001,B3025),1,0))</f>
        <v/>
      </c>
      <c r="K3025" s="16" t="str">
        <f aca="false">IF(B3025="","",IF(AND(D3025="Formalização",E3025="Concluído"),IF(COUNTIFS($B$2:$B$5001,B3025,$E$2:$E$5001,"Em ajustes",$A$2:$A$5001,"&lt;"&amp;I3025)&gt;0,1,0),0))</f>
        <v/>
      </c>
      <c r="L3025" s="16" t="str">
        <f aca="false">IF(B3025="","",IF(A3025=_xlfn.MAXIFS($A$2:$A$5001,$B$2:$B$5001,B3025,$I$2:$I$5001,I3025),1,0))</f>
        <v/>
      </c>
    </row>
    <row r="3026" customFormat="false" ht="15" hidden="false" customHeight="false" outlineLevel="0" collapsed="false">
      <c r="I3026" s="15" t="str">
        <f aca="false">IF(A3026="","",INT(A3026))</f>
        <v/>
      </c>
      <c r="J3026" s="16" t="str">
        <f aca="false">IF(B3026="","",IF(A3026=_xlfn.MINIFS($A$2:$A$5001,$B$2:$B$5001,B3026),1,0))</f>
        <v/>
      </c>
      <c r="K3026" s="16" t="str">
        <f aca="false">IF(B3026="","",IF(AND(D3026="Formalização",E3026="Concluído"),IF(COUNTIFS($B$2:$B$5001,B3026,$E$2:$E$5001,"Em ajustes",$A$2:$A$5001,"&lt;"&amp;I3026)&gt;0,1,0),0))</f>
        <v/>
      </c>
      <c r="L3026" s="16" t="str">
        <f aca="false">IF(B3026="","",IF(A3026=_xlfn.MAXIFS($A$2:$A$5001,$B$2:$B$5001,B3026,$I$2:$I$5001,I3026),1,0))</f>
        <v/>
      </c>
    </row>
    <row r="3027" customFormat="false" ht="15" hidden="false" customHeight="false" outlineLevel="0" collapsed="false">
      <c r="I3027" s="15" t="str">
        <f aca="false">IF(A3027="","",INT(A3027))</f>
        <v/>
      </c>
      <c r="J3027" s="16" t="str">
        <f aca="false">IF(B3027="","",IF(A3027=_xlfn.MINIFS($A$2:$A$5001,$B$2:$B$5001,B3027),1,0))</f>
        <v/>
      </c>
      <c r="K3027" s="16" t="str">
        <f aca="false">IF(B3027="","",IF(AND(D3027="Formalização",E3027="Concluído"),IF(COUNTIFS($B$2:$B$5001,B3027,$E$2:$E$5001,"Em ajustes",$A$2:$A$5001,"&lt;"&amp;I3027)&gt;0,1,0),0))</f>
        <v/>
      </c>
      <c r="L3027" s="16" t="str">
        <f aca="false">IF(B3027="","",IF(A3027=_xlfn.MAXIFS($A$2:$A$5001,$B$2:$B$5001,B3027,$I$2:$I$5001,I3027),1,0))</f>
        <v/>
      </c>
    </row>
    <row r="3028" customFormat="false" ht="15" hidden="false" customHeight="false" outlineLevel="0" collapsed="false">
      <c r="I3028" s="15" t="str">
        <f aca="false">IF(A3028="","",INT(A3028))</f>
        <v/>
      </c>
      <c r="J3028" s="16" t="str">
        <f aca="false">IF(B3028="","",IF(A3028=_xlfn.MINIFS($A$2:$A$5001,$B$2:$B$5001,B3028),1,0))</f>
        <v/>
      </c>
      <c r="K3028" s="16" t="str">
        <f aca="false">IF(B3028="","",IF(AND(D3028="Formalização",E3028="Concluído"),IF(COUNTIFS($B$2:$B$5001,B3028,$E$2:$E$5001,"Em ajustes",$A$2:$A$5001,"&lt;"&amp;I3028)&gt;0,1,0),0))</f>
        <v/>
      </c>
      <c r="L3028" s="16" t="str">
        <f aca="false">IF(B3028="","",IF(A3028=_xlfn.MAXIFS($A$2:$A$5001,$B$2:$B$5001,B3028,$I$2:$I$5001,I3028),1,0))</f>
        <v/>
      </c>
    </row>
    <row r="3029" customFormat="false" ht="15" hidden="false" customHeight="false" outlineLevel="0" collapsed="false">
      <c r="I3029" s="15" t="str">
        <f aca="false">IF(A3029="","",INT(A3029))</f>
        <v/>
      </c>
      <c r="J3029" s="16" t="str">
        <f aca="false">IF(B3029="","",IF(A3029=_xlfn.MINIFS($A$2:$A$5001,$B$2:$B$5001,B3029),1,0))</f>
        <v/>
      </c>
      <c r="K3029" s="16" t="str">
        <f aca="false">IF(B3029="","",IF(AND(D3029="Formalização",E3029="Concluído"),IF(COUNTIFS($B$2:$B$5001,B3029,$E$2:$E$5001,"Em ajustes",$A$2:$A$5001,"&lt;"&amp;I3029)&gt;0,1,0),0))</f>
        <v/>
      </c>
      <c r="L3029" s="16" t="str">
        <f aca="false">IF(B3029="","",IF(A3029=_xlfn.MAXIFS($A$2:$A$5001,$B$2:$B$5001,B3029,$I$2:$I$5001,I3029),1,0))</f>
        <v/>
      </c>
    </row>
    <row r="3030" customFormat="false" ht="15" hidden="false" customHeight="false" outlineLevel="0" collapsed="false">
      <c r="I3030" s="15" t="str">
        <f aca="false">IF(A3030="","",INT(A3030))</f>
        <v/>
      </c>
      <c r="J3030" s="16" t="str">
        <f aca="false">IF(B3030="","",IF(A3030=_xlfn.MINIFS($A$2:$A$5001,$B$2:$B$5001,B3030),1,0))</f>
        <v/>
      </c>
      <c r="K3030" s="16" t="str">
        <f aca="false">IF(B3030="","",IF(AND(D3030="Formalização",E3030="Concluído"),IF(COUNTIFS($B$2:$B$5001,B3030,$E$2:$E$5001,"Em ajustes",$A$2:$A$5001,"&lt;"&amp;I3030)&gt;0,1,0),0))</f>
        <v/>
      </c>
      <c r="L3030" s="16" t="str">
        <f aca="false">IF(B3030="","",IF(A3030=_xlfn.MAXIFS($A$2:$A$5001,$B$2:$B$5001,B3030,$I$2:$I$5001,I3030),1,0))</f>
        <v/>
      </c>
    </row>
    <row r="3031" customFormat="false" ht="15" hidden="false" customHeight="false" outlineLevel="0" collapsed="false">
      <c r="I3031" s="15" t="str">
        <f aca="false">IF(A3031="","",INT(A3031))</f>
        <v/>
      </c>
      <c r="J3031" s="16" t="str">
        <f aca="false">IF(B3031="","",IF(A3031=_xlfn.MINIFS($A$2:$A$5001,$B$2:$B$5001,B3031),1,0))</f>
        <v/>
      </c>
      <c r="K3031" s="16" t="str">
        <f aca="false">IF(B3031="","",IF(AND(D3031="Formalização",E3031="Concluído"),IF(COUNTIFS($B$2:$B$5001,B3031,$E$2:$E$5001,"Em ajustes",$A$2:$A$5001,"&lt;"&amp;I3031)&gt;0,1,0),0))</f>
        <v/>
      </c>
      <c r="L3031" s="16" t="str">
        <f aca="false">IF(B3031="","",IF(A3031=_xlfn.MAXIFS($A$2:$A$5001,$B$2:$B$5001,B3031,$I$2:$I$5001,I3031),1,0))</f>
        <v/>
      </c>
    </row>
    <row r="3032" customFormat="false" ht="15" hidden="false" customHeight="false" outlineLevel="0" collapsed="false">
      <c r="I3032" s="15" t="str">
        <f aca="false">IF(A3032="","",INT(A3032))</f>
        <v/>
      </c>
      <c r="J3032" s="16" t="str">
        <f aca="false">IF(B3032="","",IF(A3032=_xlfn.MINIFS($A$2:$A$5001,$B$2:$B$5001,B3032),1,0))</f>
        <v/>
      </c>
      <c r="K3032" s="16" t="str">
        <f aca="false">IF(B3032="","",IF(AND(D3032="Formalização",E3032="Concluído"),IF(COUNTIFS($B$2:$B$5001,B3032,$E$2:$E$5001,"Em ajustes",$A$2:$A$5001,"&lt;"&amp;I3032)&gt;0,1,0),0))</f>
        <v/>
      </c>
      <c r="L3032" s="16" t="str">
        <f aca="false">IF(B3032="","",IF(A3032=_xlfn.MAXIFS($A$2:$A$5001,$B$2:$B$5001,B3032,$I$2:$I$5001,I3032),1,0))</f>
        <v/>
      </c>
    </row>
    <row r="3033" customFormat="false" ht="15" hidden="false" customHeight="false" outlineLevel="0" collapsed="false">
      <c r="I3033" s="15" t="str">
        <f aca="false">IF(A3033="","",INT(A3033))</f>
        <v/>
      </c>
      <c r="J3033" s="16" t="str">
        <f aca="false">IF(B3033="","",IF(A3033=_xlfn.MINIFS($A$2:$A$5001,$B$2:$B$5001,B3033),1,0))</f>
        <v/>
      </c>
      <c r="K3033" s="16" t="str">
        <f aca="false">IF(B3033="","",IF(AND(D3033="Formalização",E3033="Concluído"),IF(COUNTIFS($B$2:$B$5001,B3033,$E$2:$E$5001,"Em ajustes",$A$2:$A$5001,"&lt;"&amp;I3033)&gt;0,1,0),0))</f>
        <v/>
      </c>
      <c r="L3033" s="16" t="str">
        <f aca="false">IF(B3033="","",IF(A3033=_xlfn.MAXIFS($A$2:$A$5001,$B$2:$B$5001,B3033,$I$2:$I$5001,I3033),1,0))</f>
        <v/>
      </c>
    </row>
    <row r="3034" customFormat="false" ht="15" hidden="false" customHeight="false" outlineLevel="0" collapsed="false">
      <c r="I3034" s="15" t="str">
        <f aca="false">IF(A3034="","",INT(A3034))</f>
        <v/>
      </c>
      <c r="J3034" s="16" t="str">
        <f aca="false">IF(B3034="","",IF(A3034=_xlfn.MINIFS($A$2:$A$5001,$B$2:$B$5001,B3034),1,0))</f>
        <v/>
      </c>
      <c r="K3034" s="16" t="str">
        <f aca="false">IF(B3034="","",IF(AND(D3034="Formalização",E3034="Concluído"),IF(COUNTIFS($B$2:$B$5001,B3034,$E$2:$E$5001,"Em ajustes",$A$2:$A$5001,"&lt;"&amp;I3034)&gt;0,1,0),0))</f>
        <v/>
      </c>
      <c r="L3034" s="16" t="str">
        <f aca="false">IF(B3034="","",IF(A3034=_xlfn.MAXIFS($A$2:$A$5001,$B$2:$B$5001,B3034,$I$2:$I$5001,I3034),1,0))</f>
        <v/>
      </c>
    </row>
    <row r="3035" customFormat="false" ht="15" hidden="false" customHeight="false" outlineLevel="0" collapsed="false">
      <c r="I3035" s="15" t="str">
        <f aca="false">IF(A3035="","",INT(A3035))</f>
        <v/>
      </c>
      <c r="J3035" s="16" t="str">
        <f aca="false">IF(B3035="","",IF(A3035=_xlfn.MINIFS($A$2:$A$5001,$B$2:$B$5001,B3035),1,0))</f>
        <v/>
      </c>
      <c r="K3035" s="16" t="str">
        <f aca="false">IF(B3035="","",IF(AND(D3035="Formalização",E3035="Concluído"),IF(COUNTIFS($B$2:$B$5001,B3035,$E$2:$E$5001,"Em ajustes",$A$2:$A$5001,"&lt;"&amp;I3035)&gt;0,1,0),0))</f>
        <v/>
      </c>
      <c r="L3035" s="16" t="str">
        <f aca="false">IF(B3035="","",IF(A3035=_xlfn.MAXIFS($A$2:$A$5001,$B$2:$B$5001,B3035,$I$2:$I$5001,I3035),1,0))</f>
        <v/>
      </c>
    </row>
    <row r="3036" customFormat="false" ht="15" hidden="false" customHeight="false" outlineLevel="0" collapsed="false">
      <c r="I3036" s="15" t="str">
        <f aca="false">IF(A3036="","",INT(A3036))</f>
        <v/>
      </c>
      <c r="J3036" s="16" t="str">
        <f aca="false">IF(B3036="","",IF(A3036=_xlfn.MINIFS($A$2:$A$5001,$B$2:$B$5001,B3036),1,0))</f>
        <v/>
      </c>
      <c r="K3036" s="16" t="str">
        <f aca="false">IF(B3036="","",IF(AND(D3036="Formalização",E3036="Concluído"),IF(COUNTIFS($B$2:$B$5001,B3036,$E$2:$E$5001,"Em ajustes",$A$2:$A$5001,"&lt;"&amp;I3036)&gt;0,1,0),0))</f>
        <v/>
      </c>
      <c r="L3036" s="16" t="str">
        <f aca="false">IF(B3036="","",IF(A3036=_xlfn.MAXIFS($A$2:$A$5001,$B$2:$B$5001,B3036,$I$2:$I$5001,I3036),1,0))</f>
        <v/>
      </c>
    </row>
    <row r="3037" customFormat="false" ht="15" hidden="false" customHeight="false" outlineLevel="0" collapsed="false">
      <c r="I3037" s="15" t="str">
        <f aca="false">IF(A3037="","",INT(A3037))</f>
        <v/>
      </c>
      <c r="J3037" s="16" t="str">
        <f aca="false">IF(B3037="","",IF(A3037=_xlfn.MINIFS($A$2:$A$5001,$B$2:$B$5001,B3037),1,0))</f>
        <v/>
      </c>
      <c r="K3037" s="16" t="str">
        <f aca="false">IF(B3037="","",IF(AND(D3037="Formalização",E3037="Concluído"),IF(COUNTIFS($B$2:$B$5001,B3037,$E$2:$E$5001,"Em ajustes",$A$2:$A$5001,"&lt;"&amp;I3037)&gt;0,1,0),0))</f>
        <v/>
      </c>
      <c r="L3037" s="16" t="str">
        <f aca="false">IF(B3037="","",IF(A3037=_xlfn.MAXIFS($A$2:$A$5001,$B$2:$B$5001,B3037,$I$2:$I$5001,I3037),1,0))</f>
        <v/>
      </c>
    </row>
    <row r="3038" customFormat="false" ht="15" hidden="false" customHeight="false" outlineLevel="0" collapsed="false">
      <c r="I3038" s="15" t="str">
        <f aca="false">IF(A3038="","",INT(A3038))</f>
        <v/>
      </c>
      <c r="J3038" s="16" t="str">
        <f aca="false">IF(B3038="","",IF(A3038=_xlfn.MINIFS($A$2:$A$5001,$B$2:$B$5001,B3038),1,0))</f>
        <v/>
      </c>
      <c r="K3038" s="16" t="str">
        <f aca="false">IF(B3038="","",IF(AND(D3038="Formalização",E3038="Concluído"),IF(COUNTIFS($B$2:$B$5001,B3038,$E$2:$E$5001,"Em ajustes",$A$2:$A$5001,"&lt;"&amp;I3038)&gt;0,1,0),0))</f>
        <v/>
      </c>
      <c r="L3038" s="16" t="str">
        <f aca="false">IF(B3038="","",IF(A3038=_xlfn.MAXIFS($A$2:$A$5001,$B$2:$B$5001,B3038,$I$2:$I$5001,I3038),1,0))</f>
        <v/>
      </c>
    </row>
    <row r="3039" customFormat="false" ht="15" hidden="false" customHeight="false" outlineLevel="0" collapsed="false">
      <c r="I3039" s="15" t="str">
        <f aca="false">IF(A3039="","",INT(A3039))</f>
        <v/>
      </c>
      <c r="J3039" s="16" t="str">
        <f aca="false">IF(B3039="","",IF(A3039=_xlfn.MINIFS($A$2:$A$5001,$B$2:$B$5001,B3039),1,0))</f>
        <v/>
      </c>
      <c r="K3039" s="16" t="str">
        <f aca="false">IF(B3039="","",IF(AND(D3039="Formalização",E3039="Concluído"),IF(COUNTIFS($B$2:$B$5001,B3039,$E$2:$E$5001,"Em ajustes",$A$2:$A$5001,"&lt;"&amp;I3039)&gt;0,1,0),0))</f>
        <v/>
      </c>
      <c r="L3039" s="16" t="str">
        <f aca="false">IF(B3039="","",IF(A3039=_xlfn.MAXIFS($A$2:$A$5001,$B$2:$B$5001,B3039,$I$2:$I$5001,I3039),1,0))</f>
        <v/>
      </c>
    </row>
    <row r="3040" customFormat="false" ht="15" hidden="false" customHeight="false" outlineLevel="0" collapsed="false">
      <c r="I3040" s="15" t="str">
        <f aca="false">IF(A3040="","",INT(A3040))</f>
        <v/>
      </c>
      <c r="J3040" s="16" t="str">
        <f aca="false">IF(B3040="","",IF(A3040=_xlfn.MINIFS($A$2:$A$5001,$B$2:$B$5001,B3040),1,0))</f>
        <v/>
      </c>
      <c r="K3040" s="16" t="str">
        <f aca="false">IF(B3040="","",IF(AND(D3040="Formalização",E3040="Concluído"),IF(COUNTIFS($B$2:$B$5001,B3040,$E$2:$E$5001,"Em ajustes",$A$2:$A$5001,"&lt;"&amp;I3040)&gt;0,1,0),0))</f>
        <v/>
      </c>
      <c r="L3040" s="16" t="str">
        <f aca="false">IF(B3040="","",IF(A3040=_xlfn.MAXIFS($A$2:$A$5001,$B$2:$B$5001,B3040,$I$2:$I$5001,I3040),1,0))</f>
        <v/>
      </c>
    </row>
    <row r="3041" customFormat="false" ht="15" hidden="false" customHeight="false" outlineLevel="0" collapsed="false">
      <c r="I3041" s="15" t="str">
        <f aca="false">IF(A3041="","",INT(A3041))</f>
        <v/>
      </c>
      <c r="J3041" s="16" t="str">
        <f aca="false">IF(B3041="","",IF(A3041=_xlfn.MINIFS($A$2:$A$5001,$B$2:$B$5001,B3041),1,0))</f>
        <v/>
      </c>
      <c r="K3041" s="16" t="str">
        <f aca="false">IF(B3041="","",IF(AND(D3041="Formalização",E3041="Concluído"),IF(COUNTIFS($B$2:$B$5001,B3041,$E$2:$E$5001,"Em ajustes",$A$2:$A$5001,"&lt;"&amp;I3041)&gt;0,1,0),0))</f>
        <v/>
      </c>
      <c r="L3041" s="16" t="str">
        <f aca="false">IF(B3041="","",IF(A3041=_xlfn.MAXIFS($A$2:$A$5001,$B$2:$B$5001,B3041,$I$2:$I$5001,I3041),1,0))</f>
        <v/>
      </c>
    </row>
    <row r="3042" customFormat="false" ht="15" hidden="false" customHeight="false" outlineLevel="0" collapsed="false">
      <c r="I3042" s="15" t="str">
        <f aca="false">IF(A3042="","",INT(A3042))</f>
        <v/>
      </c>
      <c r="J3042" s="16" t="str">
        <f aca="false">IF(B3042="","",IF(A3042=_xlfn.MINIFS($A$2:$A$5001,$B$2:$B$5001,B3042),1,0))</f>
        <v/>
      </c>
      <c r="K3042" s="16" t="str">
        <f aca="false">IF(B3042="","",IF(AND(D3042="Formalização",E3042="Concluído"),IF(COUNTIFS($B$2:$B$5001,B3042,$E$2:$E$5001,"Em ajustes",$A$2:$A$5001,"&lt;"&amp;I3042)&gt;0,1,0),0))</f>
        <v/>
      </c>
      <c r="L3042" s="16" t="str">
        <f aca="false">IF(B3042="","",IF(A3042=_xlfn.MAXIFS($A$2:$A$5001,$B$2:$B$5001,B3042,$I$2:$I$5001,I3042),1,0))</f>
        <v/>
      </c>
    </row>
    <row r="3043" customFormat="false" ht="15" hidden="false" customHeight="false" outlineLevel="0" collapsed="false">
      <c r="I3043" s="15" t="str">
        <f aca="false">IF(A3043="","",INT(A3043))</f>
        <v/>
      </c>
      <c r="J3043" s="16" t="str">
        <f aca="false">IF(B3043="","",IF(A3043=_xlfn.MINIFS($A$2:$A$5001,$B$2:$B$5001,B3043),1,0))</f>
        <v/>
      </c>
      <c r="K3043" s="16" t="str">
        <f aca="false">IF(B3043="","",IF(AND(D3043="Formalização",E3043="Concluído"),IF(COUNTIFS($B$2:$B$5001,B3043,$E$2:$E$5001,"Em ajustes",$A$2:$A$5001,"&lt;"&amp;I3043)&gt;0,1,0),0))</f>
        <v/>
      </c>
      <c r="L3043" s="16" t="str">
        <f aca="false">IF(B3043="","",IF(A3043=_xlfn.MAXIFS($A$2:$A$5001,$B$2:$B$5001,B3043,$I$2:$I$5001,I3043),1,0))</f>
        <v/>
      </c>
    </row>
    <row r="3044" customFormat="false" ht="15" hidden="false" customHeight="false" outlineLevel="0" collapsed="false">
      <c r="I3044" s="15" t="str">
        <f aca="false">IF(A3044="","",INT(A3044))</f>
        <v/>
      </c>
      <c r="J3044" s="16" t="str">
        <f aca="false">IF(B3044="","",IF(A3044=_xlfn.MINIFS($A$2:$A$5001,$B$2:$B$5001,B3044),1,0))</f>
        <v/>
      </c>
      <c r="K3044" s="16" t="str">
        <f aca="false">IF(B3044="","",IF(AND(D3044="Formalização",E3044="Concluído"),IF(COUNTIFS($B$2:$B$5001,B3044,$E$2:$E$5001,"Em ajustes",$A$2:$A$5001,"&lt;"&amp;I3044)&gt;0,1,0),0))</f>
        <v/>
      </c>
      <c r="L3044" s="16" t="str">
        <f aca="false">IF(B3044="","",IF(A3044=_xlfn.MAXIFS($A$2:$A$5001,$B$2:$B$5001,B3044,$I$2:$I$5001,I3044),1,0))</f>
        <v/>
      </c>
    </row>
    <row r="3045" customFormat="false" ht="15" hidden="false" customHeight="false" outlineLevel="0" collapsed="false">
      <c r="I3045" s="15" t="str">
        <f aca="false">IF(A3045="","",INT(A3045))</f>
        <v/>
      </c>
      <c r="J3045" s="16" t="str">
        <f aca="false">IF(B3045="","",IF(A3045=_xlfn.MINIFS($A$2:$A$5001,$B$2:$B$5001,B3045),1,0))</f>
        <v/>
      </c>
      <c r="K3045" s="16" t="str">
        <f aca="false">IF(B3045="","",IF(AND(D3045="Formalização",E3045="Concluído"),IF(COUNTIFS($B$2:$B$5001,B3045,$E$2:$E$5001,"Em ajustes",$A$2:$A$5001,"&lt;"&amp;I3045)&gt;0,1,0),0))</f>
        <v/>
      </c>
      <c r="L3045" s="16" t="str">
        <f aca="false">IF(B3045="","",IF(A3045=_xlfn.MAXIFS($A$2:$A$5001,$B$2:$B$5001,B3045,$I$2:$I$5001,I3045),1,0))</f>
        <v/>
      </c>
    </row>
    <row r="3046" customFormat="false" ht="15" hidden="false" customHeight="false" outlineLevel="0" collapsed="false">
      <c r="I3046" s="15" t="str">
        <f aca="false">IF(A3046="","",INT(A3046))</f>
        <v/>
      </c>
      <c r="J3046" s="16" t="str">
        <f aca="false">IF(B3046="","",IF(A3046=_xlfn.MINIFS($A$2:$A$5001,$B$2:$B$5001,B3046),1,0))</f>
        <v/>
      </c>
      <c r="K3046" s="16" t="str">
        <f aca="false">IF(B3046="","",IF(AND(D3046="Formalização",E3046="Concluído"),IF(COUNTIFS($B$2:$B$5001,B3046,$E$2:$E$5001,"Em ajustes",$A$2:$A$5001,"&lt;"&amp;I3046)&gt;0,1,0),0))</f>
        <v/>
      </c>
      <c r="L3046" s="16" t="str">
        <f aca="false">IF(B3046="","",IF(A3046=_xlfn.MAXIFS($A$2:$A$5001,$B$2:$B$5001,B3046,$I$2:$I$5001,I3046),1,0))</f>
        <v/>
      </c>
    </row>
    <row r="3047" customFormat="false" ht="15" hidden="false" customHeight="false" outlineLevel="0" collapsed="false">
      <c r="I3047" s="15" t="str">
        <f aca="false">IF(A3047="","",INT(A3047))</f>
        <v/>
      </c>
      <c r="J3047" s="16" t="str">
        <f aca="false">IF(B3047="","",IF(A3047=_xlfn.MINIFS($A$2:$A$5001,$B$2:$B$5001,B3047),1,0))</f>
        <v/>
      </c>
      <c r="K3047" s="16" t="str">
        <f aca="false">IF(B3047="","",IF(AND(D3047="Formalização",E3047="Concluído"),IF(COUNTIFS($B$2:$B$5001,B3047,$E$2:$E$5001,"Em ajustes",$A$2:$A$5001,"&lt;"&amp;I3047)&gt;0,1,0),0))</f>
        <v/>
      </c>
      <c r="L3047" s="16" t="str">
        <f aca="false">IF(B3047="","",IF(A3047=_xlfn.MAXIFS($A$2:$A$5001,$B$2:$B$5001,B3047,$I$2:$I$5001,I3047),1,0))</f>
        <v/>
      </c>
    </row>
    <row r="3048" customFormat="false" ht="15" hidden="false" customHeight="false" outlineLevel="0" collapsed="false">
      <c r="I3048" s="15" t="str">
        <f aca="false">IF(A3048="","",INT(A3048))</f>
        <v/>
      </c>
      <c r="J3048" s="16" t="str">
        <f aca="false">IF(B3048="","",IF(A3048=_xlfn.MINIFS($A$2:$A$5001,$B$2:$B$5001,B3048),1,0))</f>
        <v/>
      </c>
      <c r="K3048" s="16" t="str">
        <f aca="false">IF(B3048="","",IF(AND(D3048="Formalização",E3048="Concluído"),IF(COUNTIFS($B$2:$B$5001,B3048,$E$2:$E$5001,"Em ajustes",$A$2:$A$5001,"&lt;"&amp;I3048)&gt;0,1,0),0))</f>
        <v/>
      </c>
      <c r="L3048" s="16" t="str">
        <f aca="false">IF(B3048="","",IF(A3048=_xlfn.MAXIFS($A$2:$A$5001,$B$2:$B$5001,B3048,$I$2:$I$5001,I3048),1,0))</f>
        <v/>
      </c>
    </row>
    <row r="3049" customFormat="false" ht="15" hidden="false" customHeight="false" outlineLevel="0" collapsed="false">
      <c r="I3049" s="15" t="str">
        <f aca="false">IF(A3049="","",INT(A3049))</f>
        <v/>
      </c>
      <c r="J3049" s="16" t="str">
        <f aca="false">IF(B3049="","",IF(A3049=_xlfn.MINIFS($A$2:$A$5001,$B$2:$B$5001,B3049),1,0))</f>
        <v/>
      </c>
      <c r="K3049" s="16" t="str">
        <f aca="false">IF(B3049="","",IF(AND(D3049="Formalização",E3049="Concluído"),IF(COUNTIFS($B$2:$B$5001,B3049,$E$2:$E$5001,"Em ajustes",$A$2:$A$5001,"&lt;"&amp;I3049)&gt;0,1,0),0))</f>
        <v/>
      </c>
      <c r="L3049" s="16" t="str">
        <f aca="false">IF(B3049="","",IF(A3049=_xlfn.MAXIFS($A$2:$A$5001,$B$2:$B$5001,B3049,$I$2:$I$5001,I3049),1,0))</f>
        <v/>
      </c>
    </row>
    <row r="3050" customFormat="false" ht="15" hidden="false" customHeight="false" outlineLevel="0" collapsed="false">
      <c r="I3050" s="15" t="str">
        <f aca="false">IF(A3050="","",INT(A3050))</f>
        <v/>
      </c>
      <c r="J3050" s="16" t="str">
        <f aca="false">IF(B3050="","",IF(A3050=_xlfn.MINIFS($A$2:$A$5001,$B$2:$B$5001,B3050),1,0))</f>
        <v/>
      </c>
      <c r="K3050" s="16" t="str">
        <f aca="false">IF(B3050="","",IF(AND(D3050="Formalização",E3050="Concluído"),IF(COUNTIFS($B$2:$B$5001,B3050,$E$2:$E$5001,"Em ajustes",$A$2:$A$5001,"&lt;"&amp;I3050)&gt;0,1,0),0))</f>
        <v/>
      </c>
      <c r="L3050" s="16" t="str">
        <f aca="false">IF(B3050="","",IF(A3050=_xlfn.MAXIFS($A$2:$A$5001,$B$2:$B$5001,B3050,$I$2:$I$5001,I3050),1,0))</f>
        <v/>
      </c>
    </row>
    <row r="3051" customFormat="false" ht="15" hidden="false" customHeight="false" outlineLevel="0" collapsed="false">
      <c r="I3051" s="15" t="str">
        <f aca="false">IF(A3051="","",INT(A3051))</f>
        <v/>
      </c>
      <c r="J3051" s="16" t="str">
        <f aca="false">IF(B3051="","",IF(A3051=_xlfn.MINIFS($A$2:$A$5001,$B$2:$B$5001,B3051),1,0))</f>
        <v/>
      </c>
      <c r="K3051" s="16" t="str">
        <f aca="false">IF(B3051="","",IF(AND(D3051="Formalização",E3051="Concluído"),IF(COUNTIFS($B$2:$B$5001,B3051,$E$2:$E$5001,"Em ajustes",$A$2:$A$5001,"&lt;"&amp;I3051)&gt;0,1,0),0))</f>
        <v/>
      </c>
      <c r="L3051" s="16" t="str">
        <f aca="false">IF(B3051="","",IF(A3051=_xlfn.MAXIFS($A$2:$A$5001,$B$2:$B$5001,B3051,$I$2:$I$5001,I3051),1,0))</f>
        <v/>
      </c>
    </row>
    <row r="3052" customFormat="false" ht="15" hidden="false" customHeight="false" outlineLevel="0" collapsed="false">
      <c r="I3052" s="15" t="str">
        <f aca="false">IF(A3052="","",INT(A3052))</f>
        <v/>
      </c>
      <c r="J3052" s="16" t="str">
        <f aca="false">IF(B3052="","",IF(A3052=_xlfn.MINIFS($A$2:$A$5001,$B$2:$B$5001,B3052),1,0))</f>
        <v/>
      </c>
      <c r="K3052" s="16" t="str">
        <f aca="false">IF(B3052="","",IF(AND(D3052="Formalização",E3052="Concluído"),IF(COUNTIFS($B$2:$B$5001,B3052,$E$2:$E$5001,"Em ajustes",$A$2:$A$5001,"&lt;"&amp;I3052)&gt;0,1,0),0))</f>
        <v/>
      </c>
      <c r="L3052" s="16" t="str">
        <f aca="false">IF(B3052="","",IF(A3052=_xlfn.MAXIFS($A$2:$A$5001,$B$2:$B$5001,B3052,$I$2:$I$5001,I3052),1,0))</f>
        <v/>
      </c>
    </row>
    <row r="3053" customFormat="false" ht="15" hidden="false" customHeight="false" outlineLevel="0" collapsed="false">
      <c r="I3053" s="15" t="str">
        <f aca="false">IF(A3053="","",INT(A3053))</f>
        <v/>
      </c>
      <c r="J3053" s="16" t="str">
        <f aca="false">IF(B3053="","",IF(A3053=_xlfn.MINIFS($A$2:$A$5001,$B$2:$B$5001,B3053),1,0))</f>
        <v/>
      </c>
      <c r="K3053" s="16" t="str">
        <f aca="false">IF(B3053="","",IF(AND(D3053="Formalização",E3053="Concluído"),IF(COUNTIFS($B$2:$B$5001,B3053,$E$2:$E$5001,"Em ajustes",$A$2:$A$5001,"&lt;"&amp;I3053)&gt;0,1,0),0))</f>
        <v/>
      </c>
      <c r="L3053" s="16" t="str">
        <f aca="false">IF(B3053="","",IF(A3053=_xlfn.MAXIFS($A$2:$A$5001,$B$2:$B$5001,B3053,$I$2:$I$5001,I3053),1,0))</f>
        <v/>
      </c>
    </row>
    <row r="3054" customFormat="false" ht="15" hidden="false" customHeight="false" outlineLevel="0" collapsed="false">
      <c r="I3054" s="15" t="str">
        <f aca="false">IF(A3054="","",INT(A3054))</f>
        <v/>
      </c>
      <c r="J3054" s="16" t="str">
        <f aca="false">IF(B3054="","",IF(A3054=_xlfn.MINIFS($A$2:$A$5001,$B$2:$B$5001,B3054),1,0))</f>
        <v/>
      </c>
      <c r="K3054" s="16" t="str">
        <f aca="false">IF(B3054="","",IF(AND(D3054="Formalização",E3054="Concluído"),IF(COUNTIFS($B$2:$B$5001,B3054,$E$2:$E$5001,"Em ajustes",$A$2:$A$5001,"&lt;"&amp;I3054)&gt;0,1,0),0))</f>
        <v/>
      </c>
      <c r="L3054" s="16" t="str">
        <f aca="false">IF(B3054="","",IF(A3054=_xlfn.MAXIFS($A$2:$A$5001,$B$2:$B$5001,B3054,$I$2:$I$5001,I3054),1,0))</f>
        <v/>
      </c>
    </row>
    <row r="3055" customFormat="false" ht="15" hidden="false" customHeight="false" outlineLevel="0" collapsed="false">
      <c r="I3055" s="15" t="str">
        <f aca="false">IF(A3055="","",INT(A3055))</f>
        <v/>
      </c>
      <c r="J3055" s="16" t="str">
        <f aca="false">IF(B3055="","",IF(A3055=_xlfn.MINIFS($A$2:$A$5001,$B$2:$B$5001,B3055),1,0))</f>
        <v/>
      </c>
      <c r="K3055" s="16" t="str">
        <f aca="false">IF(B3055="","",IF(AND(D3055="Formalização",E3055="Concluído"),IF(COUNTIFS($B$2:$B$5001,B3055,$E$2:$E$5001,"Em ajustes",$A$2:$A$5001,"&lt;"&amp;I3055)&gt;0,1,0),0))</f>
        <v/>
      </c>
      <c r="L3055" s="16" t="str">
        <f aca="false">IF(B3055="","",IF(A3055=_xlfn.MAXIFS($A$2:$A$5001,$B$2:$B$5001,B3055,$I$2:$I$5001,I3055),1,0))</f>
        <v/>
      </c>
    </row>
    <row r="3056" customFormat="false" ht="15" hidden="false" customHeight="false" outlineLevel="0" collapsed="false">
      <c r="I3056" s="15" t="str">
        <f aca="false">IF(A3056="","",INT(A3056))</f>
        <v/>
      </c>
      <c r="J3056" s="16" t="str">
        <f aca="false">IF(B3056="","",IF(A3056=_xlfn.MINIFS($A$2:$A$5001,$B$2:$B$5001,B3056),1,0))</f>
        <v/>
      </c>
      <c r="K3056" s="16" t="str">
        <f aca="false">IF(B3056="","",IF(AND(D3056="Formalização",E3056="Concluído"),IF(COUNTIFS($B$2:$B$5001,B3056,$E$2:$E$5001,"Em ajustes",$A$2:$A$5001,"&lt;"&amp;I3056)&gt;0,1,0),0))</f>
        <v/>
      </c>
      <c r="L3056" s="16" t="str">
        <f aca="false">IF(B3056="","",IF(A3056=_xlfn.MAXIFS($A$2:$A$5001,$B$2:$B$5001,B3056,$I$2:$I$5001,I3056),1,0))</f>
        <v/>
      </c>
    </row>
    <row r="3057" customFormat="false" ht="15" hidden="false" customHeight="false" outlineLevel="0" collapsed="false">
      <c r="I3057" s="15" t="str">
        <f aca="false">IF(A3057="","",INT(A3057))</f>
        <v/>
      </c>
      <c r="J3057" s="16" t="str">
        <f aca="false">IF(B3057="","",IF(A3057=_xlfn.MINIFS($A$2:$A$5001,$B$2:$B$5001,B3057),1,0))</f>
        <v/>
      </c>
      <c r="K3057" s="16" t="str">
        <f aca="false">IF(B3057="","",IF(AND(D3057="Formalização",E3057="Concluído"),IF(COUNTIFS($B$2:$B$5001,B3057,$E$2:$E$5001,"Em ajustes",$A$2:$A$5001,"&lt;"&amp;I3057)&gt;0,1,0),0))</f>
        <v/>
      </c>
      <c r="L3057" s="16" t="str">
        <f aca="false">IF(B3057="","",IF(A3057=_xlfn.MAXIFS($A$2:$A$5001,$B$2:$B$5001,B3057,$I$2:$I$5001,I3057),1,0))</f>
        <v/>
      </c>
    </row>
    <row r="3058" customFormat="false" ht="15" hidden="false" customHeight="false" outlineLevel="0" collapsed="false">
      <c r="I3058" s="15" t="str">
        <f aca="false">IF(A3058="","",INT(A3058))</f>
        <v/>
      </c>
      <c r="J3058" s="16" t="str">
        <f aca="false">IF(B3058="","",IF(A3058=_xlfn.MINIFS($A$2:$A$5001,$B$2:$B$5001,B3058),1,0))</f>
        <v/>
      </c>
      <c r="K3058" s="16" t="str">
        <f aca="false">IF(B3058="","",IF(AND(D3058="Formalização",E3058="Concluído"),IF(COUNTIFS($B$2:$B$5001,B3058,$E$2:$E$5001,"Em ajustes",$A$2:$A$5001,"&lt;"&amp;I3058)&gt;0,1,0),0))</f>
        <v/>
      </c>
      <c r="L3058" s="16" t="str">
        <f aca="false">IF(B3058="","",IF(A3058=_xlfn.MAXIFS($A$2:$A$5001,$B$2:$B$5001,B3058,$I$2:$I$5001,I3058),1,0))</f>
        <v/>
      </c>
    </row>
    <row r="3059" customFormat="false" ht="15" hidden="false" customHeight="false" outlineLevel="0" collapsed="false">
      <c r="I3059" s="15" t="str">
        <f aca="false">IF(A3059="","",INT(A3059))</f>
        <v/>
      </c>
      <c r="J3059" s="16" t="str">
        <f aca="false">IF(B3059="","",IF(A3059=_xlfn.MINIFS($A$2:$A$5001,$B$2:$B$5001,B3059),1,0))</f>
        <v/>
      </c>
      <c r="K3059" s="16" t="str">
        <f aca="false">IF(B3059="","",IF(AND(D3059="Formalização",E3059="Concluído"),IF(COUNTIFS($B$2:$B$5001,B3059,$E$2:$E$5001,"Em ajustes",$A$2:$A$5001,"&lt;"&amp;I3059)&gt;0,1,0),0))</f>
        <v/>
      </c>
      <c r="L3059" s="16" t="str">
        <f aca="false">IF(B3059="","",IF(A3059=_xlfn.MAXIFS($A$2:$A$5001,$B$2:$B$5001,B3059,$I$2:$I$5001,I3059),1,0))</f>
        <v/>
      </c>
    </row>
    <row r="3060" customFormat="false" ht="15" hidden="false" customHeight="false" outlineLevel="0" collapsed="false">
      <c r="I3060" s="15" t="str">
        <f aca="false">IF(A3060="","",INT(A3060))</f>
        <v/>
      </c>
      <c r="J3060" s="16" t="str">
        <f aca="false">IF(B3060="","",IF(A3060=_xlfn.MINIFS($A$2:$A$5001,$B$2:$B$5001,B3060),1,0))</f>
        <v/>
      </c>
      <c r="K3060" s="16" t="str">
        <f aca="false">IF(B3060="","",IF(AND(D3060="Formalização",E3060="Concluído"),IF(COUNTIFS($B$2:$B$5001,B3060,$E$2:$E$5001,"Em ajustes",$A$2:$A$5001,"&lt;"&amp;I3060)&gt;0,1,0),0))</f>
        <v/>
      </c>
      <c r="L3060" s="16" t="str">
        <f aca="false">IF(B3060="","",IF(A3060=_xlfn.MAXIFS($A$2:$A$5001,$B$2:$B$5001,B3060,$I$2:$I$5001,I3060),1,0))</f>
        <v/>
      </c>
    </row>
    <row r="3061" customFormat="false" ht="15" hidden="false" customHeight="false" outlineLevel="0" collapsed="false">
      <c r="I3061" s="15" t="str">
        <f aca="false">IF(A3061="","",INT(A3061))</f>
        <v/>
      </c>
      <c r="J3061" s="16" t="str">
        <f aca="false">IF(B3061="","",IF(A3061=_xlfn.MINIFS($A$2:$A$5001,$B$2:$B$5001,B3061),1,0))</f>
        <v/>
      </c>
      <c r="K3061" s="16" t="str">
        <f aca="false">IF(B3061="","",IF(AND(D3061="Formalização",E3061="Concluído"),IF(COUNTIFS($B$2:$B$5001,B3061,$E$2:$E$5001,"Em ajustes",$A$2:$A$5001,"&lt;"&amp;I3061)&gt;0,1,0),0))</f>
        <v/>
      </c>
      <c r="L3061" s="16" t="str">
        <f aca="false">IF(B3061="","",IF(A3061=_xlfn.MAXIFS($A$2:$A$5001,$B$2:$B$5001,B3061,$I$2:$I$5001,I3061),1,0))</f>
        <v/>
      </c>
    </row>
    <row r="3062" customFormat="false" ht="15" hidden="false" customHeight="false" outlineLevel="0" collapsed="false">
      <c r="I3062" s="15" t="str">
        <f aca="false">IF(A3062="","",INT(A3062))</f>
        <v/>
      </c>
      <c r="J3062" s="16" t="str">
        <f aca="false">IF(B3062="","",IF(A3062=_xlfn.MINIFS($A$2:$A$5001,$B$2:$B$5001,B3062),1,0))</f>
        <v/>
      </c>
      <c r="K3062" s="16" t="str">
        <f aca="false">IF(B3062="","",IF(AND(D3062="Formalização",E3062="Concluído"),IF(COUNTIFS($B$2:$B$5001,B3062,$E$2:$E$5001,"Em ajustes",$A$2:$A$5001,"&lt;"&amp;I3062)&gt;0,1,0),0))</f>
        <v/>
      </c>
      <c r="L3062" s="16" t="str">
        <f aca="false">IF(B3062="","",IF(A3062=_xlfn.MAXIFS($A$2:$A$5001,$B$2:$B$5001,B3062,$I$2:$I$5001,I3062),1,0))</f>
        <v/>
      </c>
    </row>
    <row r="3063" customFormat="false" ht="15" hidden="false" customHeight="false" outlineLevel="0" collapsed="false">
      <c r="I3063" s="15" t="str">
        <f aca="false">IF(A3063="","",INT(A3063))</f>
        <v/>
      </c>
      <c r="J3063" s="16" t="str">
        <f aca="false">IF(B3063="","",IF(A3063=_xlfn.MINIFS($A$2:$A$5001,$B$2:$B$5001,B3063),1,0))</f>
        <v/>
      </c>
      <c r="K3063" s="16" t="str">
        <f aca="false">IF(B3063="","",IF(AND(D3063="Formalização",E3063="Concluído"),IF(COUNTIFS($B$2:$B$5001,B3063,$E$2:$E$5001,"Em ajustes",$A$2:$A$5001,"&lt;"&amp;I3063)&gt;0,1,0),0))</f>
        <v/>
      </c>
      <c r="L3063" s="16" t="str">
        <f aca="false">IF(B3063="","",IF(A3063=_xlfn.MAXIFS($A$2:$A$5001,$B$2:$B$5001,B3063,$I$2:$I$5001,I3063),1,0))</f>
        <v/>
      </c>
    </row>
    <row r="3064" customFormat="false" ht="15" hidden="false" customHeight="false" outlineLevel="0" collapsed="false">
      <c r="I3064" s="15" t="str">
        <f aca="false">IF(A3064="","",INT(A3064))</f>
        <v/>
      </c>
      <c r="J3064" s="16" t="str">
        <f aca="false">IF(B3064="","",IF(A3064=_xlfn.MINIFS($A$2:$A$5001,$B$2:$B$5001,B3064),1,0))</f>
        <v/>
      </c>
      <c r="K3064" s="16" t="str">
        <f aca="false">IF(B3064="","",IF(AND(D3064="Formalização",E3064="Concluído"),IF(COUNTIFS($B$2:$B$5001,B3064,$E$2:$E$5001,"Em ajustes",$A$2:$A$5001,"&lt;"&amp;I3064)&gt;0,1,0),0))</f>
        <v/>
      </c>
      <c r="L3064" s="16" t="str">
        <f aca="false">IF(B3064="","",IF(A3064=_xlfn.MAXIFS($A$2:$A$5001,$B$2:$B$5001,B3064,$I$2:$I$5001,I3064),1,0))</f>
        <v/>
      </c>
    </row>
    <row r="3065" customFormat="false" ht="15" hidden="false" customHeight="false" outlineLevel="0" collapsed="false">
      <c r="I3065" s="15" t="str">
        <f aca="false">IF(A3065="","",INT(A3065))</f>
        <v/>
      </c>
      <c r="J3065" s="16" t="str">
        <f aca="false">IF(B3065="","",IF(A3065=_xlfn.MINIFS($A$2:$A$5001,$B$2:$B$5001,B3065),1,0))</f>
        <v/>
      </c>
      <c r="K3065" s="16" t="str">
        <f aca="false">IF(B3065="","",IF(AND(D3065="Formalização",E3065="Concluído"),IF(COUNTIFS($B$2:$B$5001,B3065,$E$2:$E$5001,"Em ajustes",$A$2:$A$5001,"&lt;"&amp;I3065)&gt;0,1,0),0))</f>
        <v/>
      </c>
      <c r="L3065" s="16" t="str">
        <f aca="false">IF(B3065="","",IF(A3065=_xlfn.MAXIFS($A$2:$A$5001,$B$2:$B$5001,B3065,$I$2:$I$5001,I3065),1,0))</f>
        <v/>
      </c>
    </row>
    <row r="3066" customFormat="false" ht="15" hidden="false" customHeight="false" outlineLevel="0" collapsed="false">
      <c r="I3066" s="15" t="str">
        <f aca="false">IF(A3066="","",INT(A3066))</f>
        <v/>
      </c>
      <c r="J3066" s="16" t="str">
        <f aca="false">IF(B3066="","",IF(A3066=_xlfn.MINIFS($A$2:$A$5001,$B$2:$B$5001,B3066),1,0))</f>
        <v/>
      </c>
      <c r="K3066" s="16" t="str">
        <f aca="false">IF(B3066="","",IF(AND(D3066="Formalização",E3066="Concluído"),IF(COUNTIFS($B$2:$B$5001,B3066,$E$2:$E$5001,"Em ajustes",$A$2:$A$5001,"&lt;"&amp;I3066)&gt;0,1,0),0))</f>
        <v/>
      </c>
      <c r="L3066" s="16" t="str">
        <f aca="false">IF(B3066="","",IF(A3066=_xlfn.MAXIFS($A$2:$A$5001,$B$2:$B$5001,B3066,$I$2:$I$5001,I3066),1,0))</f>
        <v/>
      </c>
    </row>
    <row r="3067" customFormat="false" ht="15" hidden="false" customHeight="false" outlineLevel="0" collapsed="false">
      <c r="I3067" s="15" t="str">
        <f aca="false">IF(A3067="","",INT(A3067))</f>
        <v/>
      </c>
      <c r="J3067" s="16" t="str">
        <f aca="false">IF(B3067="","",IF(A3067=_xlfn.MINIFS($A$2:$A$5001,$B$2:$B$5001,B3067),1,0))</f>
        <v/>
      </c>
      <c r="K3067" s="16" t="str">
        <f aca="false">IF(B3067="","",IF(AND(D3067="Formalização",E3067="Concluído"),IF(COUNTIFS($B$2:$B$5001,B3067,$E$2:$E$5001,"Em ajustes",$A$2:$A$5001,"&lt;"&amp;I3067)&gt;0,1,0),0))</f>
        <v/>
      </c>
      <c r="L3067" s="16" t="str">
        <f aca="false">IF(B3067="","",IF(A3067=_xlfn.MAXIFS($A$2:$A$5001,$B$2:$B$5001,B3067,$I$2:$I$5001,I3067),1,0))</f>
        <v/>
      </c>
    </row>
    <row r="3068" customFormat="false" ht="15" hidden="false" customHeight="false" outlineLevel="0" collapsed="false">
      <c r="I3068" s="15" t="str">
        <f aca="false">IF(A3068="","",INT(A3068))</f>
        <v/>
      </c>
      <c r="J3068" s="16" t="str">
        <f aca="false">IF(B3068="","",IF(A3068=_xlfn.MINIFS($A$2:$A$5001,$B$2:$B$5001,B3068),1,0))</f>
        <v/>
      </c>
      <c r="K3068" s="16" t="str">
        <f aca="false">IF(B3068="","",IF(AND(D3068="Formalização",E3068="Concluído"),IF(COUNTIFS($B$2:$B$5001,B3068,$E$2:$E$5001,"Em ajustes",$A$2:$A$5001,"&lt;"&amp;I3068)&gt;0,1,0),0))</f>
        <v/>
      </c>
      <c r="L3068" s="16" t="str">
        <f aca="false">IF(B3068="","",IF(A3068=_xlfn.MAXIFS($A$2:$A$5001,$B$2:$B$5001,B3068,$I$2:$I$5001,I3068),1,0))</f>
        <v/>
      </c>
    </row>
    <row r="3069" customFormat="false" ht="15" hidden="false" customHeight="false" outlineLevel="0" collapsed="false">
      <c r="I3069" s="15" t="str">
        <f aca="false">IF(A3069="","",INT(A3069))</f>
        <v/>
      </c>
      <c r="J3069" s="16" t="str">
        <f aca="false">IF(B3069="","",IF(A3069=_xlfn.MINIFS($A$2:$A$5001,$B$2:$B$5001,B3069),1,0))</f>
        <v/>
      </c>
      <c r="K3069" s="16" t="str">
        <f aca="false">IF(B3069="","",IF(AND(D3069="Formalização",E3069="Concluído"),IF(COUNTIFS($B$2:$B$5001,B3069,$E$2:$E$5001,"Em ajustes",$A$2:$A$5001,"&lt;"&amp;I3069)&gt;0,1,0),0))</f>
        <v/>
      </c>
      <c r="L3069" s="16" t="str">
        <f aca="false">IF(B3069="","",IF(A3069=_xlfn.MAXIFS($A$2:$A$5001,$B$2:$B$5001,B3069,$I$2:$I$5001,I3069),1,0))</f>
        <v/>
      </c>
    </row>
    <row r="3070" customFormat="false" ht="15" hidden="false" customHeight="false" outlineLevel="0" collapsed="false">
      <c r="I3070" s="15" t="str">
        <f aca="false">IF(A3070="","",INT(A3070))</f>
        <v/>
      </c>
      <c r="J3070" s="16" t="str">
        <f aca="false">IF(B3070="","",IF(A3070=_xlfn.MINIFS($A$2:$A$5001,$B$2:$B$5001,B3070),1,0))</f>
        <v/>
      </c>
      <c r="K3070" s="16" t="str">
        <f aca="false">IF(B3070="","",IF(AND(D3070="Formalização",E3070="Concluído"),IF(COUNTIFS($B$2:$B$5001,B3070,$E$2:$E$5001,"Em ajustes",$A$2:$A$5001,"&lt;"&amp;I3070)&gt;0,1,0),0))</f>
        <v/>
      </c>
      <c r="L3070" s="16" t="str">
        <f aca="false">IF(B3070="","",IF(A3070=_xlfn.MAXIFS($A$2:$A$5001,$B$2:$B$5001,B3070,$I$2:$I$5001,I3070),1,0))</f>
        <v/>
      </c>
    </row>
    <row r="3071" customFormat="false" ht="15" hidden="false" customHeight="false" outlineLevel="0" collapsed="false">
      <c r="I3071" s="15" t="str">
        <f aca="false">IF(A3071="","",INT(A3071))</f>
        <v/>
      </c>
      <c r="J3071" s="16" t="str">
        <f aca="false">IF(B3071="","",IF(A3071=_xlfn.MINIFS($A$2:$A$5001,$B$2:$B$5001,B3071),1,0))</f>
        <v/>
      </c>
      <c r="K3071" s="16" t="str">
        <f aca="false">IF(B3071="","",IF(AND(D3071="Formalização",E3071="Concluído"),IF(COUNTIFS($B$2:$B$5001,B3071,$E$2:$E$5001,"Em ajustes",$A$2:$A$5001,"&lt;"&amp;I3071)&gt;0,1,0),0))</f>
        <v/>
      </c>
      <c r="L3071" s="16" t="str">
        <f aca="false">IF(B3071="","",IF(A3071=_xlfn.MAXIFS($A$2:$A$5001,$B$2:$B$5001,B3071,$I$2:$I$5001,I3071),1,0))</f>
        <v/>
      </c>
    </row>
    <row r="3072" customFormat="false" ht="15" hidden="false" customHeight="false" outlineLevel="0" collapsed="false">
      <c r="I3072" s="15" t="str">
        <f aca="false">IF(A3072="","",INT(A3072))</f>
        <v/>
      </c>
      <c r="J3072" s="16" t="str">
        <f aca="false">IF(B3072="","",IF(A3072=_xlfn.MINIFS($A$2:$A$5001,$B$2:$B$5001,B3072),1,0))</f>
        <v/>
      </c>
      <c r="K3072" s="16" t="str">
        <f aca="false">IF(B3072="","",IF(AND(D3072="Formalização",E3072="Concluído"),IF(COUNTIFS($B$2:$B$5001,B3072,$E$2:$E$5001,"Em ajustes",$A$2:$A$5001,"&lt;"&amp;I3072)&gt;0,1,0),0))</f>
        <v/>
      </c>
      <c r="L3072" s="16" t="str">
        <f aca="false">IF(B3072="","",IF(A3072=_xlfn.MAXIFS($A$2:$A$5001,$B$2:$B$5001,B3072,$I$2:$I$5001,I3072),1,0))</f>
        <v/>
      </c>
    </row>
    <row r="3073" customFormat="false" ht="15" hidden="false" customHeight="false" outlineLevel="0" collapsed="false">
      <c r="I3073" s="15" t="str">
        <f aca="false">IF(A3073="","",INT(A3073))</f>
        <v/>
      </c>
      <c r="J3073" s="16" t="str">
        <f aca="false">IF(B3073="","",IF(A3073=_xlfn.MINIFS($A$2:$A$5001,$B$2:$B$5001,B3073),1,0))</f>
        <v/>
      </c>
      <c r="K3073" s="16" t="str">
        <f aca="false">IF(B3073="","",IF(AND(D3073="Formalização",E3073="Concluído"),IF(COUNTIFS($B$2:$B$5001,B3073,$E$2:$E$5001,"Em ajustes",$A$2:$A$5001,"&lt;"&amp;I3073)&gt;0,1,0),0))</f>
        <v/>
      </c>
      <c r="L3073" s="16" t="str">
        <f aca="false">IF(B3073="","",IF(A3073=_xlfn.MAXIFS($A$2:$A$5001,$B$2:$B$5001,B3073,$I$2:$I$5001,I3073),1,0))</f>
        <v/>
      </c>
    </row>
    <row r="3074" customFormat="false" ht="15" hidden="false" customHeight="false" outlineLevel="0" collapsed="false">
      <c r="I3074" s="15" t="str">
        <f aca="false">IF(A3074="","",INT(A3074))</f>
        <v/>
      </c>
      <c r="J3074" s="16" t="str">
        <f aca="false">IF(B3074="","",IF(A3074=_xlfn.MINIFS($A$2:$A$5001,$B$2:$B$5001,B3074),1,0))</f>
        <v/>
      </c>
      <c r="K3074" s="16" t="str">
        <f aca="false">IF(B3074="","",IF(AND(D3074="Formalização",E3074="Concluído"),IF(COUNTIFS($B$2:$B$5001,B3074,$E$2:$E$5001,"Em ajustes",$A$2:$A$5001,"&lt;"&amp;I3074)&gt;0,1,0),0))</f>
        <v/>
      </c>
      <c r="L3074" s="16" t="str">
        <f aca="false">IF(B3074="","",IF(A3074=_xlfn.MAXIFS($A$2:$A$5001,$B$2:$B$5001,B3074,$I$2:$I$5001,I3074),1,0))</f>
        <v/>
      </c>
    </row>
    <row r="3075" customFormat="false" ht="15" hidden="false" customHeight="false" outlineLevel="0" collapsed="false">
      <c r="I3075" s="15" t="str">
        <f aca="false">IF(A3075="","",INT(A3075))</f>
        <v/>
      </c>
      <c r="J3075" s="16" t="str">
        <f aca="false">IF(B3075="","",IF(A3075=_xlfn.MINIFS($A$2:$A$5001,$B$2:$B$5001,B3075),1,0))</f>
        <v/>
      </c>
      <c r="K3075" s="16" t="str">
        <f aca="false">IF(B3075="","",IF(AND(D3075="Formalização",E3075="Concluído"),IF(COUNTIFS($B$2:$B$5001,B3075,$E$2:$E$5001,"Em ajustes",$A$2:$A$5001,"&lt;"&amp;I3075)&gt;0,1,0),0))</f>
        <v/>
      </c>
      <c r="L3075" s="16" t="str">
        <f aca="false">IF(B3075="","",IF(A3075=_xlfn.MAXIFS($A$2:$A$5001,$B$2:$B$5001,B3075,$I$2:$I$5001,I3075),1,0))</f>
        <v/>
      </c>
    </row>
    <row r="3076" customFormat="false" ht="15" hidden="false" customHeight="false" outlineLevel="0" collapsed="false">
      <c r="I3076" s="15" t="str">
        <f aca="false">IF(A3076="","",INT(A3076))</f>
        <v/>
      </c>
      <c r="J3076" s="16" t="str">
        <f aca="false">IF(B3076="","",IF(A3076=_xlfn.MINIFS($A$2:$A$5001,$B$2:$B$5001,B3076),1,0))</f>
        <v/>
      </c>
      <c r="K3076" s="16" t="str">
        <f aca="false">IF(B3076="","",IF(AND(D3076="Formalização",E3076="Concluído"),IF(COUNTIFS($B$2:$B$5001,B3076,$E$2:$E$5001,"Em ajustes",$A$2:$A$5001,"&lt;"&amp;I3076)&gt;0,1,0),0))</f>
        <v/>
      </c>
      <c r="L3076" s="16" t="str">
        <f aca="false">IF(B3076="","",IF(A3076=_xlfn.MAXIFS($A$2:$A$5001,$B$2:$B$5001,B3076,$I$2:$I$5001,I3076),1,0))</f>
        <v/>
      </c>
    </row>
    <row r="3077" customFormat="false" ht="15" hidden="false" customHeight="false" outlineLevel="0" collapsed="false">
      <c r="I3077" s="15" t="str">
        <f aca="false">IF(A3077="","",INT(A3077))</f>
        <v/>
      </c>
      <c r="J3077" s="16" t="str">
        <f aca="false">IF(B3077="","",IF(A3077=_xlfn.MINIFS($A$2:$A$5001,$B$2:$B$5001,B3077),1,0))</f>
        <v/>
      </c>
      <c r="K3077" s="16" t="str">
        <f aca="false">IF(B3077="","",IF(AND(D3077="Formalização",E3077="Concluído"),IF(COUNTIFS($B$2:$B$5001,B3077,$E$2:$E$5001,"Em ajustes",$A$2:$A$5001,"&lt;"&amp;I3077)&gt;0,1,0),0))</f>
        <v/>
      </c>
      <c r="L3077" s="16" t="str">
        <f aca="false">IF(B3077="","",IF(A3077=_xlfn.MAXIFS($A$2:$A$5001,$B$2:$B$5001,B3077,$I$2:$I$5001,I3077),1,0))</f>
        <v/>
      </c>
    </row>
    <row r="3078" customFormat="false" ht="15" hidden="false" customHeight="false" outlineLevel="0" collapsed="false">
      <c r="I3078" s="15" t="str">
        <f aca="false">IF(A3078="","",INT(A3078))</f>
        <v/>
      </c>
      <c r="J3078" s="16" t="str">
        <f aca="false">IF(B3078="","",IF(A3078=_xlfn.MINIFS($A$2:$A$5001,$B$2:$B$5001,B3078),1,0))</f>
        <v/>
      </c>
      <c r="K3078" s="16" t="str">
        <f aca="false">IF(B3078="","",IF(AND(D3078="Formalização",E3078="Concluído"),IF(COUNTIFS($B$2:$B$5001,B3078,$E$2:$E$5001,"Em ajustes",$A$2:$A$5001,"&lt;"&amp;I3078)&gt;0,1,0),0))</f>
        <v/>
      </c>
      <c r="L3078" s="16" t="str">
        <f aca="false">IF(B3078="","",IF(A3078=_xlfn.MAXIFS($A$2:$A$5001,$B$2:$B$5001,B3078,$I$2:$I$5001,I3078),1,0))</f>
        <v/>
      </c>
    </row>
    <row r="3079" customFormat="false" ht="15" hidden="false" customHeight="false" outlineLevel="0" collapsed="false">
      <c r="I3079" s="15" t="str">
        <f aca="false">IF(A3079="","",INT(A3079))</f>
        <v/>
      </c>
      <c r="J3079" s="16" t="str">
        <f aca="false">IF(B3079="","",IF(A3079=_xlfn.MINIFS($A$2:$A$5001,$B$2:$B$5001,B3079),1,0))</f>
        <v/>
      </c>
      <c r="K3079" s="16" t="str">
        <f aca="false">IF(B3079="","",IF(AND(D3079="Formalização",E3079="Concluído"),IF(COUNTIFS($B$2:$B$5001,B3079,$E$2:$E$5001,"Em ajustes",$A$2:$A$5001,"&lt;"&amp;I3079)&gt;0,1,0),0))</f>
        <v/>
      </c>
      <c r="L3079" s="16" t="str">
        <f aca="false">IF(B3079="","",IF(A3079=_xlfn.MAXIFS($A$2:$A$5001,$B$2:$B$5001,B3079,$I$2:$I$5001,I3079),1,0))</f>
        <v/>
      </c>
    </row>
    <row r="3080" customFormat="false" ht="15" hidden="false" customHeight="false" outlineLevel="0" collapsed="false">
      <c r="I3080" s="15" t="str">
        <f aca="false">IF(A3080="","",INT(A3080))</f>
        <v/>
      </c>
      <c r="J3080" s="16" t="str">
        <f aca="false">IF(B3080="","",IF(A3080=_xlfn.MINIFS($A$2:$A$5001,$B$2:$B$5001,B3080),1,0))</f>
        <v/>
      </c>
      <c r="K3080" s="16" t="str">
        <f aca="false">IF(B3080="","",IF(AND(D3080="Formalização",E3080="Concluído"),IF(COUNTIFS($B$2:$B$5001,B3080,$E$2:$E$5001,"Em ajustes",$A$2:$A$5001,"&lt;"&amp;I3080)&gt;0,1,0),0))</f>
        <v/>
      </c>
      <c r="L3080" s="16" t="str">
        <f aca="false">IF(B3080="","",IF(A3080=_xlfn.MAXIFS($A$2:$A$5001,$B$2:$B$5001,B3080,$I$2:$I$5001,I3080),1,0))</f>
        <v/>
      </c>
    </row>
    <row r="3081" customFormat="false" ht="15" hidden="false" customHeight="false" outlineLevel="0" collapsed="false">
      <c r="I3081" s="15" t="str">
        <f aca="false">IF(A3081="","",INT(A3081))</f>
        <v/>
      </c>
      <c r="J3081" s="16" t="str">
        <f aca="false">IF(B3081="","",IF(A3081=_xlfn.MINIFS($A$2:$A$5001,$B$2:$B$5001,B3081),1,0))</f>
        <v/>
      </c>
      <c r="K3081" s="16" t="str">
        <f aca="false">IF(B3081="","",IF(AND(D3081="Formalização",E3081="Concluído"),IF(COUNTIFS($B$2:$B$5001,B3081,$E$2:$E$5001,"Em ajustes",$A$2:$A$5001,"&lt;"&amp;I3081)&gt;0,1,0),0))</f>
        <v/>
      </c>
      <c r="L3081" s="16" t="str">
        <f aca="false">IF(B3081="","",IF(A3081=_xlfn.MAXIFS($A$2:$A$5001,$B$2:$B$5001,B3081,$I$2:$I$5001,I3081),1,0))</f>
        <v/>
      </c>
    </row>
    <row r="3082" customFormat="false" ht="15" hidden="false" customHeight="false" outlineLevel="0" collapsed="false">
      <c r="I3082" s="15" t="str">
        <f aca="false">IF(A3082="","",INT(A3082))</f>
        <v/>
      </c>
      <c r="J3082" s="16" t="str">
        <f aca="false">IF(B3082="","",IF(A3082=_xlfn.MINIFS($A$2:$A$5001,$B$2:$B$5001,B3082),1,0))</f>
        <v/>
      </c>
      <c r="K3082" s="16" t="str">
        <f aca="false">IF(B3082="","",IF(AND(D3082="Formalização",E3082="Concluído"),IF(COUNTIFS($B$2:$B$5001,B3082,$E$2:$E$5001,"Em ajustes",$A$2:$A$5001,"&lt;"&amp;I3082)&gt;0,1,0),0))</f>
        <v/>
      </c>
      <c r="L3082" s="16" t="str">
        <f aca="false">IF(B3082="","",IF(A3082=_xlfn.MAXIFS($A$2:$A$5001,$B$2:$B$5001,B3082,$I$2:$I$5001,I3082),1,0))</f>
        <v/>
      </c>
    </row>
    <row r="3083" customFormat="false" ht="15" hidden="false" customHeight="false" outlineLevel="0" collapsed="false">
      <c r="I3083" s="15" t="str">
        <f aca="false">IF(A3083="","",INT(A3083))</f>
        <v/>
      </c>
      <c r="J3083" s="16" t="str">
        <f aca="false">IF(B3083="","",IF(A3083=_xlfn.MINIFS($A$2:$A$5001,$B$2:$B$5001,B3083),1,0))</f>
        <v/>
      </c>
      <c r="K3083" s="16" t="str">
        <f aca="false">IF(B3083="","",IF(AND(D3083="Formalização",E3083="Concluído"),IF(COUNTIFS($B$2:$B$5001,B3083,$E$2:$E$5001,"Em ajustes",$A$2:$A$5001,"&lt;"&amp;I3083)&gt;0,1,0),0))</f>
        <v/>
      </c>
      <c r="L3083" s="16" t="str">
        <f aca="false">IF(B3083="","",IF(A3083=_xlfn.MAXIFS($A$2:$A$5001,$B$2:$B$5001,B3083,$I$2:$I$5001,I3083),1,0))</f>
        <v/>
      </c>
    </row>
    <row r="3084" customFormat="false" ht="15" hidden="false" customHeight="false" outlineLevel="0" collapsed="false">
      <c r="I3084" s="15" t="str">
        <f aca="false">IF(A3084="","",INT(A3084))</f>
        <v/>
      </c>
      <c r="J3084" s="16" t="str">
        <f aca="false">IF(B3084="","",IF(A3084=_xlfn.MINIFS($A$2:$A$5001,$B$2:$B$5001,B3084),1,0))</f>
        <v/>
      </c>
      <c r="K3084" s="16" t="str">
        <f aca="false">IF(B3084="","",IF(AND(D3084="Formalização",E3084="Concluído"),IF(COUNTIFS($B$2:$B$5001,B3084,$E$2:$E$5001,"Em ajustes",$A$2:$A$5001,"&lt;"&amp;I3084)&gt;0,1,0),0))</f>
        <v/>
      </c>
      <c r="L3084" s="16" t="str">
        <f aca="false">IF(B3084="","",IF(A3084=_xlfn.MAXIFS($A$2:$A$5001,$B$2:$B$5001,B3084,$I$2:$I$5001,I3084),1,0))</f>
        <v/>
      </c>
    </row>
    <row r="3085" customFormat="false" ht="15" hidden="false" customHeight="false" outlineLevel="0" collapsed="false">
      <c r="I3085" s="15" t="str">
        <f aca="false">IF(A3085="","",INT(A3085))</f>
        <v/>
      </c>
      <c r="J3085" s="16" t="str">
        <f aca="false">IF(B3085="","",IF(A3085=_xlfn.MINIFS($A$2:$A$5001,$B$2:$B$5001,B3085),1,0))</f>
        <v/>
      </c>
      <c r="K3085" s="16" t="str">
        <f aca="false">IF(B3085="","",IF(AND(D3085="Formalização",E3085="Concluído"),IF(COUNTIFS($B$2:$B$5001,B3085,$E$2:$E$5001,"Em ajustes",$A$2:$A$5001,"&lt;"&amp;I3085)&gt;0,1,0),0))</f>
        <v/>
      </c>
      <c r="L3085" s="16" t="str">
        <f aca="false">IF(B3085="","",IF(A3085=_xlfn.MAXIFS($A$2:$A$5001,$B$2:$B$5001,B3085,$I$2:$I$5001,I3085),1,0))</f>
        <v/>
      </c>
    </row>
    <row r="3086" customFormat="false" ht="15" hidden="false" customHeight="false" outlineLevel="0" collapsed="false">
      <c r="I3086" s="15" t="str">
        <f aca="false">IF(A3086="","",INT(A3086))</f>
        <v/>
      </c>
      <c r="J3086" s="16" t="str">
        <f aca="false">IF(B3086="","",IF(A3086=_xlfn.MINIFS($A$2:$A$5001,$B$2:$B$5001,B3086),1,0))</f>
        <v/>
      </c>
      <c r="K3086" s="16" t="str">
        <f aca="false">IF(B3086="","",IF(AND(D3086="Formalização",E3086="Concluído"),IF(COUNTIFS($B$2:$B$5001,B3086,$E$2:$E$5001,"Em ajustes",$A$2:$A$5001,"&lt;"&amp;I3086)&gt;0,1,0),0))</f>
        <v/>
      </c>
      <c r="L3086" s="16" t="str">
        <f aca="false">IF(B3086="","",IF(A3086=_xlfn.MAXIFS($A$2:$A$5001,$B$2:$B$5001,B3086,$I$2:$I$5001,I3086),1,0))</f>
        <v/>
      </c>
    </row>
    <row r="3087" customFormat="false" ht="15" hidden="false" customHeight="false" outlineLevel="0" collapsed="false">
      <c r="I3087" s="15" t="str">
        <f aca="false">IF(A3087="","",INT(A3087))</f>
        <v/>
      </c>
      <c r="J3087" s="16" t="str">
        <f aca="false">IF(B3087="","",IF(A3087=_xlfn.MINIFS($A$2:$A$5001,$B$2:$B$5001,B3087),1,0))</f>
        <v/>
      </c>
      <c r="K3087" s="16" t="str">
        <f aca="false">IF(B3087="","",IF(AND(D3087="Formalização",E3087="Concluído"),IF(COUNTIFS($B$2:$B$5001,B3087,$E$2:$E$5001,"Em ajustes",$A$2:$A$5001,"&lt;"&amp;I3087)&gt;0,1,0),0))</f>
        <v/>
      </c>
      <c r="L3087" s="16" t="str">
        <f aca="false">IF(B3087="","",IF(A3087=_xlfn.MAXIFS($A$2:$A$5001,$B$2:$B$5001,B3087,$I$2:$I$5001,I3087),1,0))</f>
        <v/>
      </c>
    </row>
    <row r="3088" customFormat="false" ht="15" hidden="false" customHeight="false" outlineLevel="0" collapsed="false">
      <c r="I3088" s="15" t="str">
        <f aca="false">IF(A3088="","",INT(A3088))</f>
        <v/>
      </c>
      <c r="J3088" s="16" t="str">
        <f aca="false">IF(B3088="","",IF(A3088=_xlfn.MINIFS($A$2:$A$5001,$B$2:$B$5001,B3088),1,0))</f>
        <v/>
      </c>
      <c r="K3088" s="16" t="str">
        <f aca="false">IF(B3088="","",IF(AND(D3088="Formalização",E3088="Concluído"),IF(COUNTIFS($B$2:$B$5001,B3088,$E$2:$E$5001,"Em ajustes",$A$2:$A$5001,"&lt;"&amp;I3088)&gt;0,1,0),0))</f>
        <v/>
      </c>
      <c r="L3088" s="16" t="str">
        <f aca="false">IF(B3088="","",IF(A3088=_xlfn.MAXIFS($A$2:$A$5001,$B$2:$B$5001,B3088,$I$2:$I$5001,I3088),1,0))</f>
        <v/>
      </c>
    </row>
    <row r="3089" customFormat="false" ht="15" hidden="false" customHeight="false" outlineLevel="0" collapsed="false">
      <c r="I3089" s="15" t="str">
        <f aca="false">IF(A3089="","",INT(A3089))</f>
        <v/>
      </c>
      <c r="J3089" s="16" t="str">
        <f aca="false">IF(B3089="","",IF(A3089=_xlfn.MINIFS($A$2:$A$5001,$B$2:$B$5001,B3089),1,0))</f>
        <v/>
      </c>
      <c r="K3089" s="16" t="str">
        <f aca="false">IF(B3089="","",IF(AND(D3089="Formalização",E3089="Concluído"),IF(COUNTIFS($B$2:$B$5001,B3089,$E$2:$E$5001,"Em ajustes",$A$2:$A$5001,"&lt;"&amp;I3089)&gt;0,1,0),0))</f>
        <v/>
      </c>
      <c r="L3089" s="16" t="str">
        <f aca="false">IF(B3089="","",IF(A3089=_xlfn.MAXIFS($A$2:$A$5001,$B$2:$B$5001,B3089,$I$2:$I$5001,I3089),1,0))</f>
        <v/>
      </c>
    </row>
    <row r="3090" customFormat="false" ht="15" hidden="false" customHeight="false" outlineLevel="0" collapsed="false">
      <c r="I3090" s="15" t="str">
        <f aca="false">IF(A3090="","",INT(A3090))</f>
        <v/>
      </c>
      <c r="J3090" s="16" t="str">
        <f aca="false">IF(B3090="","",IF(A3090=_xlfn.MINIFS($A$2:$A$5001,$B$2:$B$5001,B3090),1,0))</f>
        <v/>
      </c>
      <c r="K3090" s="16" t="str">
        <f aca="false">IF(B3090="","",IF(AND(D3090="Formalização",E3090="Concluído"),IF(COUNTIFS($B$2:$B$5001,B3090,$E$2:$E$5001,"Em ajustes",$A$2:$A$5001,"&lt;"&amp;I3090)&gt;0,1,0),0))</f>
        <v/>
      </c>
      <c r="L3090" s="16" t="str">
        <f aca="false">IF(B3090="","",IF(A3090=_xlfn.MAXIFS($A$2:$A$5001,$B$2:$B$5001,B3090,$I$2:$I$5001,I3090),1,0))</f>
        <v/>
      </c>
    </row>
    <row r="3091" customFormat="false" ht="15" hidden="false" customHeight="false" outlineLevel="0" collapsed="false">
      <c r="I3091" s="15" t="str">
        <f aca="false">IF(A3091="","",INT(A3091))</f>
        <v/>
      </c>
      <c r="J3091" s="16" t="str">
        <f aca="false">IF(B3091="","",IF(A3091=_xlfn.MINIFS($A$2:$A$5001,$B$2:$B$5001,B3091),1,0))</f>
        <v/>
      </c>
      <c r="K3091" s="16" t="str">
        <f aca="false">IF(B3091="","",IF(AND(D3091="Formalização",E3091="Concluído"),IF(COUNTIFS($B$2:$B$5001,B3091,$E$2:$E$5001,"Em ajustes",$A$2:$A$5001,"&lt;"&amp;I3091)&gt;0,1,0),0))</f>
        <v/>
      </c>
      <c r="L3091" s="16" t="str">
        <f aca="false">IF(B3091="","",IF(A3091=_xlfn.MAXIFS($A$2:$A$5001,$B$2:$B$5001,B3091,$I$2:$I$5001,I3091),1,0))</f>
        <v/>
      </c>
    </row>
    <row r="3092" customFormat="false" ht="15" hidden="false" customHeight="false" outlineLevel="0" collapsed="false">
      <c r="I3092" s="15" t="str">
        <f aca="false">IF(A3092="","",INT(A3092))</f>
        <v/>
      </c>
      <c r="J3092" s="16" t="str">
        <f aca="false">IF(B3092="","",IF(A3092=_xlfn.MINIFS($A$2:$A$5001,$B$2:$B$5001,B3092),1,0))</f>
        <v/>
      </c>
      <c r="K3092" s="16" t="str">
        <f aca="false">IF(B3092="","",IF(AND(D3092="Formalização",E3092="Concluído"),IF(COUNTIFS($B$2:$B$5001,B3092,$E$2:$E$5001,"Em ajustes",$A$2:$A$5001,"&lt;"&amp;I3092)&gt;0,1,0),0))</f>
        <v/>
      </c>
      <c r="L3092" s="16" t="str">
        <f aca="false">IF(B3092="","",IF(A3092=_xlfn.MAXIFS($A$2:$A$5001,$B$2:$B$5001,B3092,$I$2:$I$5001,I3092),1,0))</f>
        <v/>
      </c>
    </row>
    <row r="3093" customFormat="false" ht="15" hidden="false" customHeight="false" outlineLevel="0" collapsed="false">
      <c r="I3093" s="15" t="str">
        <f aca="false">IF(A3093="","",INT(A3093))</f>
        <v/>
      </c>
      <c r="J3093" s="16" t="str">
        <f aca="false">IF(B3093="","",IF(A3093=_xlfn.MINIFS($A$2:$A$5001,$B$2:$B$5001,B3093),1,0))</f>
        <v/>
      </c>
      <c r="K3093" s="16" t="str">
        <f aca="false">IF(B3093="","",IF(AND(D3093="Formalização",E3093="Concluído"),IF(COUNTIFS($B$2:$B$5001,B3093,$E$2:$E$5001,"Em ajustes",$A$2:$A$5001,"&lt;"&amp;I3093)&gt;0,1,0),0))</f>
        <v/>
      </c>
      <c r="L3093" s="16" t="str">
        <f aca="false">IF(B3093="","",IF(A3093=_xlfn.MAXIFS($A$2:$A$5001,$B$2:$B$5001,B3093,$I$2:$I$5001,I3093),1,0))</f>
        <v/>
      </c>
    </row>
    <row r="3094" customFormat="false" ht="15" hidden="false" customHeight="false" outlineLevel="0" collapsed="false">
      <c r="I3094" s="15" t="str">
        <f aca="false">IF(A3094="","",INT(A3094))</f>
        <v/>
      </c>
      <c r="J3094" s="16" t="str">
        <f aca="false">IF(B3094="","",IF(A3094=_xlfn.MINIFS($A$2:$A$5001,$B$2:$B$5001,B3094),1,0))</f>
        <v/>
      </c>
      <c r="K3094" s="16" t="str">
        <f aca="false">IF(B3094="","",IF(AND(D3094="Formalização",E3094="Concluído"),IF(COUNTIFS($B$2:$B$5001,B3094,$E$2:$E$5001,"Em ajustes",$A$2:$A$5001,"&lt;"&amp;I3094)&gt;0,1,0),0))</f>
        <v/>
      </c>
      <c r="L3094" s="16" t="str">
        <f aca="false">IF(B3094="","",IF(A3094=_xlfn.MAXIFS($A$2:$A$5001,$B$2:$B$5001,B3094,$I$2:$I$5001,I3094),1,0))</f>
        <v/>
      </c>
    </row>
    <row r="3095" customFormat="false" ht="15" hidden="false" customHeight="false" outlineLevel="0" collapsed="false">
      <c r="I3095" s="15" t="str">
        <f aca="false">IF(A3095="","",INT(A3095))</f>
        <v/>
      </c>
      <c r="J3095" s="16" t="str">
        <f aca="false">IF(B3095="","",IF(A3095=_xlfn.MINIFS($A$2:$A$5001,$B$2:$B$5001,B3095),1,0))</f>
        <v/>
      </c>
      <c r="K3095" s="16" t="str">
        <f aca="false">IF(B3095="","",IF(AND(D3095="Formalização",E3095="Concluído"),IF(COUNTIFS($B$2:$B$5001,B3095,$E$2:$E$5001,"Em ajustes",$A$2:$A$5001,"&lt;"&amp;I3095)&gt;0,1,0),0))</f>
        <v/>
      </c>
      <c r="L3095" s="16" t="str">
        <f aca="false">IF(B3095="","",IF(A3095=_xlfn.MAXIFS($A$2:$A$5001,$B$2:$B$5001,B3095,$I$2:$I$5001,I3095),1,0))</f>
        <v/>
      </c>
    </row>
    <row r="3096" customFormat="false" ht="15" hidden="false" customHeight="false" outlineLevel="0" collapsed="false">
      <c r="I3096" s="15" t="str">
        <f aca="false">IF(A3096="","",INT(A3096))</f>
        <v/>
      </c>
      <c r="J3096" s="16" t="str">
        <f aca="false">IF(B3096="","",IF(A3096=_xlfn.MINIFS($A$2:$A$5001,$B$2:$B$5001,B3096),1,0))</f>
        <v/>
      </c>
      <c r="K3096" s="16" t="str">
        <f aca="false">IF(B3096="","",IF(AND(D3096="Formalização",E3096="Concluído"),IF(COUNTIFS($B$2:$B$5001,B3096,$E$2:$E$5001,"Em ajustes",$A$2:$A$5001,"&lt;"&amp;I3096)&gt;0,1,0),0))</f>
        <v/>
      </c>
      <c r="L3096" s="16" t="str">
        <f aca="false">IF(B3096="","",IF(A3096=_xlfn.MAXIFS($A$2:$A$5001,$B$2:$B$5001,B3096,$I$2:$I$5001,I3096),1,0))</f>
        <v/>
      </c>
    </row>
    <row r="3097" customFormat="false" ht="15" hidden="false" customHeight="false" outlineLevel="0" collapsed="false">
      <c r="I3097" s="15" t="str">
        <f aca="false">IF(A3097="","",INT(A3097))</f>
        <v/>
      </c>
      <c r="J3097" s="16" t="str">
        <f aca="false">IF(B3097="","",IF(A3097=_xlfn.MINIFS($A$2:$A$5001,$B$2:$B$5001,B3097),1,0))</f>
        <v/>
      </c>
      <c r="K3097" s="16" t="str">
        <f aca="false">IF(B3097="","",IF(AND(D3097="Formalização",E3097="Concluído"),IF(COUNTIFS($B$2:$B$5001,B3097,$E$2:$E$5001,"Em ajustes",$A$2:$A$5001,"&lt;"&amp;I3097)&gt;0,1,0),0))</f>
        <v/>
      </c>
      <c r="L3097" s="16" t="str">
        <f aca="false">IF(B3097="","",IF(A3097=_xlfn.MAXIFS($A$2:$A$5001,$B$2:$B$5001,B3097,$I$2:$I$5001,I3097),1,0))</f>
        <v/>
      </c>
    </row>
    <row r="3098" customFormat="false" ht="15" hidden="false" customHeight="false" outlineLevel="0" collapsed="false">
      <c r="I3098" s="15" t="str">
        <f aca="false">IF(A3098="","",INT(A3098))</f>
        <v/>
      </c>
      <c r="J3098" s="16" t="str">
        <f aca="false">IF(B3098="","",IF(A3098=_xlfn.MINIFS($A$2:$A$5001,$B$2:$B$5001,B3098),1,0))</f>
        <v/>
      </c>
      <c r="K3098" s="16" t="str">
        <f aca="false">IF(B3098="","",IF(AND(D3098="Formalização",E3098="Concluído"),IF(COUNTIFS($B$2:$B$5001,B3098,$E$2:$E$5001,"Em ajustes",$A$2:$A$5001,"&lt;"&amp;I3098)&gt;0,1,0),0))</f>
        <v/>
      </c>
      <c r="L3098" s="16" t="str">
        <f aca="false">IF(B3098="","",IF(A3098=_xlfn.MAXIFS($A$2:$A$5001,$B$2:$B$5001,B3098,$I$2:$I$5001,I3098),1,0))</f>
        <v/>
      </c>
    </row>
    <row r="3099" customFormat="false" ht="15" hidden="false" customHeight="false" outlineLevel="0" collapsed="false">
      <c r="I3099" s="15" t="str">
        <f aca="false">IF(A3099="","",INT(A3099))</f>
        <v/>
      </c>
      <c r="J3099" s="16" t="str">
        <f aca="false">IF(B3099="","",IF(A3099=_xlfn.MINIFS($A$2:$A$5001,$B$2:$B$5001,B3099),1,0))</f>
        <v/>
      </c>
      <c r="K3099" s="16" t="str">
        <f aca="false">IF(B3099="","",IF(AND(D3099="Formalização",E3099="Concluído"),IF(COUNTIFS($B$2:$B$5001,B3099,$E$2:$E$5001,"Em ajustes",$A$2:$A$5001,"&lt;"&amp;I3099)&gt;0,1,0),0))</f>
        <v/>
      </c>
      <c r="L3099" s="16" t="str">
        <f aca="false">IF(B3099="","",IF(A3099=_xlfn.MAXIFS($A$2:$A$5001,$B$2:$B$5001,B3099,$I$2:$I$5001,I3099),1,0))</f>
        <v/>
      </c>
    </row>
    <row r="3100" customFormat="false" ht="15" hidden="false" customHeight="false" outlineLevel="0" collapsed="false">
      <c r="I3100" s="15" t="str">
        <f aca="false">IF(A3100="","",INT(A3100))</f>
        <v/>
      </c>
      <c r="J3100" s="16" t="str">
        <f aca="false">IF(B3100="","",IF(A3100=_xlfn.MINIFS($A$2:$A$5001,$B$2:$B$5001,B3100),1,0))</f>
        <v/>
      </c>
      <c r="K3100" s="16" t="str">
        <f aca="false">IF(B3100="","",IF(AND(D3100="Formalização",E3100="Concluído"),IF(COUNTIFS($B$2:$B$5001,B3100,$E$2:$E$5001,"Em ajustes",$A$2:$A$5001,"&lt;"&amp;I3100)&gt;0,1,0),0))</f>
        <v/>
      </c>
      <c r="L3100" s="16" t="str">
        <f aca="false">IF(B3100="","",IF(A3100=_xlfn.MAXIFS($A$2:$A$5001,$B$2:$B$5001,B3100,$I$2:$I$5001,I3100),1,0))</f>
        <v/>
      </c>
    </row>
    <row r="3101" customFormat="false" ht="15" hidden="false" customHeight="false" outlineLevel="0" collapsed="false">
      <c r="I3101" s="15" t="str">
        <f aca="false">IF(A3101="","",INT(A3101))</f>
        <v/>
      </c>
      <c r="J3101" s="16" t="str">
        <f aca="false">IF(B3101="","",IF(A3101=_xlfn.MINIFS($A$2:$A$5001,$B$2:$B$5001,B3101),1,0))</f>
        <v/>
      </c>
      <c r="K3101" s="16" t="str">
        <f aca="false">IF(B3101="","",IF(AND(D3101="Formalização",E3101="Concluído"),IF(COUNTIFS($B$2:$B$5001,B3101,$E$2:$E$5001,"Em ajustes",$A$2:$A$5001,"&lt;"&amp;I3101)&gt;0,1,0),0))</f>
        <v/>
      </c>
      <c r="L3101" s="16" t="str">
        <f aca="false">IF(B3101="","",IF(A3101=_xlfn.MAXIFS($A$2:$A$5001,$B$2:$B$5001,B3101,$I$2:$I$5001,I3101),1,0))</f>
        <v/>
      </c>
    </row>
    <row r="3102" customFormat="false" ht="15" hidden="false" customHeight="false" outlineLevel="0" collapsed="false">
      <c r="I3102" s="15" t="str">
        <f aca="false">IF(A3102="","",INT(A3102))</f>
        <v/>
      </c>
      <c r="J3102" s="16" t="str">
        <f aca="false">IF(B3102="","",IF(A3102=_xlfn.MINIFS($A$2:$A$5001,$B$2:$B$5001,B3102),1,0))</f>
        <v/>
      </c>
      <c r="K3102" s="16" t="str">
        <f aca="false">IF(B3102="","",IF(AND(D3102="Formalização",E3102="Concluído"),IF(COUNTIFS($B$2:$B$5001,B3102,$E$2:$E$5001,"Em ajustes",$A$2:$A$5001,"&lt;"&amp;I3102)&gt;0,1,0),0))</f>
        <v/>
      </c>
      <c r="L3102" s="16" t="str">
        <f aca="false">IF(B3102="","",IF(A3102=_xlfn.MAXIFS($A$2:$A$5001,$B$2:$B$5001,B3102,$I$2:$I$5001,I3102),1,0))</f>
        <v/>
      </c>
    </row>
    <row r="3103" customFormat="false" ht="15" hidden="false" customHeight="false" outlineLevel="0" collapsed="false">
      <c r="I3103" s="15" t="str">
        <f aca="false">IF(A3103="","",INT(A3103))</f>
        <v/>
      </c>
      <c r="J3103" s="16" t="str">
        <f aca="false">IF(B3103="","",IF(A3103=_xlfn.MINIFS($A$2:$A$5001,$B$2:$B$5001,B3103),1,0))</f>
        <v/>
      </c>
      <c r="K3103" s="16" t="str">
        <f aca="false">IF(B3103="","",IF(AND(D3103="Formalização",E3103="Concluído"),IF(COUNTIFS($B$2:$B$5001,B3103,$E$2:$E$5001,"Em ajustes",$A$2:$A$5001,"&lt;"&amp;I3103)&gt;0,1,0),0))</f>
        <v/>
      </c>
      <c r="L3103" s="16" t="str">
        <f aca="false">IF(B3103="","",IF(A3103=_xlfn.MAXIFS($A$2:$A$5001,$B$2:$B$5001,B3103,$I$2:$I$5001,I3103),1,0))</f>
        <v/>
      </c>
    </row>
    <row r="3104" customFormat="false" ht="15" hidden="false" customHeight="false" outlineLevel="0" collapsed="false">
      <c r="I3104" s="15" t="str">
        <f aca="false">IF(A3104="","",INT(A3104))</f>
        <v/>
      </c>
      <c r="J3104" s="16" t="str">
        <f aca="false">IF(B3104="","",IF(A3104=_xlfn.MINIFS($A$2:$A$5001,$B$2:$B$5001,B3104),1,0))</f>
        <v/>
      </c>
      <c r="K3104" s="16" t="str">
        <f aca="false">IF(B3104="","",IF(AND(D3104="Formalização",E3104="Concluído"),IF(COUNTIFS($B$2:$B$5001,B3104,$E$2:$E$5001,"Em ajustes",$A$2:$A$5001,"&lt;"&amp;I3104)&gt;0,1,0),0))</f>
        <v/>
      </c>
      <c r="L3104" s="16" t="str">
        <f aca="false">IF(B3104="","",IF(A3104=_xlfn.MAXIFS($A$2:$A$5001,$B$2:$B$5001,B3104,$I$2:$I$5001,I3104),1,0))</f>
        <v/>
      </c>
    </row>
    <row r="3105" customFormat="false" ht="15" hidden="false" customHeight="false" outlineLevel="0" collapsed="false">
      <c r="I3105" s="15" t="str">
        <f aca="false">IF(A3105="","",INT(A3105))</f>
        <v/>
      </c>
      <c r="J3105" s="16" t="str">
        <f aca="false">IF(B3105="","",IF(A3105=_xlfn.MINIFS($A$2:$A$5001,$B$2:$B$5001,B3105),1,0))</f>
        <v/>
      </c>
      <c r="K3105" s="16" t="str">
        <f aca="false">IF(B3105="","",IF(AND(D3105="Formalização",E3105="Concluído"),IF(COUNTIFS($B$2:$B$5001,B3105,$E$2:$E$5001,"Em ajustes",$A$2:$A$5001,"&lt;"&amp;I3105)&gt;0,1,0),0))</f>
        <v/>
      </c>
      <c r="L3105" s="16" t="str">
        <f aca="false">IF(B3105="","",IF(A3105=_xlfn.MAXIFS($A$2:$A$5001,$B$2:$B$5001,B3105,$I$2:$I$5001,I3105),1,0))</f>
        <v/>
      </c>
    </row>
    <row r="3106" customFormat="false" ht="15" hidden="false" customHeight="false" outlineLevel="0" collapsed="false">
      <c r="I3106" s="15" t="str">
        <f aca="false">IF(A3106="","",INT(A3106))</f>
        <v/>
      </c>
      <c r="J3106" s="16" t="str">
        <f aca="false">IF(B3106="","",IF(A3106=_xlfn.MINIFS($A$2:$A$5001,$B$2:$B$5001,B3106),1,0))</f>
        <v/>
      </c>
      <c r="K3106" s="16" t="str">
        <f aca="false">IF(B3106="","",IF(AND(D3106="Formalização",E3106="Concluído"),IF(COUNTIFS($B$2:$B$5001,B3106,$E$2:$E$5001,"Em ajustes",$A$2:$A$5001,"&lt;"&amp;I3106)&gt;0,1,0),0))</f>
        <v/>
      </c>
      <c r="L3106" s="16" t="str">
        <f aca="false">IF(B3106="","",IF(A3106=_xlfn.MAXIFS($A$2:$A$5001,$B$2:$B$5001,B3106,$I$2:$I$5001,I3106),1,0))</f>
        <v/>
      </c>
    </row>
    <row r="3107" customFormat="false" ht="15" hidden="false" customHeight="false" outlineLevel="0" collapsed="false">
      <c r="I3107" s="15" t="str">
        <f aca="false">IF(A3107="","",INT(A3107))</f>
        <v/>
      </c>
      <c r="J3107" s="16" t="str">
        <f aca="false">IF(B3107="","",IF(A3107=_xlfn.MINIFS($A$2:$A$5001,$B$2:$B$5001,B3107),1,0))</f>
        <v/>
      </c>
      <c r="K3107" s="16" t="str">
        <f aca="false">IF(B3107="","",IF(AND(D3107="Formalização",E3107="Concluído"),IF(COUNTIFS($B$2:$B$5001,B3107,$E$2:$E$5001,"Em ajustes",$A$2:$A$5001,"&lt;"&amp;I3107)&gt;0,1,0),0))</f>
        <v/>
      </c>
      <c r="L3107" s="16" t="str">
        <f aca="false">IF(B3107="","",IF(A3107=_xlfn.MAXIFS($A$2:$A$5001,$B$2:$B$5001,B3107,$I$2:$I$5001,I3107),1,0))</f>
        <v/>
      </c>
    </row>
    <row r="3108" customFormat="false" ht="15" hidden="false" customHeight="false" outlineLevel="0" collapsed="false">
      <c r="I3108" s="15" t="str">
        <f aca="false">IF(A3108="","",INT(A3108))</f>
        <v/>
      </c>
      <c r="J3108" s="16" t="str">
        <f aca="false">IF(B3108="","",IF(A3108=_xlfn.MINIFS($A$2:$A$5001,$B$2:$B$5001,B3108),1,0))</f>
        <v/>
      </c>
      <c r="K3108" s="16" t="str">
        <f aca="false">IF(B3108="","",IF(AND(D3108="Formalização",E3108="Concluído"),IF(COUNTIFS($B$2:$B$5001,B3108,$E$2:$E$5001,"Em ajustes",$A$2:$A$5001,"&lt;"&amp;I3108)&gt;0,1,0),0))</f>
        <v/>
      </c>
      <c r="L3108" s="16" t="str">
        <f aca="false">IF(B3108="","",IF(A3108=_xlfn.MAXIFS($A$2:$A$5001,$B$2:$B$5001,B3108,$I$2:$I$5001,I3108),1,0))</f>
        <v/>
      </c>
    </row>
    <row r="3109" customFormat="false" ht="15" hidden="false" customHeight="false" outlineLevel="0" collapsed="false">
      <c r="I3109" s="15" t="str">
        <f aca="false">IF(A3109="","",INT(A3109))</f>
        <v/>
      </c>
      <c r="J3109" s="16" t="str">
        <f aca="false">IF(B3109="","",IF(A3109=_xlfn.MINIFS($A$2:$A$5001,$B$2:$B$5001,B3109),1,0))</f>
        <v/>
      </c>
      <c r="K3109" s="16" t="str">
        <f aca="false">IF(B3109="","",IF(AND(D3109="Formalização",E3109="Concluído"),IF(COUNTIFS($B$2:$B$5001,B3109,$E$2:$E$5001,"Em ajustes",$A$2:$A$5001,"&lt;"&amp;I3109)&gt;0,1,0),0))</f>
        <v/>
      </c>
      <c r="L3109" s="16" t="str">
        <f aca="false">IF(B3109="","",IF(A3109=_xlfn.MAXIFS($A$2:$A$5001,$B$2:$B$5001,B3109,$I$2:$I$5001,I3109),1,0))</f>
        <v/>
      </c>
    </row>
    <row r="3110" customFormat="false" ht="15" hidden="false" customHeight="false" outlineLevel="0" collapsed="false">
      <c r="I3110" s="15" t="str">
        <f aca="false">IF(A3110="","",INT(A3110))</f>
        <v/>
      </c>
      <c r="J3110" s="16" t="str">
        <f aca="false">IF(B3110="","",IF(A3110=_xlfn.MINIFS($A$2:$A$5001,$B$2:$B$5001,B3110),1,0))</f>
        <v/>
      </c>
      <c r="K3110" s="16" t="str">
        <f aca="false">IF(B3110="","",IF(AND(D3110="Formalização",E3110="Concluído"),IF(COUNTIFS($B$2:$B$5001,B3110,$E$2:$E$5001,"Em ajustes",$A$2:$A$5001,"&lt;"&amp;I3110)&gt;0,1,0),0))</f>
        <v/>
      </c>
      <c r="L3110" s="16" t="str">
        <f aca="false">IF(B3110="","",IF(A3110=_xlfn.MAXIFS($A$2:$A$5001,$B$2:$B$5001,B3110,$I$2:$I$5001,I3110),1,0))</f>
        <v/>
      </c>
    </row>
    <row r="3111" customFormat="false" ht="15" hidden="false" customHeight="false" outlineLevel="0" collapsed="false">
      <c r="I3111" s="15" t="str">
        <f aca="false">IF(A3111="","",INT(A3111))</f>
        <v/>
      </c>
      <c r="J3111" s="16" t="str">
        <f aca="false">IF(B3111="","",IF(A3111=_xlfn.MINIFS($A$2:$A$5001,$B$2:$B$5001,B3111),1,0))</f>
        <v/>
      </c>
      <c r="K3111" s="16" t="str">
        <f aca="false">IF(B3111="","",IF(AND(D3111="Formalização",E3111="Concluído"),IF(COUNTIFS($B$2:$B$5001,B3111,$E$2:$E$5001,"Em ajustes",$A$2:$A$5001,"&lt;"&amp;I3111)&gt;0,1,0),0))</f>
        <v/>
      </c>
      <c r="L3111" s="16" t="str">
        <f aca="false">IF(B3111="","",IF(A3111=_xlfn.MAXIFS($A$2:$A$5001,$B$2:$B$5001,B3111,$I$2:$I$5001,I3111),1,0))</f>
        <v/>
      </c>
    </row>
    <row r="3112" customFormat="false" ht="15" hidden="false" customHeight="false" outlineLevel="0" collapsed="false">
      <c r="I3112" s="15" t="str">
        <f aca="false">IF(A3112="","",INT(A3112))</f>
        <v/>
      </c>
      <c r="J3112" s="16" t="str">
        <f aca="false">IF(B3112="","",IF(A3112=_xlfn.MINIFS($A$2:$A$5001,$B$2:$B$5001,B3112),1,0))</f>
        <v/>
      </c>
      <c r="K3112" s="16" t="str">
        <f aca="false">IF(B3112="","",IF(AND(D3112="Formalização",E3112="Concluído"),IF(COUNTIFS($B$2:$B$5001,B3112,$E$2:$E$5001,"Em ajustes",$A$2:$A$5001,"&lt;"&amp;I3112)&gt;0,1,0),0))</f>
        <v/>
      </c>
      <c r="L3112" s="16" t="str">
        <f aca="false">IF(B3112="","",IF(A3112=_xlfn.MAXIFS($A$2:$A$5001,$B$2:$B$5001,B3112,$I$2:$I$5001,I3112),1,0))</f>
        <v/>
      </c>
    </row>
    <row r="3113" customFormat="false" ht="15" hidden="false" customHeight="false" outlineLevel="0" collapsed="false">
      <c r="I3113" s="15" t="str">
        <f aca="false">IF(A3113="","",INT(A3113))</f>
        <v/>
      </c>
      <c r="J3113" s="16" t="str">
        <f aca="false">IF(B3113="","",IF(A3113=_xlfn.MINIFS($A$2:$A$5001,$B$2:$B$5001,B3113),1,0))</f>
        <v/>
      </c>
      <c r="K3113" s="16" t="str">
        <f aca="false">IF(B3113="","",IF(AND(D3113="Formalização",E3113="Concluído"),IF(COUNTIFS($B$2:$B$5001,B3113,$E$2:$E$5001,"Em ajustes",$A$2:$A$5001,"&lt;"&amp;I3113)&gt;0,1,0),0))</f>
        <v/>
      </c>
      <c r="L3113" s="16" t="str">
        <f aca="false">IF(B3113="","",IF(A3113=_xlfn.MAXIFS($A$2:$A$5001,$B$2:$B$5001,B3113,$I$2:$I$5001,I3113),1,0))</f>
        <v/>
      </c>
    </row>
    <row r="3114" customFormat="false" ht="15" hidden="false" customHeight="false" outlineLevel="0" collapsed="false">
      <c r="I3114" s="15" t="str">
        <f aca="false">IF(A3114="","",INT(A3114))</f>
        <v/>
      </c>
      <c r="J3114" s="16" t="str">
        <f aca="false">IF(B3114="","",IF(A3114=_xlfn.MINIFS($A$2:$A$5001,$B$2:$B$5001,B3114),1,0))</f>
        <v/>
      </c>
      <c r="K3114" s="16" t="str">
        <f aca="false">IF(B3114="","",IF(AND(D3114="Formalização",E3114="Concluído"),IF(COUNTIFS($B$2:$B$5001,B3114,$E$2:$E$5001,"Em ajustes",$A$2:$A$5001,"&lt;"&amp;I3114)&gt;0,1,0),0))</f>
        <v/>
      </c>
      <c r="L3114" s="16" t="str">
        <f aca="false">IF(B3114="","",IF(A3114=_xlfn.MAXIFS($A$2:$A$5001,$B$2:$B$5001,B3114,$I$2:$I$5001,I3114),1,0))</f>
        <v/>
      </c>
    </row>
    <row r="3115" customFormat="false" ht="15" hidden="false" customHeight="false" outlineLevel="0" collapsed="false">
      <c r="I3115" s="15" t="str">
        <f aca="false">IF(A3115="","",INT(A3115))</f>
        <v/>
      </c>
      <c r="J3115" s="16" t="str">
        <f aca="false">IF(B3115="","",IF(A3115=_xlfn.MINIFS($A$2:$A$5001,$B$2:$B$5001,B3115),1,0))</f>
        <v/>
      </c>
      <c r="K3115" s="16" t="str">
        <f aca="false">IF(B3115="","",IF(AND(D3115="Formalização",E3115="Concluído"),IF(COUNTIFS($B$2:$B$5001,B3115,$E$2:$E$5001,"Em ajustes",$A$2:$A$5001,"&lt;"&amp;I3115)&gt;0,1,0),0))</f>
        <v/>
      </c>
      <c r="L3115" s="16" t="str">
        <f aca="false">IF(B3115="","",IF(A3115=_xlfn.MAXIFS($A$2:$A$5001,$B$2:$B$5001,B3115,$I$2:$I$5001,I3115),1,0))</f>
        <v/>
      </c>
    </row>
    <row r="3116" customFormat="false" ht="15" hidden="false" customHeight="false" outlineLevel="0" collapsed="false">
      <c r="I3116" s="15" t="str">
        <f aca="false">IF(A3116="","",INT(A3116))</f>
        <v/>
      </c>
      <c r="J3116" s="16" t="str">
        <f aca="false">IF(B3116="","",IF(A3116=_xlfn.MINIFS($A$2:$A$5001,$B$2:$B$5001,B3116),1,0))</f>
        <v/>
      </c>
      <c r="K3116" s="16" t="str">
        <f aca="false">IF(B3116="","",IF(AND(D3116="Formalização",E3116="Concluído"),IF(COUNTIFS($B$2:$B$5001,B3116,$E$2:$E$5001,"Em ajustes",$A$2:$A$5001,"&lt;"&amp;I3116)&gt;0,1,0),0))</f>
        <v/>
      </c>
      <c r="L3116" s="16" t="str">
        <f aca="false">IF(B3116="","",IF(A3116=_xlfn.MAXIFS($A$2:$A$5001,$B$2:$B$5001,B3116,$I$2:$I$5001,I3116),1,0))</f>
        <v/>
      </c>
    </row>
    <row r="3117" customFormat="false" ht="15" hidden="false" customHeight="false" outlineLevel="0" collapsed="false">
      <c r="I3117" s="15" t="str">
        <f aca="false">IF(A3117="","",INT(A3117))</f>
        <v/>
      </c>
      <c r="J3117" s="16" t="str">
        <f aca="false">IF(B3117="","",IF(A3117=_xlfn.MINIFS($A$2:$A$5001,$B$2:$B$5001,B3117),1,0))</f>
        <v/>
      </c>
      <c r="K3117" s="16" t="str">
        <f aca="false">IF(B3117="","",IF(AND(D3117="Formalização",E3117="Concluído"),IF(COUNTIFS($B$2:$B$5001,B3117,$E$2:$E$5001,"Em ajustes",$A$2:$A$5001,"&lt;"&amp;I3117)&gt;0,1,0),0))</f>
        <v/>
      </c>
      <c r="L3117" s="16" t="str">
        <f aca="false">IF(B3117="","",IF(A3117=_xlfn.MAXIFS($A$2:$A$5001,$B$2:$B$5001,B3117,$I$2:$I$5001,I3117),1,0))</f>
        <v/>
      </c>
    </row>
    <row r="3118" customFormat="false" ht="15" hidden="false" customHeight="false" outlineLevel="0" collapsed="false">
      <c r="I3118" s="15" t="str">
        <f aca="false">IF(A3118="","",INT(A3118))</f>
        <v/>
      </c>
      <c r="J3118" s="16" t="str">
        <f aca="false">IF(B3118="","",IF(A3118=_xlfn.MINIFS($A$2:$A$5001,$B$2:$B$5001,B3118),1,0))</f>
        <v/>
      </c>
      <c r="K3118" s="16" t="str">
        <f aca="false">IF(B3118="","",IF(AND(D3118="Formalização",E3118="Concluído"),IF(COUNTIFS($B$2:$B$5001,B3118,$E$2:$E$5001,"Em ajustes",$A$2:$A$5001,"&lt;"&amp;I3118)&gt;0,1,0),0))</f>
        <v/>
      </c>
      <c r="L3118" s="16" t="str">
        <f aca="false">IF(B3118="","",IF(A3118=_xlfn.MAXIFS($A$2:$A$5001,$B$2:$B$5001,B3118,$I$2:$I$5001,I3118),1,0))</f>
        <v/>
      </c>
    </row>
    <row r="3119" customFormat="false" ht="15" hidden="false" customHeight="false" outlineLevel="0" collapsed="false">
      <c r="I3119" s="15" t="str">
        <f aca="false">IF(A3119="","",INT(A3119))</f>
        <v/>
      </c>
      <c r="J3119" s="16" t="str">
        <f aca="false">IF(B3119="","",IF(A3119=_xlfn.MINIFS($A$2:$A$5001,$B$2:$B$5001,B3119),1,0))</f>
        <v/>
      </c>
      <c r="K3119" s="16" t="str">
        <f aca="false">IF(B3119="","",IF(AND(D3119="Formalização",E3119="Concluído"),IF(COUNTIFS($B$2:$B$5001,B3119,$E$2:$E$5001,"Em ajustes",$A$2:$A$5001,"&lt;"&amp;I3119)&gt;0,1,0),0))</f>
        <v/>
      </c>
      <c r="L3119" s="16" t="str">
        <f aca="false">IF(B3119="","",IF(A3119=_xlfn.MAXIFS($A$2:$A$5001,$B$2:$B$5001,B3119,$I$2:$I$5001,I3119),1,0))</f>
        <v/>
      </c>
    </row>
    <row r="3120" customFormat="false" ht="15" hidden="false" customHeight="false" outlineLevel="0" collapsed="false">
      <c r="I3120" s="15" t="str">
        <f aca="false">IF(A3120="","",INT(A3120))</f>
        <v/>
      </c>
      <c r="J3120" s="16" t="str">
        <f aca="false">IF(B3120="","",IF(A3120=_xlfn.MINIFS($A$2:$A$5001,$B$2:$B$5001,B3120),1,0))</f>
        <v/>
      </c>
      <c r="K3120" s="16" t="str">
        <f aca="false">IF(B3120="","",IF(AND(D3120="Formalização",E3120="Concluído"),IF(COUNTIFS($B$2:$B$5001,B3120,$E$2:$E$5001,"Em ajustes",$A$2:$A$5001,"&lt;"&amp;I3120)&gt;0,1,0),0))</f>
        <v/>
      </c>
      <c r="L3120" s="16" t="str">
        <f aca="false">IF(B3120="","",IF(A3120=_xlfn.MAXIFS($A$2:$A$5001,$B$2:$B$5001,B3120,$I$2:$I$5001,I3120),1,0))</f>
        <v/>
      </c>
    </row>
    <row r="3121" customFormat="false" ht="15" hidden="false" customHeight="false" outlineLevel="0" collapsed="false">
      <c r="I3121" s="15" t="str">
        <f aca="false">IF(A3121="","",INT(A3121))</f>
        <v/>
      </c>
      <c r="J3121" s="16" t="str">
        <f aca="false">IF(B3121="","",IF(A3121=_xlfn.MINIFS($A$2:$A$5001,$B$2:$B$5001,B3121),1,0))</f>
        <v/>
      </c>
      <c r="K3121" s="16" t="str">
        <f aca="false">IF(B3121="","",IF(AND(D3121="Formalização",E3121="Concluído"),IF(COUNTIFS($B$2:$B$5001,B3121,$E$2:$E$5001,"Em ajustes",$A$2:$A$5001,"&lt;"&amp;I3121)&gt;0,1,0),0))</f>
        <v/>
      </c>
      <c r="L3121" s="16" t="str">
        <f aca="false">IF(B3121="","",IF(A3121=_xlfn.MAXIFS($A$2:$A$5001,$B$2:$B$5001,B3121,$I$2:$I$5001,I3121),1,0))</f>
        <v/>
      </c>
    </row>
    <row r="3122" customFormat="false" ht="15" hidden="false" customHeight="false" outlineLevel="0" collapsed="false">
      <c r="I3122" s="15" t="str">
        <f aca="false">IF(A3122="","",INT(A3122))</f>
        <v/>
      </c>
      <c r="J3122" s="16" t="str">
        <f aca="false">IF(B3122="","",IF(A3122=_xlfn.MINIFS($A$2:$A$5001,$B$2:$B$5001,B3122),1,0))</f>
        <v/>
      </c>
      <c r="K3122" s="16" t="str">
        <f aca="false">IF(B3122="","",IF(AND(D3122="Formalização",E3122="Concluído"),IF(COUNTIFS($B$2:$B$5001,B3122,$E$2:$E$5001,"Em ajustes",$A$2:$A$5001,"&lt;"&amp;I3122)&gt;0,1,0),0))</f>
        <v/>
      </c>
      <c r="L3122" s="16" t="str">
        <f aca="false">IF(B3122="","",IF(A3122=_xlfn.MAXIFS($A$2:$A$5001,$B$2:$B$5001,B3122,$I$2:$I$5001,I3122),1,0))</f>
        <v/>
      </c>
    </row>
    <row r="3123" customFormat="false" ht="15" hidden="false" customHeight="false" outlineLevel="0" collapsed="false">
      <c r="I3123" s="15" t="str">
        <f aca="false">IF(A3123="","",INT(A3123))</f>
        <v/>
      </c>
      <c r="J3123" s="16" t="str">
        <f aca="false">IF(B3123="","",IF(A3123=_xlfn.MINIFS($A$2:$A$5001,$B$2:$B$5001,B3123),1,0))</f>
        <v/>
      </c>
      <c r="K3123" s="16" t="str">
        <f aca="false">IF(B3123="","",IF(AND(D3123="Formalização",E3123="Concluído"),IF(COUNTIFS($B$2:$B$5001,B3123,$E$2:$E$5001,"Em ajustes",$A$2:$A$5001,"&lt;"&amp;I3123)&gt;0,1,0),0))</f>
        <v/>
      </c>
      <c r="L3123" s="16" t="str">
        <f aca="false">IF(B3123="","",IF(A3123=_xlfn.MAXIFS($A$2:$A$5001,$B$2:$B$5001,B3123,$I$2:$I$5001,I3123),1,0))</f>
        <v/>
      </c>
    </row>
    <row r="3124" customFormat="false" ht="15" hidden="false" customHeight="false" outlineLevel="0" collapsed="false">
      <c r="I3124" s="15" t="str">
        <f aca="false">IF(A3124="","",INT(A3124))</f>
        <v/>
      </c>
      <c r="J3124" s="16" t="str">
        <f aca="false">IF(B3124="","",IF(A3124=_xlfn.MINIFS($A$2:$A$5001,$B$2:$B$5001,B3124),1,0))</f>
        <v/>
      </c>
      <c r="K3124" s="16" t="str">
        <f aca="false">IF(B3124="","",IF(AND(D3124="Formalização",E3124="Concluído"),IF(COUNTIFS($B$2:$B$5001,B3124,$E$2:$E$5001,"Em ajustes",$A$2:$A$5001,"&lt;"&amp;I3124)&gt;0,1,0),0))</f>
        <v/>
      </c>
      <c r="L3124" s="16" t="str">
        <f aca="false">IF(B3124="","",IF(A3124=_xlfn.MAXIFS($A$2:$A$5001,$B$2:$B$5001,B3124,$I$2:$I$5001,I3124),1,0))</f>
        <v/>
      </c>
    </row>
    <row r="3125" customFormat="false" ht="15" hidden="false" customHeight="false" outlineLevel="0" collapsed="false">
      <c r="I3125" s="15" t="str">
        <f aca="false">IF(A3125="","",INT(A3125))</f>
        <v/>
      </c>
      <c r="J3125" s="16" t="str">
        <f aca="false">IF(B3125="","",IF(A3125=_xlfn.MINIFS($A$2:$A$5001,$B$2:$B$5001,B3125),1,0))</f>
        <v/>
      </c>
      <c r="K3125" s="16" t="str">
        <f aca="false">IF(B3125="","",IF(AND(D3125="Formalização",E3125="Concluído"),IF(COUNTIFS($B$2:$B$5001,B3125,$E$2:$E$5001,"Em ajustes",$A$2:$A$5001,"&lt;"&amp;I3125)&gt;0,1,0),0))</f>
        <v/>
      </c>
      <c r="L3125" s="16" t="str">
        <f aca="false">IF(B3125="","",IF(A3125=_xlfn.MAXIFS($A$2:$A$5001,$B$2:$B$5001,B3125,$I$2:$I$5001,I3125),1,0))</f>
        <v/>
      </c>
    </row>
    <row r="3126" customFormat="false" ht="15" hidden="false" customHeight="false" outlineLevel="0" collapsed="false">
      <c r="I3126" s="15" t="str">
        <f aca="false">IF(A3126="","",INT(A3126))</f>
        <v/>
      </c>
      <c r="J3126" s="16" t="str">
        <f aca="false">IF(B3126="","",IF(A3126=_xlfn.MINIFS($A$2:$A$5001,$B$2:$B$5001,B3126),1,0))</f>
        <v/>
      </c>
      <c r="K3126" s="16" t="str">
        <f aca="false">IF(B3126="","",IF(AND(D3126="Formalização",E3126="Concluído"),IF(COUNTIFS($B$2:$B$5001,B3126,$E$2:$E$5001,"Em ajustes",$A$2:$A$5001,"&lt;"&amp;I3126)&gt;0,1,0),0))</f>
        <v/>
      </c>
      <c r="L3126" s="16" t="str">
        <f aca="false">IF(B3126="","",IF(A3126=_xlfn.MAXIFS($A$2:$A$5001,$B$2:$B$5001,B3126,$I$2:$I$5001,I3126),1,0))</f>
        <v/>
      </c>
    </row>
    <row r="3127" customFormat="false" ht="15" hidden="false" customHeight="false" outlineLevel="0" collapsed="false">
      <c r="I3127" s="15" t="str">
        <f aca="false">IF(A3127="","",INT(A3127))</f>
        <v/>
      </c>
      <c r="J3127" s="16" t="str">
        <f aca="false">IF(B3127="","",IF(A3127=_xlfn.MINIFS($A$2:$A$5001,$B$2:$B$5001,B3127),1,0))</f>
        <v/>
      </c>
      <c r="K3127" s="16" t="str">
        <f aca="false">IF(B3127="","",IF(AND(D3127="Formalização",E3127="Concluído"),IF(COUNTIFS($B$2:$B$5001,B3127,$E$2:$E$5001,"Em ajustes",$A$2:$A$5001,"&lt;"&amp;I3127)&gt;0,1,0),0))</f>
        <v/>
      </c>
      <c r="L3127" s="16" t="str">
        <f aca="false">IF(B3127="","",IF(A3127=_xlfn.MAXIFS($A$2:$A$5001,$B$2:$B$5001,B3127,$I$2:$I$5001,I3127),1,0))</f>
        <v/>
      </c>
    </row>
    <row r="3128" customFormat="false" ht="15" hidden="false" customHeight="false" outlineLevel="0" collapsed="false">
      <c r="I3128" s="15" t="str">
        <f aca="false">IF(A3128="","",INT(A3128))</f>
        <v/>
      </c>
      <c r="J3128" s="16" t="str">
        <f aca="false">IF(B3128="","",IF(A3128=_xlfn.MINIFS($A$2:$A$5001,$B$2:$B$5001,B3128),1,0))</f>
        <v/>
      </c>
      <c r="K3128" s="16" t="str">
        <f aca="false">IF(B3128="","",IF(AND(D3128="Formalização",E3128="Concluído"),IF(COUNTIFS($B$2:$B$5001,B3128,$E$2:$E$5001,"Em ajustes",$A$2:$A$5001,"&lt;"&amp;I3128)&gt;0,1,0),0))</f>
        <v/>
      </c>
      <c r="L3128" s="16" t="str">
        <f aca="false">IF(B3128="","",IF(A3128=_xlfn.MAXIFS($A$2:$A$5001,$B$2:$B$5001,B3128,$I$2:$I$5001,I3128),1,0))</f>
        <v/>
      </c>
    </row>
    <row r="3129" customFormat="false" ht="15" hidden="false" customHeight="false" outlineLevel="0" collapsed="false">
      <c r="I3129" s="15" t="str">
        <f aca="false">IF(A3129="","",INT(A3129))</f>
        <v/>
      </c>
      <c r="J3129" s="16" t="str">
        <f aca="false">IF(B3129="","",IF(A3129=_xlfn.MINIFS($A$2:$A$5001,$B$2:$B$5001,B3129),1,0))</f>
        <v/>
      </c>
      <c r="K3129" s="16" t="str">
        <f aca="false">IF(B3129="","",IF(AND(D3129="Formalização",E3129="Concluído"),IF(COUNTIFS($B$2:$B$5001,B3129,$E$2:$E$5001,"Em ajustes",$A$2:$A$5001,"&lt;"&amp;I3129)&gt;0,1,0),0))</f>
        <v/>
      </c>
      <c r="L3129" s="16" t="str">
        <f aca="false">IF(B3129="","",IF(A3129=_xlfn.MAXIFS($A$2:$A$5001,$B$2:$B$5001,B3129,$I$2:$I$5001,I3129),1,0))</f>
        <v/>
      </c>
    </row>
    <row r="3130" customFormat="false" ht="15" hidden="false" customHeight="false" outlineLevel="0" collapsed="false">
      <c r="I3130" s="15" t="str">
        <f aca="false">IF(A3130="","",INT(A3130))</f>
        <v/>
      </c>
      <c r="J3130" s="16" t="str">
        <f aca="false">IF(B3130="","",IF(A3130=_xlfn.MINIFS($A$2:$A$5001,$B$2:$B$5001,B3130),1,0))</f>
        <v/>
      </c>
      <c r="K3130" s="16" t="str">
        <f aca="false">IF(B3130="","",IF(AND(D3130="Formalização",E3130="Concluído"),IF(COUNTIFS($B$2:$B$5001,B3130,$E$2:$E$5001,"Em ajustes",$A$2:$A$5001,"&lt;"&amp;I3130)&gt;0,1,0),0))</f>
        <v/>
      </c>
      <c r="L3130" s="16" t="str">
        <f aca="false">IF(B3130="","",IF(A3130=_xlfn.MAXIFS($A$2:$A$5001,$B$2:$B$5001,B3130,$I$2:$I$5001,I3130),1,0))</f>
        <v/>
      </c>
    </row>
    <row r="3131" customFormat="false" ht="15" hidden="false" customHeight="false" outlineLevel="0" collapsed="false">
      <c r="I3131" s="15" t="str">
        <f aca="false">IF(A3131="","",INT(A3131))</f>
        <v/>
      </c>
      <c r="J3131" s="16" t="str">
        <f aca="false">IF(B3131="","",IF(A3131=_xlfn.MINIFS($A$2:$A$5001,$B$2:$B$5001,B3131),1,0))</f>
        <v/>
      </c>
      <c r="K3131" s="16" t="str">
        <f aca="false">IF(B3131="","",IF(AND(D3131="Formalização",E3131="Concluído"),IF(COUNTIFS($B$2:$B$5001,B3131,$E$2:$E$5001,"Em ajustes",$A$2:$A$5001,"&lt;"&amp;I3131)&gt;0,1,0),0))</f>
        <v/>
      </c>
      <c r="L3131" s="16" t="str">
        <f aca="false">IF(B3131="","",IF(A3131=_xlfn.MAXIFS($A$2:$A$5001,$B$2:$B$5001,B3131,$I$2:$I$5001,I3131),1,0))</f>
        <v/>
      </c>
    </row>
    <row r="3132" customFormat="false" ht="15" hidden="false" customHeight="false" outlineLevel="0" collapsed="false">
      <c r="I3132" s="15" t="str">
        <f aca="false">IF(A3132="","",INT(A3132))</f>
        <v/>
      </c>
      <c r="J3132" s="16" t="str">
        <f aca="false">IF(B3132="","",IF(A3132=_xlfn.MINIFS($A$2:$A$5001,$B$2:$B$5001,B3132),1,0))</f>
        <v/>
      </c>
      <c r="K3132" s="16" t="str">
        <f aca="false">IF(B3132="","",IF(AND(D3132="Formalização",E3132="Concluído"),IF(COUNTIFS($B$2:$B$5001,B3132,$E$2:$E$5001,"Em ajustes",$A$2:$A$5001,"&lt;"&amp;I3132)&gt;0,1,0),0))</f>
        <v/>
      </c>
      <c r="L3132" s="16" t="str">
        <f aca="false">IF(B3132="","",IF(A3132=_xlfn.MAXIFS($A$2:$A$5001,$B$2:$B$5001,B3132,$I$2:$I$5001,I3132),1,0))</f>
        <v/>
      </c>
    </row>
    <row r="3133" customFormat="false" ht="15" hidden="false" customHeight="false" outlineLevel="0" collapsed="false">
      <c r="I3133" s="15" t="str">
        <f aca="false">IF(A3133="","",INT(A3133))</f>
        <v/>
      </c>
      <c r="J3133" s="16" t="str">
        <f aca="false">IF(B3133="","",IF(A3133=_xlfn.MINIFS($A$2:$A$5001,$B$2:$B$5001,B3133),1,0))</f>
        <v/>
      </c>
      <c r="K3133" s="16" t="str">
        <f aca="false">IF(B3133="","",IF(AND(D3133="Formalização",E3133="Concluído"),IF(COUNTIFS($B$2:$B$5001,B3133,$E$2:$E$5001,"Em ajustes",$A$2:$A$5001,"&lt;"&amp;I3133)&gt;0,1,0),0))</f>
        <v/>
      </c>
      <c r="L3133" s="16" t="str">
        <f aca="false">IF(B3133="","",IF(A3133=_xlfn.MAXIFS($A$2:$A$5001,$B$2:$B$5001,B3133,$I$2:$I$5001,I3133),1,0))</f>
        <v/>
      </c>
    </row>
    <row r="3134" customFormat="false" ht="15" hidden="false" customHeight="false" outlineLevel="0" collapsed="false">
      <c r="I3134" s="15" t="str">
        <f aca="false">IF(A3134="","",INT(A3134))</f>
        <v/>
      </c>
      <c r="J3134" s="16" t="str">
        <f aca="false">IF(B3134="","",IF(A3134=_xlfn.MINIFS($A$2:$A$5001,$B$2:$B$5001,B3134),1,0))</f>
        <v/>
      </c>
      <c r="K3134" s="16" t="str">
        <f aca="false">IF(B3134="","",IF(AND(D3134="Formalização",E3134="Concluído"),IF(COUNTIFS($B$2:$B$5001,B3134,$E$2:$E$5001,"Em ajustes",$A$2:$A$5001,"&lt;"&amp;I3134)&gt;0,1,0),0))</f>
        <v/>
      </c>
      <c r="L3134" s="16" t="str">
        <f aca="false">IF(B3134="","",IF(A3134=_xlfn.MAXIFS($A$2:$A$5001,$B$2:$B$5001,B3134,$I$2:$I$5001,I3134),1,0))</f>
        <v/>
      </c>
    </row>
    <row r="3135" customFormat="false" ht="15" hidden="false" customHeight="false" outlineLevel="0" collapsed="false">
      <c r="I3135" s="15" t="str">
        <f aca="false">IF(A3135="","",INT(A3135))</f>
        <v/>
      </c>
      <c r="J3135" s="16" t="str">
        <f aca="false">IF(B3135="","",IF(A3135=_xlfn.MINIFS($A$2:$A$5001,$B$2:$B$5001,B3135),1,0))</f>
        <v/>
      </c>
      <c r="K3135" s="16" t="str">
        <f aca="false">IF(B3135="","",IF(AND(D3135="Formalização",E3135="Concluído"),IF(COUNTIFS($B$2:$B$5001,B3135,$E$2:$E$5001,"Em ajustes",$A$2:$A$5001,"&lt;"&amp;I3135)&gt;0,1,0),0))</f>
        <v/>
      </c>
      <c r="L3135" s="16" t="str">
        <f aca="false">IF(B3135="","",IF(A3135=_xlfn.MAXIFS($A$2:$A$5001,$B$2:$B$5001,B3135,$I$2:$I$5001,I3135),1,0))</f>
        <v/>
      </c>
    </row>
    <row r="3136" customFormat="false" ht="15" hidden="false" customHeight="false" outlineLevel="0" collapsed="false">
      <c r="I3136" s="15" t="str">
        <f aca="false">IF(A3136="","",INT(A3136))</f>
        <v/>
      </c>
      <c r="J3136" s="16" t="str">
        <f aca="false">IF(B3136="","",IF(A3136=_xlfn.MINIFS($A$2:$A$5001,$B$2:$B$5001,B3136),1,0))</f>
        <v/>
      </c>
      <c r="K3136" s="16" t="str">
        <f aca="false">IF(B3136="","",IF(AND(D3136="Formalização",E3136="Concluído"),IF(COUNTIFS($B$2:$B$5001,B3136,$E$2:$E$5001,"Em ajustes",$A$2:$A$5001,"&lt;"&amp;I3136)&gt;0,1,0),0))</f>
        <v/>
      </c>
      <c r="L3136" s="16" t="str">
        <f aca="false">IF(B3136="","",IF(A3136=_xlfn.MAXIFS($A$2:$A$5001,$B$2:$B$5001,B3136,$I$2:$I$5001,I3136),1,0))</f>
        <v/>
      </c>
    </row>
    <row r="3137" customFormat="false" ht="15" hidden="false" customHeight="false" outlineLevel="0" collapsed="false">
      <c r="I3137" s="15" t="str">
        <f aca="false">IF(A3137="","",INT(A3137))</f>
        <v/>
      </c>
      <c r="J3137" s="16" t="str">
        <f aca="false">IF(B3137="","",IF(A3137=_xlfn.MINIFS($A$2:$A$5001,$B$2:$B$5001,B3137),1,0))</f>
        <v/>
      </c>
      <c r="K3137" s="16" t="str">
        <f aca="false">IF(B3137="","",IF(AND(D3137="Formalização",E3137="Concluído"),IF(COUNTIFS($B$2:$B$5001,B3137,$E$2:$E$5001,"Em ajustes",$A$2:$A$5001,"&lt;"&amp;I3137)&gt;0,1,0),0))</f>
        <v/>
      </c>
      <c r="L3137" s="16" t="str">
        <f aca="false">IF(B3137="","",IF(A3137=_xlfn.MAXIFS($A$2:$A$5001,$B$2:$B$5001,B3137,$I$2:$I$5001,I3137),1,0))</f>
        <v/>
      </c>
    </row>
    <row r="3138" customFormat="false" ht="15" hidden="false" customHeight="false" outlineLevel="0" collapsed="false">
      <c r="I3138" s="15" t="str">
        <f aca="false">IF(A3138="","",INT(A3138))</f>
        <v/>
      </c>
      <c r="J3138" s="16" t="str">
        <f aca="false">IF(B3138="","",IF(A3138=_xlfn.MINIFS($A$2:$A$5001,$B$2:$B$5001,B3138),1,0))</f>
        <v/>
      </c>
      <c r="K3138" s="16" t="str">
        <f aca="false">IF(B3138="","",IF(AND(D3138="Formalização",E3138="Concluído"),IF(COUNTIFS($B$2:$B$5001,B3138,$E$2:$E$5001,"Em ajustes",$A$2:$A$5001,"&lt;"&amp;I3138)&gt;0,1,0),0))</f>
        <v/>
      </c>
      <c r="L3138" s="16" t="str">
        <f aca="false">IF(B3138="","",IF(A3138=_xlfn.MAXIFS($A$2:$A$5001,$B$2:$B$5001,B3138,$I$2:$I$5001,I3138),1,0))</f>
        <v/>
      </c>
    </row>
    <row r="3139" customFormat="false" ht="15" hidden="false" customHeight="false" outlineLevel="0" collapsed="false">
      <c r="I3139" s="15" t="str">
        <f aca="false">IF(A3139="","",INT(A3139))</f>
        <v/>
      </c>
      <c r="J3139" s="16" t="str">
        <f aca="false">IF(B3139="","",IF(A3139=_xlfn.MINIFS($A$2:$A$5001,$B$2:$B$5001,B3139),1,0))</f>
        <v/>
      </c>
      <c r="K3139" s="16" t="str">
        <f aca="false">IF(B3139="","",IF(AND(D3139="Formalização",E3139="Concluído"),IF(COUNTIFS($B$2:$B$5001,B3139,$E$2:$E$5001,"Em ajustes",$A$2:$A$5001,"&lt;"&amp;I3139)&gt;0,1,0),0))</f>
        <v/>
      </c>
      <c r="L3139" s="16" t="str">
        <f aca="false">IF(B3139="","",IF(A3139=_xlfn.MAXIFS($A$2:$A$5001,$B$2:$B$5001,B3139,$I$2:$I$5001,I3139),1,0))</f>
        <v/>
      </c>
    </row>
    <row r="3140" customFormat="false" ht="15" hidden="false" customHeight="false" outlineLevel="0" collapsed="false">
      <c r="I3140" s="15" t="str">
        <f aca="false">IF(A3140="","",INT(A3140))</f>
        <v/>
      </c>
      <c r="J3140" s="16" t="str">
        <f aca="false">IF(B3140="","",IF(A3140=_xlfn.MINIFS($A$2:$A$5001,$B$2:$B$5001,B3140),1,0))</f>
        <v/>
      </c>
      <c r="K3140" s="16" t="str">
        <f aca="false">IF(B3140="","",IF(AND(D3140="Formalização",E3140="Concluído"),IF(COUNTIFS($B$2:$B$5001,B3140,$E$2:$E$5001,"Em ajustes",$A$2:$A$5001,"&lt;"&amp;I3140)&gt;0,1,0),0))</f>
        <v/>
      </c>
      <c r="L3140" s="16" t="str">
        <f aca="false">IF(B3140="","",IF(A3140=_xlfn.MAXIFS($A$2:$A$5001,$B$2:$B$5001,B3140,$I$2:$I$5001,I3140),1,0))</f>
        <v/>
      </c>
    </row>
    <row r="3141" customFormat="false" ht="15" hidden="false" customHeight="false" outlineLevel="0" collapsed="false">
      <c r="I3141" s="15" t="str">
        <f aca="false">IF(A3141="","",INT(A3141))</f>
        <v/>
      </c>
      <c r="J3141" s="16" t="str">
        <f aca="false">IF(B3141="","",IF(A3141=_xlfn.MINIFS($A$2:$A$5001,$B$2:$B$5001,B3141),1,0))</f>
        <v/>
      </c>
      <c r="K3141" s="16" t="str">
        <f aca="false">IF(B3141="","",IF(AND(D3141="Formalização",E3141="Concluído"),IF(COUNTIFS($B$2:$B$5001,B3141,$E$2:$E$5001,"Em ajustes",$A$2:$A$5001,"&lt;"&amp;I3141)&gt;0,1,0),0))</f>
        <v/>
      </c>
      <c r="L3141" s="16" t="str">
        <f aca="false">IF(B3141="","",IF(A3141=_xlfn.MAXIFS($A$2:$A$5001,$B$2:$B$5001,B3141,$I$2:$I$5001,I3141),1,0))</f>
        <v/>
      </c>
    </row>
    <row r="3142" customFormat="false" ht="15" hidden="false" customHeight="false" outlineLevel="0" collapsed="false">
      <c r="I3142" s="15" t="str">
        <f aca="false">IF(A3142="","",INT(A3142))</f>
        <v/>
      </c>
      <c r="J3142" s="16" t="str">
        <f aca="false">IF(B3142="","",IF(A3142=_xlfn.MINIFS($A$2:$A$5001,$B$2:$B$5001,B3142),1,0))</f>
        <v/>
      </c>
      <c r="K3142" s="16" t="str">
        <f aca="false">IF(B3142="","",IF(AND(D3142="Formalização",E3142="Concluído"),IF(COUNTIFS($B$2:$B$5001,B3142,$E$2:$E$5001,"Em ajustes",$A$2:$A$5001,"&lt;"&amp;I3142)&gt;0,1,0),0))</f>
        <v/>
      </c>
      <c r="L3142" s="16" t="str">
        <f aca="false">IF(B3142="","",IF(A3142=_xlfn.MAXIFS($A$2:$A$5001,$B$2:$B$5001,B3142,$I$2:$I$5001,I3142),1,0))</f>
        <v/>
      </c>
    </row>
    <row r="3143" customFormat="false" ht="15" hidden="false" customHeight="false" outlineLevel="0" collapsed="false">
      <c r="I3143" s="15" t="str">
        <f aca="false">IF(A3143="","",INT(A3143))</f>
        <v/>
      </c>
      <c r="J3143" s="16" t="str">
        <f aca="false">IF(B3143="","",IF(A3143=_xlfn.MINIFS($A$2:$A$5001,$B$2:$B$5001,B3143),1,0))</f>
        <v/>
      </c>
      <c r="K3143" s="16" t="str">
        <f aca="false">IF(B3143="","",IF(AND(D3143="Formalização",E3143="Concluído"),IF(COUNTIFS($B$2:$B$5001,B3143,$E$2:$E$5001,"Em ajustes",$A$2:$A$5001,"&lt;"&amp;I3143)&gt;0,1,0),0))</f>
        <v/>
      </c>
      <c r="L3143" s="16" t="str">
        <f aca="false">IF(B3143="","",IF(A3143=_xlfn.MAXIFS($A$2:$A$5001,$B$2:$B$5001,B3143,$I$2:$I$5001,I3143),1,0))</f>
        <v/>
      </c>
    </row>
    <row r="3144" customFormat="false" ht="15" hidden="false" customHeight="false" outlineLevel="0" collapsed="false">
      <c r="I3144" s="15" t="str">
        <f aca="false">IF(A3144="","",INT(A3144))</f>
        <v/>
      </c>
      <c r="J3144" s="16" t="str">
        <f aca="false">IF(B3144="","",IF(A3144=_xlfn.MINIFS($A$2:$A$5001,$B$2:$B$5001,B3144),1,0))</f>
        <v/>
      </c>
      <c r="K3144" s="16" t="str">
        <f aca="false">IF(B3144="","",IF(AND(D3144="Formalização",E3144="Concluído"),IF(COUNTIFS($B$2:$B$5001,B3144,$E$2:$E$5001,"Em ajustes",$A$2:$A$5001,"&lt;"&amp;I3144)&gt;0,1,0),0))</f>
        <v/>
      </c>
      <c r="L3144" s="16" t="str">
        <f aca="false">IF(B3144="","",IF(A3144=_xlfn.MAXIFS($A$2:$A$5001,$B$2:$B$5001,B3144,$I$2:$I$5001,I3144),1,0))</f>
        <v/>
      </c>
    </row>
    <row r="3145" customFormat="false" ht="15" hidden="false" customHeight="false" outlineLevel="0" collapsed="false">
      <c r="I3145" s="15" t="str">
        <f aca="false">IF(A3145="","",INT(A3145))</f>
        <v/>
      </c>
      <c r="J3145" s="16" t="str">
        <f aca="false">IF(B3145="","",IF(A3145=_xlfn.MINIFS($A$2:$A$5001,$B$2:$B$5001,B3145),1,0))</f>
        <v/>
      </c>
      <c r="K3145" s="16" t="str">
        <f aca="false">IF(B3145="","",IF(AND(D3145="Formalização",E3145="Concluído"),IF(COUNTIFS($B$2:$B$5001,B3145,$E$2:$E$5001,"Em ajustes",$A$2:$A$5001,"&lt;"&amp;I3145)&gt;0,1,0),0))</f>
        <v/>
      </c>
      <c r="L3145" s="16" t="str">
        <f aca="false">IF(B3145="","",IF(A3145=_xlfn.MAXIFS($A$2:$A$5001,$B$2:$B$5001,B3145,$I$2:$I$5001,I3145),1,0))</f>
        <v/>
      </c>
    </row>
    <row r="3146" customFormat="false" ht="15" hidden="false" customHeight="false" outlineLevel="0" collapsed="false">
      <c r="I3146" s="15" t="str">
        <f aca="false">IF(A3146="","",INT(A3146))</f>
        <v/>
      </c>
      <c r="J3146" s="16" t="str">
        <f aca="false">IF(B3146="","",IF(A3146=_xlfn.MINIFS($A$2:$A$5001,$B$2:$B$5001,B3146),1,0))</f>
        <v/>
      </c>
      <c r="K3146" s="16" t="str">
        <f aca="false">IF(B3146="","",IF(AND(D3146="Formalização",E3146="Concluído"),IF(COUNTIFS($B$2:$B$5001,B3146,$E$2:$E$5001,"Em ajustes",$A$2:$A$5001,"&lt;"&amp;I3146)&gt;0,1,0),0))</f>
        <v/>
      </c>
      <c r="L3146" s="16" t="str">
        <f aca="false">IF(B3146="","",IF(A3146=_xlfn.MAXIFS($A$2:$A$5001,$B$2:$B$5001,B3146,$I$2:$I$5001,I3146),1,0))</f>
        <v/>
      </c>
    </row>
    <row r="3147" customFormat="false" ht="15" hidden="false" customHeight="false" outlineLevel="0" collapsed="false">
      <c r="I3147" s="15" t="str">
        <f aca="false">IF(A3147="","",INT(A3147))</f>
        <v/>
      </c>
      <c r="J3147" s="16" t="str">
        <f aca="false">IF(B3147="","",IF(A3147=_xlfn.MINIFS($A$2:$A$5001,$B$2:$B$5001,B3147),1,0))</f>
        <v/>
      </c>
      <c r="K3147" s="16" t="str">
        <f aca="false">IF(B3147="","",IF(AND(D3147="Formalização",E3147="Concluído"),IF(COUNTIFS($B$2:$B$5001,B3147,$E$2:$E$5001,"Em ajustes",$A$2:$A$5001,"&lt;"&amp;I3147)&gt;0,1,0),0))</f>
        <v/>
      </c>
      <c r="L3147" s="16" t="str">
        <f aca="false">IF(B3147="","",IF(A3147=_xlfn.MAXIFS($A$2:$A$5001,$B$2:$B$5001,B3147,$I$2:$I$5001,I3147),1,0))</f>
        <v/>
      </c>
    </row>
    <row r="3148" customFormat="false" ht="15" hidden="false" customHeight="false" outlineLevel="0" collapsed="false">
      <c r="I3148" s="15" t="str">
        <f aca="false">IF(A3148="","",INT(A3148))</f>
        <v/>
      </c>
      <c r="J3148" s="16" t="str">
        <f aca="false">IF(B3148="","",IF(A3148=_xlfn.MINIFS($A$2:$A$5001,$B$2:$B$5001,B3148),1,0))</f>
        <v/>
      </c>
      <c r="K3148" s="16" t="str">
        <f aca="false">IF(B3148="","",IF(AND(D3148="Formalização",E3148="Concluído"),IF(COUNTIFS($B$2:$B$5001,B3148,$E$2:$E$5001,"Em ajustes",$A$2:$A$5001,"&lt;"&amp;I3148)&gt;0,1,0),0))</f>
        <v/>
      </c>
      <c r="L3148" s="16" t="str">
        <f aca="false">IF(B3148="","",IF(A3148=_xlfn.MAXIFS($A$2:$A$5001,$B$2:$B$5001,B3148,$I$2:$I$5001,I3148),1,0))</f>
        <v/>
      </c>
    </row>
    <row r="3149" customFormat="false" ht="15" hidden="false" customHeight="false" outlineLevel="0" collapsed="false">
      <c r="I3149" s="15" t="str">
        <f aca="false">IF(A3149="","",INT(A3149))</f>
        <v/>
      </c>
      <c r="J3149" s="16" t="str">
        <f aca="false">IF(B3149="","",IF(A3149=_xlfn.MINIFS($A$2:$A$5001,$B$2:$B$5001,B3149),1,0))</f>
        <v/>
      </c>
      <c r="K3149" s="16" t="str">
        <f aca="false">IF(B3149="","",IF(AND(D3149="Formalização",E3149="Concluído"),IF(COUNTIFS($B$2:$B$5001,B3149,$E$2:$E$5001,"Em ajustes",$A$2:$A$5001,"&lt;"&amp;I3149)&gt;0,1,0),0))</f>
        <v/>
      </c>
      <c r="L3149" s="16" t="str">
        <f aca="false">IF(B3149="","",IF(A3149=_xlfn.MAXIFS($A$2:$A$5001,$B$2:$B$5001,B3149,$I$2:$I$5001,I3149),1,0))</f>
        <v/>
      </c>
    </row>
    <row r="3150" customFormat="false" ht="15" hidden="false" customHeight="false" outlineLevel="0" collapsed="false">
      <c r="I3150" s="15" t="str">
        <f aca="false">IF(A3150="","",INT(A3150))</f>
        <v/>
      </c>
      <c r="J3150" s="16" t="str">
        <f aca="false">IF(B3150="","",IF(A3150=_xlfn.MINIFS($A$2:$A$5001,$B$2:$B$5001,B3150),1,0))</f>
        <v/>
      </c>
      <c r="K3150" s="16" t="str">
        <f aca="false">IF(B3150="","",IF(AND(D3150="Formalização",E3150="Concluído"),IF(COUNTIFS($B$2:$B$5001,B3150,$E$2:$E$5001,"Em ajustes",$A$2:$A$5001,"&lt;"&amp;I3150)&gt;0,1,0),0))</f>
        <v/>
      </c>
      <c r="L3150" s="16" t="str">
        <f aca="false">IF(B3150="","",IF(A3150=_xlfn.MAXIFS($A$2:$A$5001,$B$2:$B$5001,B3150,$I$2:$I$5001,I3150),1,0))</f>
        <v/>
      </c>
    </row>
    <row r="3151" customFormat="false" ht="15" hidden="false" customHeight="false" outlineLevel="0" collapsed="false">
      <c r="I3151" s="15" t="str">
        <f aca="false">IF(A3151="","",INT(A3151))</f>
        <v/>
      </c>
      <c r="J3151" s="16" t="str">
        <f aca="false">IF(B3151="","",IF(A3151=_xlfn.MINIFS($A$2:$A$5001,$B$2:$B$5001,B3151),1,0))</f>
        <v/>
      </c>
      <c r="K3151" s="16" t="str">
        <f aca="false">IF(B3151="","",IF(AND(D3151="Formalização",E3151="Concluído"),IF(COUNTIFS($B$2:$B$5001,B3151,$E$2:$E$5001,"Em ajustes",$A$2:$A$5001,"&lt;"&amp;I3151)&gt;0,1,0),0))</f>
        <v/>
      </c>
      <c r="L3151" s="16" t="str">
        <f aca="false">IF(B3151="","",IF(A3151=_xlfn.MAXIFS($A$2:$A$5001,$B$2:$B$5001,B3151,$I$2:$I$5001,I3151),1,0))</f>
        <v/>
      </c>
    </row>
    <row r="3152" customFormat="false" ht="15" hidden="false" customHeight="false" outlineLevel="0" collapsed="false">
      <c r="I3152" s="15" t="str">
        <f aca="false">IF(A3152="","",INT(A3152))</f>
        <v/>
      </c>
      <c r="J3152" s="16" t="str">
        <f aca="false">IF(B3152="","",IF(A3152=_xlfn.MINIFS($A$2:$A$5001,$B$2:$B$5001,B3152),1,0))</f>
        <v/>
      </c>
      <c r="K3152" s="16" t="str">
        <f aca="false">IF(B3152="","",IF(AND(D3152="Formalização",E3152="Concluído"),IF(COUNTIFS($B$2:$B$5001,B3152,$E$2:$E$5001,"Em ajustes",$A$2:$A$5001,"&lt;"&amp;I3152)&gt;0,1,0),0))</f>
        <v/>
      </c>
      <c r="L3152" s="16" t="str">
        <f aca="false">IF(B3152="","",IF(A3152=_xlfn.MAXIFS($A$2:$A$5001,$B$2:$B$5001,B3152,$I$2:$I$5001,I3152),1,0))</f>
        <v/>
      </c>
    </row>
    <row r="3153" customFormat="false" ht="15" hidden="false" customHeight="false" outlineLevel="0" collapsed="false">
      <c r="I3153" s="15" t="str">
        <f aca="false">IF(A3153="","",INT(A3153))</f>
        <v/>
      </c>
      <c r="J3153" s="16" t="str">
        <f aca="false">IF(B3153="","",IF(A3153=_xlfn.MINIFS($A$2:$A$5001,$B$2:$B$5001,B3153),1,0))</f>
        <v/>
      </c>
      <c r="K3153" s="16" t="str">
        <f aca="false">IF(B3153="","",IF(AND(D3153="Formalização",E3153="Concluído"),IF(COUNTIFS($B$2:$B$5001,B3153,$E$2:$E$5001,"Em ajustes",$A$2:$A$5001,"&lt;"&amp;I3153)&gt;0,1,0),0))</f>
        <v/>
      </c>
      <c r="L3153" s="16" t="str">
        <f aca="false">IF(B3153="","",IF(A3153=_xlfn.MAXIFS($A$2:$A$5001,$B$2:$B$5001,B3153,$I$2:$I$5001,I3153),1,0))</f>
        <v/>
      </c>
    </row>
    <row r="3154" customFormat="false" ht="15" hidden="false" customHeight="false" outlineLevel="0" collapsed="false">
      <c r="I3154" s="15" t="str">
        <f aca="false">IF(A3154="","",INT(A3154))</f>
        <v/>
      </c>
      <c r="J3154" s="16" t="str">
        <f aca="false">IF(B3154="","",IF(A3154=_xlfn.MINIFS($A$2:$A$5001,$B$2:$B$5001,B3154),1,0))</f>
        <v/>
      </c>
      <c r="K3154" s="16" t="str">
        <f aca="false">IF(B3154="","",IF(AND(D3154="Formalização",E3154="Concluído"),IF(COUNTIFS($B$2:$B$5001,B3154,$E$2:$E$5001,"Em ajustes",$A$2:$A$5001,"&lt;"&amp;I3154)&gt;0,1,0),0))</f>
        <v/>
      </c>
      <c r="L3154" s="16" t="str">
        <f aca="false">IF(B3154="","",IF(A3154=_xlfn.MAXIFS($A$2:$A$5001,$B$2:$B$5001,B3154,$I$2:$I$5001,I3154),1,0))</f>
        <v/>
      </c>
    </row>
    <row r="3155" customFormat="false" ht="15" hidden="false" customHeight="false" outlineLevel="0" collapsed="false">
      <c r="I3155" s="15" t="str">
        <f aca="false">IF(A3155="","",INT(A3155))</f>
        <v/>
      </c>
      <c r="J3155" s="16" t="str">
        <f aca="false">IF(B3155="","",IF(A3155=_xlfn.MINIFS($A$2:$A$5001,$B$2:$B$5001,B3155),1,0))</f>
        <v/>
      </c>
      <c r="K3155" s="16" t="str">
        <f aca="false">IF(B3155="","",IF(AND(D3155="Formalização",E3155="Concluído"),IF(COUNTIFS($B$2:$B$5001,B3155,$E$2:$E$5001,"Em ajustes",$A$2:$A$5001,"&lt;"&amp;I3155)&gt;0,1,0),0))</f>
        <v/>
      </c>
      <c r="L3155" s="16" t="str">
        <f aca="false">IF(B3155="","",IF(A3155=_xlfn.MAXIFS($A$2:$A$5001,$B$2:$B$5001,B3155,$I$2:$I$5001,I3155),1,0))</f>
        <v/>
      </c>
    </row>
    <row r="3156" customFormat="false" ht="15" hidden="false" customHeight="false" outlineLevel="0" collapsed="false">
      <c r="I3156" s="15" t="str">
        <f aca="false">IF(A3156="","",INT(A3156))</f>
        <v/>
      </c>
      <c r="J3156" s="16" t="str">
        <f aca="false">IF(B3156="","",IF(A3156=_xlfn.MINIFS($A$2:$A$5001,$B$2:$B$5001,B3156),1,0))</f>
        <v/>
      </c>
      <c r="K3156" s="16" t="str">
        <f aca="false">IF(B3156="","",IF(AND(D3156="Formalização",E3156="Concluído"),IF(COUNTIFS($B$2:$B$5001,B3156,$E$2:$E$5001,"Em ajustes",$A$2:$A$5001,"&lt;"&amp;I3156)&gt;0,1,0),0))</f>
        <v/>
      </c>
      <c r="L3156" s="16" t="str">
        <f aca="false">IF(B3156="","",IF(A3156=_xlfn.MAXIFS($A$2:$A$5001,$B$2:$B$5001,B3156,$I$2:$I$5001,I3156),1,0))</f>
        <v/>
      </c>
    </row>
    <row r="3157" customFormat="false" ht="15" hidden="false" customHeight="false" outlineLevel="0" collapsed="false">
      <c r="I3157" s="15" t="str">
        <f aca="false">IF(A3157="","",INT(A3157))</f>
        <v/>
      </c>
      <c r="J3157" s="16" t="str">
        <f aca="false">IF(B3157="","",IF(A3157=_xlfn.MINIFS($A$2:$A$5001,$B$2:$B$5001,B3157),1,0))</f>
        <v/>
      </c>
      <c r="K3157" s="16" t="str">
        <f aca="false">IF(B3157="","",IF(AND(D3157="Formalização",E3157="Concluído"),IF(COUNTIFS($B$2:$B$5001,B3157,$E$2:$E$5001,"Em ajustes",$A$2:$A$5001,"&lt;"&amp;I3157)&gt;0,1,0),0))</f>
        <v/>
      </c>
      <c r="L3157" s="16" t="str">
        <f aca="false">IF(B3157="","",IF(A3157=_xlfn.MAXIFS($A$2:$A$5001,$B$2:$B$5001,B3157,$I$2:$I$5001,I3157),1,0))</f>
        <v/>
      </c>
    </row>
    <row r="3158" customFormat="false" ht="15" hidden="false" customHeight="false" outlineLevel="0" collapsed="false">
      <c r="I3158" s="15" t="str">
        <f aca="false">IF(A3158="","",INT(A3158))</f>
        <v/>
      </c>
      <c r="J3158" s="16" t="str">
        <f aca="false">IF(B3158="","",IF(A3158=_xlfn.MINIFS($A$2:$A$5001,$B$2:$B$5001,B3158),1,0))</f>
        <v/>
      </c>
      <c r="K3158" s="16" t="str">
        <f aca="false">IF(B3158="","",IF(AND(D3158="Formalização",E3158="Concluído"),IF(COUNTIFS($B$2:$B$5001,B3158,$E$2:$E$5001,"Em ajustes",$A$2:$A$5001,"&lt;"&amp;I3158)&gt;0,1,0),0))</f>
        <v/>
      </c>
      <c r="L3158" s="16" t="str">
        <f aca="false">IF(B3158="","",IF(A3158=_xlfn.MAXIFS($A$2:$A$5001,$B$2:$B$5001,B3158,$I$2:$I$5001,I3158),1,0))</f>
        <v/>
      </c>
    </row>
    <row r="3159" customFormat="false" ht="15" hidden="false" customHeight="false" outlineLevel="0" collapsed="false">
      <c r="I3159" s="15" t="str">
        <f aca="false">IF(A3159="","",INT(A3159))</f>
        <v/>
      </c>
      <c r="J3159" s="16" t="str">
        <f aca="false">IF(B3159="","",IF(A3159=_xlfn.MINIFS($A$2:$A$5001,$B$2:$B$5001,B3159),1,0))</f>
        <v/>
      </c>
      <c r="K3159" s="16" t="str">
        <f aca="false">IF(B3159="","",IF(AND(D3159="Formalização",E3159="Concluído"),IF(COUNTIFS($B$2:$B$5001,B3159,$E$2:$E$5001,"Em ajustes",$A$2:$A$5001,"&lt;"&amp;I3159)&gt;0,1,0),0))</f>
        <v/>
      </c>
      <c r="L3159" s="16" t="str">
        <f aca="false">IF(B3159="","",IF(A3159=_xlfn.MAXIFS($A$2:$A$5001,$B$2:$B$5001,B3159,$I$2:$I$5001,I3159),1,0))</f>
        <v/>
      </c>
    </row>
    <row r="3160" customFormat="false" ht="15" hidden="false" customHeight="false" outlineLevel="0" collapsed="false">
      <c r="I3160" s="15" t="str">
        <f aca="false">IF(A3160="","",INT(A3160))</f>
        <v/>
      </c>
      <c r="J3160" s="16" t="str">
        <f aca="false">IF(B3160="","",IF(A3160=_xlfn.MINIFS($A$2:$A$5001,$B$2:$B$5001,B3160),1,0))</f>
        <v/>
      </c>
      <c r="K3160" s="16" t="str">
        <f aca="false">IF(B3160="","",IF(AND(D3160="Formalização",E3160="Concluído"),IF(COUNTIFS($B$2:$B$5001,B3160,$E$2:$E$5001,"Em ajustes",$A$2:$A$5001,"&lt;"&amp;I3160)&gt;0,1,0),0))</f>
        <v/>
      </c>
      <c r="L3160" s="16" t="str">
        <f aca="false">IF(B3160="","",IF(A3160=_xlfn.MAXIFS($A$2:$A$5001,$B$2:$B$5001,B3160,$I$2:$I$5001,I3160),1,0))</f>
        <v/>
      </c>
    </row>
    <row r="3161" customFormat="false" ht="15" hidden="false" customHeight="false" outlineLevel="0" collapsed="false">
      <c r="I3161" s="15" t="str">
        <f aca="false">IF(A3161="","",INT(A3161))</f>
        <v/>
      </c>
      <c r="J3161" s="16" t="str">
        <f aca="false">IF(B3161="","",IF(A3161=_xlfn.MINIFS($A$2:$A$5001,$B$2:$B$5001,B3161),1,0))</f>
        <v/>
      </c>
      <c r="K3161" s="16" t="str">
        <f aca="false">IF(B3161="","",IF(AND(D3161="Formalização",E3161="Concluído"),IF(COUNTIFS($B$2:$B$5001,B3161,$E$2:$E$5001,"Em ajustes",$A$2:$A$5001,"&lt;"&amp;I3161)&gt;0,1,0),0))</f>
        <v/>
      </c>
      <c r="L3161" s="16" t="str">
        <f aca="false">IF(B3161="","",IF(A3161=_xlfn.MAXIFS($A$2:$A$5001,$B$2:$B$5001,B3161,$I$2:$I$5001,I3161),1,0))</f>
        <v/>
      </c>
    </row>
    <row r="3162" customFormat="false" ht="15" hidden="false" customHeight="false" outlineLevel="0" collapsed="false">
      <c r="I3162" s="15" t="str">
        <f aca="false">IF(A3162="","",INT(A3162))</f>
        <v/>
      </c>
      <c r="J3162" s="16" t="str">
        <f aca="false">IF(B3162="","",IF(A3162=_xlfn.MINIFS($A$2:$A$5001,$B$2:$B$5001,B3162),1,0))</f>
        <v/>
      </c>
      <c r="K3162" s="16" t="str">
        <f aca="false">IF(B3162="","",IF(AND(D3162="Formalização",E3162="Concluído"),IF(COUNTIFS($B$2:$B$5001,B3162,$E$2:$E$5001,"Em ajustes",$A$2:$A$5001,"&lt;"&amp;I3162)&gt;0,1,0),0))</f>
        <v/>
      </c>
      <c r="L3162" s="16" t="str">
        <f aca="false">IF(B3162="","",IF(A3162=_xlfn.MAXIFS($A$2:$A$5001,$B$2:$B$5001,B3162,$I$2:$I$5001,I3162),1,0))</f>
        <v/>
      </c>
    </row>
    <row r="3163" customFormat="false" ht="15" hidden="false" customHeight="false" outlineLevel="0" collapsed="false">
      <c r="I3163" s="15" t="str">
        <f aca="false">IF(A3163="","",INT(A3163))</f>
        <v/>
      </c>
      <c r="J3163" s="16" t="str">
        <f aca="false">IF(B3163="","",IF(A3163=_xlfn.MINIFS($A$2:$A$5001,$B$2:$B$5001,B3163),1,0))</f>
        <v/>
      </c>
      <c r="K3163" s="16" t="str">
        <f aca="false">IF(B3163="","",IF(AND(D3163="Formalização",E3163="Concluído"),IF(COUNTIFS($B$2:$B$5001,B3163,$E$2:$E$5001,"Em ajustes",$A$2:$A$5001,"&lt;"&amp;I3163)&gt;0,1,0),0))</f>
        <v/>
      </c>
      <c r="L3163" s="16" t="str">
        <f aca="false">IF(B3163="","",IF(A3163=_xlfn.MAXIFS($A$2:$A$5001,$B$2:$B$5001,B3163,$I$2:$I$5001,I3163),1,0))</f>
        <v/>
      </c>
    </row>
    <row r="3164" customFormat="false" ht="15" hidden="false" customHeight="false" outlineLevel="0" collapsed="false">
      <c r="I3164" s="15" t="str">
        <f aca="false">IF(A3164="","",INT(A3164))</f>
        <v/>
      </c>
      <c r="J3164" s="16" t="str">
        <f aca="false">IF(B3164="","",IF(A3164=_xlfn.MINIFS($A$2:$A$5001,$B$2:$B$5001,B3164),1,0))</f>
        <v/>
      </c>
      <c r="K3164" s="16" t="str">
        <f aca="false">IF(B3164="","",IF(AND(D3164="Formalização",E3164="Concluído"),IF(COUNTIFS($B$2:$B$5001,B3164,$E$2:$E$5001,"Em ajustes",$A$2:$A$5001,"&lt;"&amp;I3164)&gt;0,1,0),0))</f>
        <v/>
      </c>
      <c r="L3164" s="16" t="str">
        <f aca="false">IF(B3164="","",IF(A3164=_xlfn.MAXIFS($A$2:$A$5001,$B$2:$B$5001,B3164,$I$2:$I$5001,I3164),1,0))</f>
        <v/>
      </c>
    </row>
    <row r="3165" customFormat="false" ht="15" hidden="false" customHeight="false" outlineLevel="0" collapsed="false">
      <c r="I3165" s="15" t="str">
        <f aca="false">IF(A3165="","",INT(A3165))</f>
        <v/>
      </c>
      <c r="J3165" s="16" t="str">
        <f aca="false">IF(B3165="","",IF(A3165=_xlfn.MINIFS($A$2:$A$5001,$B$2:$B$5001,B3165),1,0))</f>
        <v/>
      </c>
      <c r="K3165" s="16" t="str">
        <f aca="false">IF(B3165="","",IF(AND(D3165="Formalização",E3165="Concluído"),IF(COUNTIFS($B$2:$B$5001,B3165,$E$2:$E$5001,"Em ajustes",$A$2:$A$5001,"&lt;"&amp;I3165)&gt;0,1,0),0))</f>
        <v/>
      </c>
      <c r="L3165" s="16" t="str">
        <f aca="false">IF(B3165="","",IF(A3165=_xlfn.MAXIFS($A$2:$A$5001,$B$2:$B$5001,B3165,$I$2:$I$5001,I3165),1,0))</f>
        <v/>
      </c>
    </row>
    <row r="3166" customFormat="false" ht="15" hidden="false" customHeight="false" outlineLevel="0" collapsed="false">
      <c r="I3166" s="15" t="str">
        <f aca="false">IF(A3166="","",INT(A3166))</f>
        <v/>
      </c>
      <c r="J3166" s="16" t="str">
        <f aca="false">IF(B3166="","",IF(A3166=_xlfn.MINIFS($A$2:$A$5001,$B$2:$B$5001,B3166),1,0))</f>
        <v/>
      </c>
      <c r="K3166" s="16" t="str">
        <f aca="false">IF(B3166="","",IF(AND(D3166="Formalização",E3166="Concluído"),IF(COUNTIFS($B$2:$B$5001,B3166,$E$2:$E$5001,"Em ajustes",$A$2:$A$5001,"&lt;"&amp;I3166)&gt;0,1,0),0))</f>
        <v/>
      </c>
      <c r="L3166" s="16" t="str">
        <f aca="false">IF(B3166="","",IF(A3166=_xlfn.MAXIFS($A$2:$A$5001,$B$2:$B$5001,B3166,$I$2:$I$5001,I3166),1,0))</f>
        <v/>
      </c>
    </row>
    <row r="3167" customFormat="false" ht="15" hidden="false" customHeight="false" outlineLevel="0" collapsed="false">
      <c r="I3167" s="15" t="str">
        <f aca="false">IF(A3167="","",INT(A3167))</f>
        <v/>
      </c>
      <c r="J3167" s="16" t="str">
        <f aca="false">IF(B3167="","",IF(A3167=_xlfn.MINIFS($A$2:$A$5001,$B$2:$B$5001,B3167),1,0))</f>
        <v/>
      </c>
      <c r="K3167" s="16" t="str">
        <f aca="false">IF(B3167="","",IF(AND(D3167="Formalização",E3167="Concluído"),IF(COUNTIFS($B$2:$B$5001,B3167,$E$2:$E$5001,"Em ajustes",$A$2:$A$5001,"&lt;"&amp;I3167)&gt;0,1,0),0))</f>
        <v/>
      </c>
      <c r="L3167" s="16" t="str">
        <f aca="false">IF(B3167="","",IF(A3167=_xlfn.MAXIFS($A$2:$A$5001,$B$2:$B$5001,B3167,$I$2:$I$5001,I3167),1,0))</f>
        <v/>
      </c>
    </row>
    <row r="3168" customFormat="false" ht="15" hidden="false" customHeight="false" outlineLevel="0" collapsed="false">
      <c r="I3168" s="15" t="str">
        <f aca="false">IF(A3168="","",INT(A3168))</f>
        <v/>
      </c>
      <c r="J3168" s="16" t="str">
        <f aca="false">IF(B3168="","",IF(A3168=_xlfn.MINIFS($A$2:$A$5001,$B$2:$B$5001,B3168),1,0))</f>
        <v/>
      </c>
      <c r="K3168" s="16" t="str">
        <f aca="false">IF(B3168="","",IF(AND(D3168="Formalização",E3168="Concluído"),IF(COUNTIFS($B$2:$B$5001,B3168,$E$2:$E$5001,"Em ajustes",$A$2:$A$5001,"&lt;"&amp;I3168)&gt;0,1,0),0))</f>
        <v/>
      </c>
      <c r="L3168" s="16" t="str">
        <f aca="false">IF(B3168="","",IF(A3168=_xlfn.MAXIFS($A$2:$A$5001,$B$2:$B$5001,B3168,$I$2:$I$5001,I3168),1,0))</f>
        <v/>
      </c>
    </row>
    <row r="3169" customFormat="false" ht="15" hidden="false" customHeight="false" outlineLevel="0" collapsed="false">
      <c r="I3169" s="15" t="str">
        <f aca="false">IF(A3169="","",INT(A3169))</f>
        <v/>
      </c>
      <c r="J3169" s="16" t="str">
        <f aca="false">IF(B3169="","",IF(A3169=_xlfn.MINIFS($A$2:$A$5001,$B$2:$B$5001,B3169),1,0))</f>
        <v/>
      </c>
      <c r="K3169" s="16" t="str">
        <f aca="false">IF(B3169="","",IF(AND(D3169="Formalização",E3169="Concluído"),IF(COUNTIFS($B$2:$B$5001,B3169,$E$2:$E$5001,"Em ajustes",$A$2:$A$5001,"&lt;"&amp;I3169)&gt;0,1,0),0))</f>
        <v/>
      </c>
      <c r="L3169" s="16" t="str">
        <f aca="false">IF(B3169="","",IF(A3169=_xlfn.MAXIFS($A$2:$A$5001,$B$2:$B$5001,B3169,$I$2:$I$5001,I3169),1,0))</f>
        <v/>
      </c>
    </row>
    <row r="3170" customFormat="false" ht="15" hidden="false" customHeight="false" outlineLevel="0" collapsed="false">
      <c r="I3170" s="15" t="str">
        <f aca="false">IF(A3170="","",INT(A3170))</f>
        <v/>
      </c>
      <c r="J3170" s="16" t="str">
        <f aca="false">IF(B3170="","",IF(A3170=_xlfn.MINIFS($A$2:$A$5001,$B$2:$B$5001,B3170),1,0))</f>
        <v/>
      </c>
      <c r="K3170" s="16" t="str">
        <f aca="false">IF(B3170="","",IF(AND(D3170="Formalização",E3170="Concluído"),IF(COUNTIFS($B$2:$B$5001,B3170,$E$2:$E$5001,"Em ajustes",$A$2:$A$5001,"&lt;"&amp;I3170)&gt;0,1,0),0))</f>
        <v/>
      </c>
      <c r="L3170" s="16" t="str">
        <f aca="false">IF(B3170="","",IF(A3170=_xlfn.MAXIFS($A$2:$A$5001,$B$2:$B$5001,B3170,$I$2:$I$5001,I3170),1,0))</f>
        <v/>
      </c>
    </row>
    <row r="3171" customFormat="false" ht="15" hidden="false" customHeight="false" outlineLevel="0" collapsed="false">
      <c r="I3171" s="15" t="str">
        <f aca="false">IF(A3171="","",INT(A3171))</f>
        <v/>
      </c>
      <c r="J3171" s="16" t="str">
        <f aca="false">IF(B3171="","",IF(A3171=_xlfn.MINIFS($A$2:$A$5001,$B$2:$B$5001,B3171),1,0))</f>
        <v/>
      </c>
      <c r="K3171" s="16" t="str">
        <f aca="false">IF(B3171="","",IF(AND(D3171="Formalização",E3171="Concluído"),IF(COUNTIFS($B$2:$B$5001,B3171,$E$2:$E$5001,"Em ajustes",$A$2:$A$5001,"&lt;"&amp;I3171)&gt;0,1,0),0))</f>
        <v/>
      </c>
      <c r="L3171" s="16" t="str">
        <f aca="false">IF(B3171="","",IF(A3171=_xlfn.MAXIFS($A$2:$A$5001,$B$2:$B$5001,B3171,$I$2:$I$5001,I3171),1,0))</f>
        <v/>
      </c>
    </row>
    <row r="3172" customFormat="false" ht="15" hidden="false" customHeight="false" outlineLevel="0" collapsed="false">
      <c r="I3172" s="15" t="str">
        <f aca="false">IF(A3172="","",INT(A3172))</f>
        <v/>
      </c>
      <c r="J3172" s="16" t="str">
        <f aca="false">IF(B3172="","",IF(A3172=_xlfn.MINIFS($A$2:$A$5001,$B$2:$B$5001,B3172),1,0))</f>
        <v/>
      </c>
      <c r="K3172" s="16" t="str">
        <f aca="false">IF(B3172="","",IF(AND(D3172="Formalização",E3172="Concluído"),IF(COUNTIFS($B$2:$B$5001,B3172,$E$2:$E$5001,"Em ajustes",$A$2:$A$5001,"&lt;"&amp;I3172)&gt;0,1,0),0))</f>
        <v/>
      </c>
      <c r="L3172" s="16" t="str">
        <f aca="false">IF(B3172="","",IF(A3172=_xlfn.MAXIFS($A$2:$A$5001,$B$2:$B$5001,B3172,$I$2:$I$5001,I3172),1,0))</f>
        <v/>
      </c>
    </row>
    <row r="3173" customFormat="false" ht="15" hidden="false" customHeight="false" outlineLevel="0" collapsed="false">
      <c r="I3173" s="15" t="str">
        <f aca="false">IF(A3173="","",INT(A3173))</f>
        <v/>
      </c>
      <c r="J3173" s="16" t="str">
        <f aca="false">IF(B3173="","",IF(A3173=_xlfn.MINIFS($A$2:$A$5001,$B$2:$B$5001,B3173),1,0))</f>
        <v/>
      </c>
      <c r="K3173" s="16" t="str">
        <f aca="false">IF(B3173="","",IF(AND(D3173="Formalização",E3173="Concluído"),IF(COUNTIFS($B$2:$B$5001,B3173,$E$2:$E$5001,"Em ajustes",$A$2:$A$5001,"&lt;"&amp;I3173)&gt;0,1,0),0))</f>
        <v/>
      </c>
      <c r="L3173" s="16" t="str">
        <f aca="false">IF(B3173="","",IF(A3173=_xlfn.MAXIFS($A$2:$A$5001,$B$2:$B$5001,B3173,$I$2:$I$5001,I3173),1,0))</f>
        <v/>
      </c>
    </row>
    <row r="3174" customFormat="false" ht="15" hidden="false" customHeight="false" outlineLevel="0" collapsed="false">
      <c r="I3174" s="15" t="str">
        <f aca="false">IF(A3174="","",INT(A3174))</f>
        <v/>
      </c>
      <c r="J3174" s="16" t="str">
        <f aca="false">IF(B3174="","",IF(A3174=_xlfn.MINIFS($A$2:$A$5001,$B$2:$B$5001,B3174),1,0))</f>
        <v/>
      </c>
      <c r="K3174" s="16" t="str">
        <f aca="false">IF(B3174="","",IF(AND(D3174="Formalização",E3174="Concluído"),IF(COUNTIFS($B$2:$B$5001,B3174,$E$2:$E$5001,"Em ajustes",$A$2:$A$5001,"&lt;"&amp;I3174)&gt;0,1,0),0))</f>
        <v/>
      </c>
      <c r="L3174" s="16" t="str">
        <f aca="false">IF(B3174="","",IF(A3174=_xlfn.MAXIFS($A$2:$A$5001,$B$2:$B$5001,B3174,$I$2:$I$5001,I3174),1,0))</f>
        <v/>
      </c>
    </row>
    <row r="3175" customFormat="false" ht="15" hidden="false" customHeight="false" outlineLevel="0" collapsed="false">
      <c r="I3175" s="15" t="str">
        <f aca="false">IF(A3175="","",INT(A3175))</f>
        <v/>
      </c>
      <c r="J3175" s="16" t="str">
        <f aca="false">IF(B3175="","",IF(A3175=_xlfn.MINIFS($A$2:$A$5001,$B$2:$B$5001,B3175),1,0))</f>
        <v/>
      </c>
      <c r="K3175" s="16" t="str">
        <f aca="false">IF(B3175="","",IF(AND(D3175="Formalização",E3175="Concluído"),IF(COUNTIFS($B$2:$B$5001,B3175,$E$2:$E$5001,"Em ajustes",$A$2:$A$5001,"&lt;"&amp;I3175)&gt;0,1,0),0))</f>
        <v/>
      </c>
      <c r="L3175" s="16" t="str">
        <f aca="false">IF(B3175="","",IF(A3175=_xlfn.MAXIFS($A$2:$A$5001,$B$2:$B$5001,B3175,$I$2:$I$5001,I3175),1,0))</f>
        <v/>
      </c>
    </row>
    <row r="3176" customFormat="false" ht="15" hidden="false" customHeight="false" outlineLevel="0" collapsed="false">
      <c r="I3176" s="15" t="str">
        <f aca="false">IF(A3176="","",INT(A3176))</f>
        <v/>
      </c>
      <c r="J3176" s="16" t="str">
        <f aca="false">IF(B3176="","",IF(A3176=_xlfn.MINIFS($A$2:$A$5001,$B$2:$B$5001,B3176),1,0))</f>
        <v/>
      </c>
      <c r="K3176" s="16" t="str">
        <f aca="false">IF(B3176="","",IF(AND(D3176="Formalização",E3176="Concluído"),IF(COUNTIFS($B$2:$B$5001,B3176,$E$2:$E$5001,"Em ajustes",$A$2:$A$5001,"&lt;"&amp;I3176)&gt;0,1,0),0))</f>
        <v/>
      </c>
      <c r="L3176" s="16" t="str">
        <f aca="false">IF(B3176="","",IF(A3176=_xlfn.MAXIFS($A$2:$A$5001,$B$2:$B$5001,B3176,$I$2:$I$5001,I3176),1,0))</f>
        <v/>
      </c>
    </row>
    <row r="3177" customFormat="false" ht="15" hidden="false" customHeight="false" outlineLevel="0" collapsed="false">
      <c r="I3177" s="15" t="str">
        <f aca="false">IF(A3177="","",INT(A3177))</f>
        <v/>
      </c>
      <c r="J3177" s="16" t="str">
        <f aca="false">IF(B3177="","",IF(A3177=_xlfn.MINIFS($A$2:$A$5001,$B$2:$B$5001,B3177),1,0))</f>
        <v/>
      </c>
      <c r="K3177" s="16" t="str">
        <f aca="false">IF(B3177="","",IF(AND(D3177="Formalização",E3177="Concluído"),IF(COUNTIFS($B$2:$B$5001,B3177,$E$2:$E$5001,"Em ajustes",$A$2:$A$5001,"&lt;"&amp;I3177)&gt;0,1,0),0))</f>
        <v/>
      </c>
      <c r="L3177" s="16" t="str">
        <f aca="false">IF(B3177="","",IF(A3177=_xlfn.MAXIFS($A$2:$A$5001,$B$2:$B$5001,B3177,$I$2:$I$5001,I3177),1,0))</f>
        <v/>
      </c>
    </row>
    <row r="3178" customFormat="false" ht="15" hidden="false" customHeight="false" outlineLevel="0" collapsed="false">
      <c r="I3178" s="15" t="str">
        <f aca="false">IF(A3178="","",INT(A3178))</f>
        <v/>
      </c>
      <c r="J3178" s="16" t="str">
        <f aca="false">IF(B3178="","",IF(A3178=_xlfn.MINIFS($A$2:$A$5001,$B$2:$B$5001,B3178),1,0))</f>
        <v/>
      </c>
      <c r="K3178" s="16" t="str">
        <f aca="false">IF(B3178="","",IF(AND(D3178="Formalização",E3178="Concluído"),IF(COUNTIFS($B$2:$B$5001,B3178,$E$2:$E$5001,"Em ajustes",$A$2:$A$5001,"&lt;"&amp;I3178)&gt;0,1,0),0))</f>
        <v/>
      </c>
      <c r="L3178" s="16" t="str">
        <f aca="false">IF(B3178="","",IF(A3178=_xlfn.MAXIFS($A$2:$A$5001,$B$2:$B$5001,B3178,$I$2:$I$5001,I3178),1,0))</f>
        <v/>
      </c>
    </row>
    <row r="3179" customFormat="false" ht="15" hidden="false" customHeight="false" outlineLevel="0" collapsed="false">
      <c r="I3179" s="15" t="str">
        <f aca="false">IF(A3179="","",INT(A3179))</f>
        <v/>
      </c>
      <c r="J3179" s="16" t="str">
        <f aca="false">IF(B3179="","",IF(A3179=_xlfn.MINIFS($A$2:$A$5001,$B$2:$B$5001,B3179),1,0))</f>
        <v/>
      </c>
      <c r="K3179" s="16" t="str">
        <f aca="false">IF(B3179="","",IF(AND(D3179="Formalização",E3179="Concluído"),IF(COUNTIFS($B$2:$B$5001,B3179,$E$2:$E$5001,"Em ajustes",$A$2:$A$5001,"&lt;"&amp;I3179)&gt;0,1,0),0))</f>
        <v/>
      </c>
      <c r="L3179" s="16" t="str">
        <f aca="false">IF(B3179="","",IF(A3179=_xlfn.MAXIFS($A$2:$A$5001,$B$2:$B$5001,B3179,$I$2:$I$5001,I3179),1,0))</f>
        <v/>
      </c>
    </row>
    <row r="3180" customFormat="false" ht="15" hidden="false" customHeight="false" outlineLevel="0" collapsed="false">
      <c r="I3180" s="15" t="str">
        <f aca="false">IF(A3180="","",INT(A3180))</f>
        <v/>
      </c>
      <c r="J3180" s="16" t="str">
        <f aca="false">IF(B3180="","",IF(A3180=_xlfn.MINIFS($A$2:$A$5001,$B$2:$B$5001,B3180),1,0))</f>
        <v/>
      </c>
      <c r="K3180" s="16" t="str">
        <f aca="false">IF(B3180="","",IF(AND(D3180="Formalização",E3180="Concluído"),IF(COUNTIFS($B$2:$B$5001,B3180,$E$2:$E$5001,"Em ajustes",$A$2:$A$5001,"&lt;"&amp;I3180)&gt;0,1,0),0))</f>
        <v/>
      </c>
      <c r="L3180" s="16" t="str">
        <f aca="false">IF(B3180="","",IF(A3180=_xlfn.MAXIFS($A$2:$A$5001,$B$2:$B$5001,B3180,$I$2:$I$5001,I3180),1,0))</f>
        <v/>
      </c>
    </row>
    <row r="3181" customFormat="false" ht="15" hidden="false" customHeight="false" outlineLevel="0" collapsed="false">
      <c r="I3181" s="15" t="str">
        <f aca="false">IF(A3181="","",INT(A3181))</f>
        <v/>
      </c>
      <c r="J3181" s="16" t="str">
        <f aca="false">IF(B3181="","",IF(A3181=_xlfn.MINIFS($A$2:$A$5001,$B$2:$B$5001,B3181),1,0))</f>
        <v/>
      </c>
      <c r="K3181" s="16" t="str">
        <f aca="false">IF(B3181="","",IF(AND(D3181="Formalização",E3181="Concluído"),IF(COUNTIFS($B$2:$B$5001,B3181,$E$2:$E$5001,"Em ajustes",$A$2:$A$5001,"&lt;"&amp;I3181)&gt;0,1,0),0))</f>
        <v/>
      </c>
      <c r="L3181" s="16" t="str">
        <f aca="false">IF(B3181="","",IF(A3181=_xlfn.MAXIFS($A$2:$A$5001,$B$2:$B$5001,B3181,$I$2:$I$5001,I3181),1,0))</f>
        <v/>
      </c>
    </row>
    <row r="3182" customFormat="false" ht="15" hidden="false" customHeight="false" outlineLevel="0" collapsed="false">
      <c r="I3182" s="15" t="str">
        <f aca="false">IF(A3182="","",INT(A3182))</f>
        <v/>
      </c>
      <c r="J3182" s="16" t="str">
        <f aca="false">IF(B3182="","",IF(A3182=_xlfn.MINIFS($A$2:$A$5001,$B$2:$B$5001,B3182),1,0))</f>
        <v/>
      </c>
      <c r="K3182" s="16" t="str">
        <f aca="false">IF(B3182="","",IF(AND(D3182="Formalização",E3182="Concluído"),IF(COUNTIFS($B$2:$B$5001,B3182,$E$2:$E$5001,"Em ajustes",$A$2:$A$5001,"&lt;"&amp;I3182)&gt;0,1,0),0))</f>
        <v/>
      </c>
      <c r="L3182" s="16" t="str">
        <f aca="false">IF(B3182="","",IF(A3182=_xlfn.MAXIFS($A$2:$A$5001,$B$2:$B$5001,B3182,$I$2:$I$5001,I3182),1,0))</f>
        <v/>
      </c>
    </row>
    <row r="3183" customFormat="false" ht="15" hidden="false" customHeight="false" outlineLevel="0" collapsed="false">
      <c r="I3183" s="15" t="str">
        <f aca="false">IF(A3183="","",INT(A3183))</f>
        <v/>
      </c>
      <c r="J3183" s="16" t="str">
        <f aca="false">IF(B3183="","",IF(A3183=_xlfn.MINIFS($A$2:$A$5001,$B$2:$B$5001,B3183),1,0))</f>
        <v/>
      </c>
      <c r="K3183" s="16" t="str">
        <f aca="false">IF(B3183="","",IF(AND(D3183="Formalização",E3183="Concluído"),IF(COUNTIFS($B$2:$B$5001,B3183,$E$2:$E$5001,"Em ajustes",$A$2:$A$5001,"&lt;"&amp;I3183)&gt;0,1,0),0))</f>
        <v/>
      </c>
      <c r="L3183" s="16" t="str">
        <f aca="false">IF(B3183="","",IF(A3183=_xlfn.MAXIFS($A$2:$A$5001,$B$2:$B$5001,B3183,$I$2:$I$5001,I3183),1,0))</f>
        <v/>
      </c>
    </row>
    <row r="3184" customFormat="false" ht="15" hidden="false" customHeight="false" outlineLevel="0" collapsed="false">
      <c r="I3184" s="15" t="str">
        <f aca="false">IF(A3184="","",INT(A3184))</f>
        <v/>
      </c>
      <c r="J3184" s="16" t="str">
        <f aca="false">IF(B3184="","",IF(A3184=_xlfn.MINIFS($A$2:$A$5001,$B$2:$B$5001,B3184),1,0))</f>
        <v/>
      </c>
      <c r="K3184" s="16" t="str">
        <f aca="false">IF(B3184="","",IF(AND(D3184="Formalização",E3184="Concluído"),IF(COUNTIFS($B$2:$B$5001,B3184,$E$2:$E$5001,"Em ajustes",$A$2:$A$5001,"&lt;"&amp;I3184)&gt;0,1,0),0))</f>
        <v/>
      </c>
      <c r="L3184" s="16" t="str">
        <f aca="false">IF(B3184="","",IF(A3184=_xlfn.MAXIFS($A$2:$A$5001,$B$2:$B$5001,B3184,$I$2:$I$5001,I3184),1,0))</f>
        <v/>
      </c>
    </row>
    <row r="3185" customFormat="false" ht="15" hidden="false" customHeight="false" outlineLevel="0" collapsed="false">
      <c r="I3185" s="15" t="str">
        <f aca="false">IF(A3185="","",INT(A3185))</f>
        <v/>
      </c>
      <c r="J3185" s="16" t="str">
        <f aca="false">IF(B3185="","",IF(A3185=_xlfn.MINIFS($A$2:$A$5001,$B$2:$B$5001,B3185),1,0))</f>
        <v/>
      </c>
      <c r="K3185" s="16" t="str">
        <f aca="false">IF(B3185="","",IF(AND(D3185="Formalização",E3185="Concluído"),IF(COUNTIFS($B$2:$B$5001,B3185,$E$2:$E$5001,"Em ajustes",$A$2:$A$5001,"&lt;"&amp;I3185)&gt;0,1,0),0))</f>
        <v/>
      </c>
      <c r="L3185" s="16" t="str">
        <f aca="false">IF(B3185="","",IF(A3185=_xlfn.MAXIFS($A$2:$A$5001,$B$2:$B$5001,B3185,$I$2:$I$5001,I3185),1,0))</f>
        <v/>
      </c>
    </row>
    <row r="3186" customFormat="false" ht="15" hidden="false" customHeight="false" outlineLevel="0" collapsed="false">
      <c r="I3186" s="15" t="str">
        <f aca="false">IF(A3186="","",INT(A3186))</f>
        <v/>
      </c>
      <c r="J3186" s="16" t="str">
        <f aca="false">IF(B3186="","",IF(A3186=_xlfn.MINIFS($A$2:$A$5001,$B$2:$B$5001,B3186),1,0))</f>
        <v/>
      </c>
      <c r="K3186" s="16" t="str">
        <f aca="false">IF(B3186="","",IF(AND(D3186="Formalização",E3186="Concluído"),IF(COUNTIFS($B$2:$B$5001,B3186,$E$2:$E$5001,"Em ajustes",$A$2:$A$5001,"&lt;"&amp;I3186)&gt;0,1,0),0))</f>
        <v/>
      </c>
      <c r="L3186" s="16" t="str">
        <f aca="false">IF(B3186="","",IF(A3186=_xlfn.MAXIFS($A$2:$A$5001,$B$2:$B$5001,B3186,$I$2:$I$5001,I3186),1,0))</f>
        <v/>
      </c>
    </row>
    <row r="3187" customFormat="false" ht="15" hidden="false" customHeight="false" outlineLevel="0" collapsed="false">
      <c r="I3187" s="15" t="str">
        <f aca="false">IF(A3187="","",INT(A3187))</f>
        <v/>
      </c>
      <c r="J3187" s="16" t="str">
        <f aca="false">IF(B3187="","",IF(A3187=_xlfn.MINIFS($A$2:$A$5001,$B$2:$B$5001,B3187),1,0))</f>
        <v/>
      </c>
      <c r="K3187" s="16" t="str">
        <f aca="false">IF(B3187="","",IF(AND(D3187="Formalização",E3187="Concluído"),IF(COUNTIFS($B$2:$B$5001,B3187,$E$2:$E$5001,"Em ajustes",$A$2:$A$5001,"&lt;"&amp;I3187)&gt;0,1,0),0))</f>
        <v/>
      </c>
      <c r="L3187" s="16" t="str">
        <f aca="false">IF(B3187="","",IF(A3187=_xlfn.MAXIFS($A$2:$A$5001,$B$2:$B$5001,B3187,$I$2:$I$5001,I3187),1,0))</f>
        <v/>
      </c>
    </row>
    <row r="3188" customFormat="false" ht="15" hidden="false" customHeight="false" outlineLevel="0" collapsed="false">
      <c r="I3188" s="15" t="str">
        <f aca="false">IF(A3188="","",INT(A3188))</f>
        <v/>
      </c>
      <c r="J3188" s="16" t="str">
        <f aca="false">IF(B3188="","",IF(A3188=_xlfn.MINIFS($A$2:$A$5001,$B$2:$B$5001,B3188),1,0))</f>
        <v/>
      </c>
      <c r="K3188" s="16" t="str">
        <f aca="false">IF(B3188="","",IF(AND(D3188="Formalização",E3188="Concluído"),IF(COUNTIFS($B$2:$B$5001,B3188,$E$2:$E$5001,"Em ajustes",$A$2:$A$5001,"&lt;"&amp;I3188)&gt;0,1,0),0))</f>
        <v/>
      </c>
      <c r="L3188" s="16" t="str">
        <f aca="false">IF(B3188="","",IF(A3188=_xlfn.MAXIFS($A$2:$A$5001,$B$2:$B$5001,B3188,$I$2:$I$5001,I3188),1,0))</f>
        <v/>
      </c>
    </row>
    <row r="3189" customFormat="false" ht="15" hidden="false" customHeight="false" outlineLevel="0" collapsed="false">
      <c r="I3189" s="15" t="str">
        <f aca="false">IF(A3189="","",INT(A3189))</f>
        <v/>
      </c>
      <c r="J3189" s="16" t="str">
        <f aca="false">IF(B3189="","",IF(A3189=_xlfn.MINIFS($A$2:$A$5001,$B$2:$B$5001,B3189),1,0))</f>
        <v/>
      </c>
      <c r="K3189" s="16" t="str">
        <f aca="false">IF(B3189="","",IF(AND(D3189="Formalização",E3189="Concluído"),IF(COUNTIFS($B$2:$B$5001,B3189,$E$2:$E$5001,"Em ajustes",$A$2:$A$5001,"&lt;"&amp;I3189)&gt;0,1,0),0))</f>
        <v/>
      </c>
      <c r="L3189" s="16" t="str">
        <f aca="false">IF(B3189="","",IF(A3189=_xlfn.MAXIFS($A$2:$A$5001,$B$2:$B$5001,B3189,$I$2:$I$5001,I3189),1,0))</f>
        <v/>
      </c>
    </row>
    <row r="3190" customFormat="false" ht="15" hidden="false" customHeight="false" outlineLevel="0" collapsed="false">
      <c r="I3190" s="15" t="str">
        <f aca="false">IF(A3190="","",INT(A3190))</f>
        <v/>
      </c>
      <c r="J3190" s="16" t="str">
        <f aca="false">IF(B3190="","",IF(A3190=_xlfn.MINIFS($A$2:$A$5001,$B$2:$B$5001,B3190),1,0))</f>
        <v/>
      </c>
      <c r="K3190" s="16" t="str">
        <f aca="false">IF(B3190="","",IF(AND(D3190="Formalização",E3190="Concluído"),IF(COUNTIFS($B$2:$B$5001,B3190,$E$2:$E$5001,"Em ajustes",$A$2:$A$5001,"&lt;"&amp;I3190)&gt;0,1,0),0))</f>
        <v/>
      </c>
      <c r="L3190" s="16" t="str">
        <f aca="false">IF(B3190="","",IF(A3190=_xlfn.MAXIFS($A$2:$A$5001,$B$2:$B$5001,B3190,$I$2:$I$5001,I3190),1,0))</f>
        <v/>
      </c>
    </row>
    <row r="3191" customFormat="false" ht="15" hidden="false" customHeight="false" outlineLevel="0" collapsed="false">
      <c r="I3191" s="15" t="str">
        <f aca="false">IF(A3191="","",INT(A3191))</f>
        <v/>
      </c>
      <c r="J3191" s="16" t="str">
        <f aca="false">IF(B3191="","",IF(A3191=_xlfn.MINIFS($A$2:$A$5001,$B$2:$B$5001,B3191),1,0))</f>
        <v/>
      </c>
      <c r="K3191" s="16" t="str">
        <f aca="false">IF(B3191="","",IF(AND(D3191="Formalização",E3191="Concluído"),IF(COUNTIFS($B$2:$B$5001,B3191,$E$2:$E$5001,"Em ajustes",$A$2:$A$5001,"&lt;"&amp;I3191)&gt;0,1,0),0))</f>
        <v/>
      </c>
      <c r="L3191" s="16" t="str">
        <f aca="false">IF(B3191="","",IF(A3191=_xlfn.MAXIFS($A$2:$A$5001,$B$2:$B$5001,B3191,$I$2:$I$5001,I3191),1,0))</f>
        <v/>
      </c>
    </row>
    <row r="3192" customFormat="false" ht="15" hidden="false" customHeight="false" outlineLevel="0" collapsed="false">
      <c r="I3192" s="15" t="str">
        <f aca="false">IF(A3192="","",INT(A3192))</f>
        <v/>
      </c>
      <c r="J3192" s="16" t="str">
        <f aca="false">IF(B3192="","",IF(A3192=_xlfn.MINIFS($A$2:$A$5001,$B$2:$B$5001,B3192),1,0))</f>
        <v/>
      </c>
      <c r="K3192" s="16" t="str">
        <f aca="false">IF(B3192="","",IF(AND(D3192="Formalização",E3192="Concluído"),IF(COUNTIFS($B$2:$B$5001,B3192,$E$2:$E$5001,"Em ajustes",$A$2:$A$5001,"&lt;"&amp;I3192)&gt;0,1,0),0))</f>
        <v/>
      </c>
      <c r="L3192" s="16" t="str">
        <f aca="false">IF(B3192="","",IF(A3192=_xlfn.MAXIFS($A$2:$A$5001,$B$2:$B$5001,B3192,$I$2:$I$5001,I3192),1,0))</f>
        <v/>
      </c>
    </row>
    <row r="3193" customFormat="false" ht="15" hidden="false" customHeight="false" outlineLevel="0" collapsed="false">
      <c r="I3193" s="15" t="str">
        <f aca="false">IF(A3193="","",INT(A3193))</f>
        <v/>
      </c>
      <c r="J3193" s="16" t="str">
        <f aca="false">IF(B3193="","",IF(A3193=_xlfn.MINIFS($A$2:$A$5001,$B$2:$B$5001,B3193),1,0))</f>
        <v/>
      </c>
      <c r="K3193" s="16" t="str">
        <f aca="false">IF(B3193="","",IF(AND(D3193="Formalização",E3193="Concluído"),IF(COUNTIFS($B$2:$B$5001,B3193,$E$2:$E$5001,"Em ajustes",$A$2:$A$5001,"&lt;"&amp;I3193)&gt;0,1,0),0))</f>
        <v/>
      </c>
      <c r="L3193" s="16" t="str">
        <f aca="false">IF(B3193="","",IF(A3193=_xlfn.MAXIFS($A$2:$A$5001,$B$2:$B$5001,B3193,$I$2:$I$5001,I3193),1,0))</f>
        <v/>
      </c>
    </row>
    <row r="3194" customFormat="false" ht="15" hidden="false" customHeight="false" outlineLevel="0" collapsed="false">
      <c r="I3194" s="15" t="str">
        <f aca="false">IF(A3194="","",INT(A3194))</f>
        <v/>
      </c>
      <c r="J3194" s="16" t="str">
        <f aca="false">IF(B3194="","",IF(A3194=_xlfn.MINIFS($A$2:$A$5001,$B$2:$B$5001,B3194),1,0))</f>
        <v/>
      </c>
      <c r="K3194" s="16" t="str">
        <f aca="false">IF(B3194="","",IF(AND(D3194="Formalização",E3194="Concluído"),IF(COUNTIFS($B$2:$B$5001,B3194,$E$2:$E$5001,"Em ajustes",$A$2:$A$5001,"&lt;"&amp;I3194)&gt;0,1,0),0))</f>
        <v/>
      </c>
      <c r="L3194" s="16" t="str">
        <f aca="false">IF(B3194="","",IF(A3194=_xlfn.MAXIFS($A$2:$A$5001,$B$2:$B$5001,B3194,$I$2:$I$5001,I3194),1,0))</f>
        <v/>
      </c>
    </row>
    <row r="3195" customFormat="false" ht="15" hidden="false" customHeight="false" outlineLevel="0" collapsed="false">
      <c r="I3195" s="15" t="str">
        <f aca="false">IF(A3195="","",INT(A3195))</f>
        <v/>
      </c>
      <c r="J3195" s="16" t="str">
        <f aca="false">IF(B3195="","",IF(A3195=_xlfn.MINIFS($A$2:$A$5001,$B$2:$B$5001,B3195),1,0))</f>
        <v/>
      </c>
      <c r="K3195" s="16" t="str">
        <f aca="false">IF(B3195="","",IF(AND(D3195="Formalização",E3195="Concluído"),IF(COUNTIFS($B$2:$B$5001,B3195,$E$2:$E$5001,"Em ajustes",$A$2:$A$5001,"&lt;"&amp;I3195)&gt;0,1,0),0))</f>
        <v/>
      </c>
      <c r="L3195" s="16" t="str">
        <f aca="false">IF(B3195="","",IF(A3195=_xlfn.MAXIFS($A$2:$A$5001,$B$2:$B$5001,B3195,$I$2:$I$5001,I3195),1,0))</f>
        <v/>
      </c>
    </row>
    <row r="3196" customFormat="false" ht="15" hidden="false" customHeight="false" outlineLevel="0" collapsed="false">
      <c r="I3196" s="15" t="str">
        <f aca="false">IF(A3196="","",INT(A3196))</f>
        <v/>
      </c>
      <c r="J3196" s="16" t="str">
        <f aca="false">IF(B3196="","",IF(A3196=_xlfn.MINIFS($A$2:$A$5001,$B$2:$B$5001,B3196),1,0))</f>
        <v/>
      </c>
      <c r="K3196" s="16" t="str">
        <f aca="false">IF(B3196="","",IF(AND(D3196="Formalização",E3196="Concluído"),IF(COUNTIFS($B$2:$B$5001,B3196,$E$2:$E$5001,"Em ajustes",$A$2:$A$5001,"&lt;"&amp;I3196)&gt;0,1,0),0))</f>
        <v/>
      </c>
      <c r="L3196" s="16" t="str">
        <f aca="false">IF(B3196="","",IF(A3196=_xlfn.MAXIFS($A$2:$A$5001,$B$2:$B$5001,B3196,$I$2:$I$5001,I3196),1,0))</f>
        <v/>
      </c>
    </row>
    <row r="3197" customFormat="false" ht="15" hidden="false" customHeight="false" outlineLevel="0" collapsed="false">
      <c r="I3197" s="15" t="str">
        <f aca="false">IF(A3197="","",INT(A3197))</f>
        <v/>
      </c>
      <c r="J3197" s="16" t="str">
        <f aca="false">IF(B3197="","",IF(A3197=_xlfn.MINIFS($A$2:$A$5001,$B$2:$B$5001,B3197),1,0))</f>
        <v/>
      </c>
      <c r="K3197" s="16" t="str">
        <f aca="false">IF(B3197="","",IF(AND(D3197="Formalização",E3197="Concluído"),IF(COUNTIFS($B$2:$B$5001,B3197,$E$2:$E$5001,"Em ajustes",$A$2:$A$5001,"&lt;"&amp;I3197)&gt;0,1,0),0))</f>
        <v/>
      </c>
      <c r="L3197" s="16" t="str">
        <f aca="false">IF(B3197="","",IF(A3197=_xlfn.MAXIFS($A$2:$A$5001,$B$2:$B$5001,B3197,$I$2:$I$5001,I3197),1,0))</f>
        <v/>
      </c>
    </row>
    <row r="3198" customFormat="false" ht="15" hidden="false" customHeight="false" outlineLevel="0" collapsed="false">
      <c r="I3198" s="15" t="str">
        <f aca="false">IF(A3198="","",INT(A3198))</f>
        <v/>
      </c>
      <c r="J3198" s="16" t="str">
        <f aca="false">IF(B3198="","",IF(A3198=_xlfn.MINIFS($A$2:$A$5001,$B$2:$B$5001,B3198),1,0))</f>
        <v/>
      </c>
      <c r="K3198" s="16" t="str">
        <f aca="false">IF(B3198="","",IF(AND(D3198="Formalização",E3198="Concluído"),IF(COUNTIFS($B$2:$B$5001,B3198,$E$2:$E$5001,"Em ajustes",$A$2:$A$5001,"&lt;"&amp;I3198)&gt;0,1,0),0))</f>
        <v/>
      </c>
      <c r="L3198" s="16" t="str">
        <f aca="false">IF(B3198="","",IF(A3198=_xlfn.MAXIFS($A$2:$A$5001,$B$2:$B$5001,B3198,$I$2:$I$5001,I3198),1,0))</f>
        <v/>
      </c>
    </row>
    <row r="3199" customFormat="false" ht="15" hidden="false" customHeight="false" outlineLevel="0" collapsed="false">
      <c r="I3199" s="15" t="str">
        <f aca="false">IF(A3199="","",INT(A3199))</f>
        <v/>
      </c>
      <c r="J3199" s="16" t="str">
        <f aca="false">IF(B3199="","",IF(A3199=_xlfn.MINIFS($A$2:$A$5001,$B$2:$B$5001,B3199),1,0))</f>
        <v/>
      </c>
      <c r="K3199" s="16" t="str">
        <f aca="false">IF(B3199="","",IF(AND(D3199="Formalização",E3199="Concluído"),IF(COUNTIFS($B$2:$B$5001,B3199,$E$2:$E$5001,"Em ajustes",$A$2:$A$5001,"&lt;"&amp;I3199)&gt;0,1,0),0))</f>
        <v/>
      </c>
      <c r="L3199" s="16" t="str">
        <f aca="false">IF(B3199="","",IF(A3199=_xlfn.MAXIFS($A$2:$A$5001,$B$2:$B$5001,B3199,$I$2:$I$5001,I3199),1,0))</f>
        <v/>
      </c>
    </row>
    <row r="3200" customFormat="false" ht="15" hidden="false" customHeight="false" outlineLevel="0" collapsed="false">
      <c r="I3200" s="15" t="str">
        <f aca="false">IF(A3200="","",INT(A3200))</f>
        <v/>
      </c>
      <c r="J3200" s="16" t="str">
        <f aca="false">IF(B3200="","",IF(A3200=_xlfn.MINIFS($A$2:$A$5001,$B$2:$B$5001,B3200),1,0))</f>
        <v/>
      </c>
      <c r="K3200" s="16" t="str">
        <f aca="false">IF(B3200="","",IF(AND(D3200="Formalização",E3200="Concluído"),IF(COUNTIFS($B$2:$B$5001,B3200,$E$2:$E$5001,"Em ajustes",$A$2:$A$5001,"&lt;"&amp;I3200)&gt;0,1,0),0))</f>
        <v/>
      </c>
      <c r="L3200" s="16" t="str">
        <f aca="false">IF(B3200="","",IF(A3200=_xlfn.MAXIFS($A$2:$A$5001,$B$2:$B$5001,B3200,$I$2:$I$5001,I3200),1,0))</f>
        <v/>
      </c>
    </row>
    <row r="3201" customFormat="false" ht="15" hidden="false" customHeight="false" outlineLevel="0" collapsed="false">
      <c r="I3201" s="15" t="str">
        <f aca="false">IF(A3201="","",INT(A3201))</f>
        <v/>
      </c>
      <c r="J3201" s="16" t="str">
        <f aca="false">IF(B3201="","",IF(A3201=_xlfn.MINIFS($A$2:$A$5001,$B$2:$B$5001,B3201),1,0))</f>
        <v/>
      </c>
      <c r="K3201" s="16" t="str">
        <f aca="false">IF(B3201="","",IF(AND(D3201="Formalização",E3201="Concluído"),IF(COUNTIFS($B$2:$B$5001,B3201,$E$2:$E$5001,"Em ajustes",$A$2:$A$5001,"&lt;"&amp;I3201)&gt;0,1,0),0))</f>
        <v/>
      </c>
      <c r="L3201" s="16" t="str">
        <f aca="false">IF(B3201="","",IF(A3201=_xlfn.MAXIFS($A$2:$A$5001,$B$2:$B$5001,B3201,$I$2:$I$5001,I3201),1,0))</f>
        <v/>
      </c>
    </row>
    <row r="3202" customFormat="false" ht="15" hidden="false" customHeight="false" outlineLevel="0" collapsed="false">
      <c r="I3202" s="15" t="str">
        <f aca="false">IF(A3202="","",INT(A3202))</f>
        <v/>
      </c>
      <c r="J3202" s="16" t="str">
        <f aca="false">IF(B3202="","",IF(A3202=_xlfn.MINIFS($A$2:$A$5001,$B$2:$B$5001,B3202),1,0))</f>
        <v/>
      </c>
      <c r="K3202" s="16" t="str">
        <f aca="false">IF(B3202="","",IF(AND(D3202="Formalização",E3202="Concluído"),IF(COUNTIFS($B$2:$B$5001,B3202,$E$2:$E$5001,"Em ajustes",$A$2:$A$5001,"&lt;"&amp;I3202)&gt;0,1,0),0))</f>
        <v/>
      </c>
      <c r="L3202" s="16" t="str">
        <f aca="false">IF(B3202="","",IF(A3202=_xlfn.MAXIFS($A$2:$A$5001,$B$2:$B$5001,B3202,$I$2:$I$5001,I3202),1,0))</f>
        <v/>
      </c>
    </row>
    <row r="3203" customFormat="false" ht="15" hidden="false" customHeight="false" outlineLevel="0" collapsed="false">
      <c r="I3203" s="15" t="str">
        <f aca="false">IF(A3203="","",INT(A3203))</f>
        <v/>
      </c>
      <c r="J3203" s="16" t="str">
        <f aca="false">IF(B3203="","",IF(A3203=_xlfn.MINIFS($A$2:$A$5001,$B$2:$B$5001,B3203),1,0))</f>
        <v/>
      </c>
      <c r="K3203" s="16" t="str">
        <f aca="false">IF(B3203="","",IF(AND(D3203="Formalização",E3203="Concluído"),IF(COUNTIFS($B$2:$B$5001,B3203,$E$2:$E$5001,"Em ajustes",$A$2:$A$5001,"&lt;"&amp;I3203)&gt;0,1,0),0))</f>
        <v/>
      </c>
      <c r="L3203" s="16" t="str">
        <f aca="false">IF(B3203="","",IF(A3203=_xlfn.MAXIFS($A$2:$A$5001,$B$2:$B$5001,B3203,$I$2:$I$5001,I3203),1,0))</f>
        <v/>
      </c>
    </row>
    <row r="3204" customFormat="false" ht="15" hidden="false" customHeight="false" outlineLevel="0" collapsed="false">
      <c r="I3204" s="15" t="str">
        <f aca="false">IF(A3204="","",INT(A3204))</f>
        <v/>
      </c>
      <c r="J3204" s="16" t="str">
        <f aca="false">IF(B3204="","",IF(A3204=_xlfn.MINIFS($A$2:$A$5001,$B$2:$B$5001,B3204),1,0))</f>
        <v/>
      </c>
      <c r="K3204" s="16" t="str">
        <f aca="false">IF(B3204="","",IF(AND(D3204="Formalização",E3204="Concluído"),IF(COUNTIFS($B$2:$B$5001,B3204,$E$2:$E$5001,"Em ajustes",$A$2:$A$5001,"&lt;"&amp;I3204)&gt;0,1,0),0))</f>
        <v/>
      </c>
      <c r="L3204" s="16" t="str">
        <f aca="false">IF(B3204="","",IF(A3204=_xlfn.MAXIFS($A$2:$A$5001,$B$2:$B$5001,B3204,$I$2:$I$5001,I3204),1,0))</f>
        <v/>
      </c>
    </row>
    <row r="3205" customFormat="false" ht="15" hidden="false" customHeight="false" outlineLevel="0" collapsed="false">
      <c r="I3205" s="15" t="str">
        <f aca="false">IF(A3205="","",INT(A3205))</f>
        <v/>
      </c>
      <c r="J3205" s="16" t="str">
        <f aca="false">IF(B3205="","",IF(A3205=_xlfn.MINIFS($A$2:$A$5001,$B$2:$B$5001,B3205),1,0))</f>
        <v/>
      </c>
      <c r="K3205" s="16" t="str">
        <f aca="false">IF(B3205="","",IF(AND(D3205="Formalização",E3205="Concluído"),IF(COUNTIFS($B$2:$B$5001,B3205,$E$2:$E$5001,"Em ajustes",$A$2:$A$5001,"&lt;"&amp;I3205)&gt;0,1,0),0))</f>
        <v/>
      </c>
      <c r="L3205" s="16" t="str">
        <f aca="false">IF(B3205="","",IF(A3205=_xlfn.MAXIFS($A$2:$A$5001,$B$2:$B$5001,B3205,$I$2:$I$5001,I3205),1,0))</f>
        <v/>
      </c>
    </row>
    <row r="3206" customFormat="false" ht="15" hidden="false" customHeight="false" outlineLevel="0" collapsed="false">
      <c r="I3206" s="15" t="str">
        <f aca="false">IF(A3206="","",INT(A3206))</f>
        <v/>
      </c>
      <c r="J3206" s="16" t="str">
        <f aca="false">IF(B3206="","",IF(A3206=_xlfn.MINIFS($A$2:$A$5001,$B$2:$B$5001,B3206),1,0))</f>
        <v/>
      </c>
      <c r="K3206" s="16" t="str">
        <f aca="false">IF(B3206="","",IF(AND(D3206="Formalização",E3206="Concluído"),IF(COUNTIFS($B$2:$B$5001,B3206,$E$2:$E$5001,"Em ajustes",$A$2:$A$5001,"&lt;"&amp;I3206)&gt;0,1,0),0))</f>
        <v/>
      </c>
      <c r="L3206" s="16" t="str">
        <f aca="false">IF(B3206="","",IF(A3206=_xlfn.MAXIFS($A$2:$A$5001,$B$2:$B$5001,B3206,$I$2:$I$5001,I3206),1,0))</f>
        <v/>
      </c>
    </row>
    <row r="3207" customFormat="false" ht="15" hidden="false" customHeight="false" outlineLevel="0" collapsed="false">
      <c r="I3207" s="15" t="str">
        <f aca="false">IF(A3207="","",INT(A3207))</f>
        <v/>
      </c>
      <c r="J3207" s="16" t="str">
        <f aca="false">IF(B3207="","",IF(A3207=_xlfn.MINIFS($A$2:$A$5001,$B$2:$B$5001,B3207),1,0))</f>
        <v/>
      </c>
      <c r="K3207" s="16" t="str">
        <f aca="false">IF(B3207="","",IF(AND(D3207="Formalização",E3207="Concluído"),IF(COUNTIFS($B$2:$B$5001,B3207,$E$2:$E$5001,"Em ajustes",$A$2:$A$5001,"&lt;"&amp;I3207)&gt;0,1,0),0))</f>
        <v/>
      </c>
      <c r="L3207" s="16" t="str">
        <f aca="false">IF(B3207="","",IF(A3207=_xlfn.MAXIFS($A$2:$A$5001,$B$2:$B$5001,B3207,$I$2:$I$5001,I3207),1,0))</f>
        <v/>
      </c>
    </row>
    <row r="3208" customFormat="false" ht="15" hidden="false" customHeight="false" outlineLevel="0" collapsed="false">
      <c r="I3208" s="15" t="str">
        <f aca="false">IF(A3208="","",INT(A3208))</f>
        <v/>
      </c>
      <c r="J3208" s="16" t="str">
        <f aca="false">IF(B3208="","",IF(A3208=_xlfn.MINIFS($A$2:$A$5001,$B$2:$B$5001,B3208),1,0))</f>
        <v/>
      </c>
      <c r="K3208" s="16" t="str">
        <f aca="false">IF(B3208="","",IF(AND(D3208="Formalização",E3208="Concluído"),IF(COUNTIFS($B$2:$B$5001,B3208,$E$2:$E$5001,"Em ajustes",$A$2:$A$5001,"&lt;"&amp;I3208)&gt;0,1,0),0))</f>
        <v/>
      </c>
      <c r="L3208" s="16" t="str">
        <f aca="false">IF(B3208="","",IF(A3208=_xlfn.MAXIFS($A$2:$A$5001,$B$2:$B$5001,B3208,$I$2:$I$5001,I3208),1,0))</f>
        <v/>
      </c>
    </row>
    <row r="3209" customFormat="false" ht="15" hidden="false" customHeight="false" outlineLevel="0" collapsed="false">
      <c r="I3209" s="15" t="str">
        <f aca="false">IF(A3209="","",INT(A3209))</f>
        <v/>
      </c>
      <c r="J3209" s="16" t="str">
        <f aca="false">IF(B3209="","",IF(A3209=_xlfn.MINIFS($A$2:$A$5001,$B$2:$B$5001,B3209),1,0))</f>
        <v/>
      </c>
      <c r="K3209" s="16" t="str">
        <f aca="false">IF(B3209="","",IF(AND(D3209="Formalização",E3209="Concluído"),IF(COUNTIFS($B$2:$B$5001,B3209,$E$2:$E$5001,"Em ajustes",$A$2:$A$5001,"&lt;"&amp;I3209)&gt;0,1,0),0))</f>
        <v/>
      </c>
      <c r="L3209" s="16" t="str">
        <f aca="false">IF(B3209="","",IF(A3209=_xlfn.MAXIFS($A$2:$A$5001,$B$2:$B$5001,B3209,$I$2:$I$5001,I3209),1,0))</f>
        <v/>
      </c>
    </row>
    <row r="3210" customFormat="false" ht="15" hidden="false" customHeight="false" outlineLevel="0" collapsed="false">
      <c r="I3210" s="15" t="str">
        <f aca="false">IF(A3210="","",INT(A3210))</f>
        <v/>
      </c>
      <c r="J3210" s="16" t="str">
        <f aca="false">IF(B3210="","",IF(A3210=_xlfn.MINIFS($A$2:$A$5001,$B$2:$B$5001,B3210),1,0))</f>
        <v/>
      </c>
      <c r="K3210" s="16" t="str">
        <f aca="false">IF(B3210="","",IF(AND(D3210="Formalização",E3210="Concluído"),IF(COUNTIFS($B$2:$B$5001,B3210,$E$2:$E$5001,"Em ajustes",$A$2:$A$5001,"&lt;"&amp;I3210)&gt;0,1,0),0))</f>
        <v/>
      </c>
      <c r="L3210" s="16" t="str">
        <f aca="false">IF(B3210="","",IF(A3210=_xlfn.MAXIFS($A$2:$A$5001,$B$2:$B$5001,B3210,$I$2:$I$5001,I3210),1,0))</f>
        <v/>
      </c>
    </row>
    <row r="3211" customFormat="false" ht="15" hidden="false" customHeight="false" outlineLevel="0" collapsed="false">
      <c r="I3211" s="15" t="str">
        <f aca="false">IF(A3211="","",INT(A3211))</f>
        <v/>
      </c>
      <c r="J3211" s="16" t="str">
        <f aca="false">IF(B3211="","",IF(A3211=_xlfn.MINIFS($A$2:$A$5001,$B$2:$B$5001,B3211),1,0))</f>
        <v/>
      </c>
      <c r="K3211" s="16" t="str">
        <f aca="false">IF(B3211="","",IF(AND(D3211="Formalização",E3211="Concluído"),IF(COUNTIFS($B$2:$B$5001,B3211,$E$2:$E$5001,"Em ajustes",$A$2:$A$5001,"&lt;"&amp;I3211)&gt;0,1,0),0))</f>
        <v/>
      </c>
      <c r="L3211" s="16" t="str">
        <f aca="false">IF(B3211="","",IF(A3211=_xlfn.MAXIFS($A$2:$A$5001,$B$2:$B$5001,B3211,$I$2:$I$5001,I3211),1,0))</f>
        <v/>
      </c>
    </row>
    <row r="3212" customFormat="false" ht="15" hidden="false" customHeight="false" outlineLevel="0" collapsed="false">
      <c r="I3212" s="15" t="str">
        <f aca="false">IF(A3212="","",INT(A3212))</f>
        <v/>
      </c>
      <c r="J3212" s="16" t="str">
        <f aca="false">IF(B3212="","",IF(A3212=_xlfn.MINIFS($A$2:$A$5001,$B$2:$B$5001,B3212),1,0))</f>
        <v/>
      </c>
      <c r="K3212" s="16" t="str">
        <f aca="false">IF(B3212="","",IF(AND(D3212="Formalização",E3212="Concluído"),IF(COUNTIFS($B$2:$B$5001,B3212,$E$2:$E$5001,"Em ajustes",$A$2:$A$5001,"&lt;"&amp;I3212)&gt;0,1,0),0))</f>
        <v/>
      </c>
      <c r="L3212" s="16" t="str">
        <f aca="false">IF(B3212="","",IF(A3212=_xlfn.MAXIFS($A$2:$A$5001,$B$2:$B$5001,B3212,$I$2:$I$5001,I3212),1,0))</f>
        <v/>
      </c>
    </row>
    <row r="3213" customFormat="false" ht="15" hidden="false" customHeight="false" outlineLevel="0" collapsed="false">
      <c r="I3213" s="15" t="str">
        <f aca="false">IF(A3213="","",INT(A3213))</f>
        <v/>
      </c>
      <c r="J3213" s="16" t="str">
        <f aca="false">IF(B3213="","",IF(A3213=_xlfn.MINIFS($A$2:$A$5001,$B$2:$B$5001,B3213),1,0))</f>
        <v/>
      </c>
      <c r="K3213" s="16" t="str">
        <f aca="false">IF(B3213="","",IF(AND(D3213="Formalização",E3213="Concluído"),IF(COUNTIFS($B$2:$B$5001,B3213,$E$2:$E$5001,"Em ajustes",$A$2:$A$5001,"&lt;"&amp;I3213)&gt;0,1,0),0))</f>
        <v/>
      </c>
      <c r="L3213" s="16" t="str">
        <f aca="false">IF(B3213="","",IF(A3213=_xlfn.MAXIFS($A$2:$A$5001,$B$2:$B$5001,B3213,$I$2:$I$5001,I3213),1,0))</f>
        <v/>
      </c>
    </row>
    <row r="3214" customFormat="false" ht="15" hidden="false" customHeight="false" outlineLevel="0" collapsed="false">
      <c r="I3214" s="15" t="str">
        <f aca="false">IF(A3214="","",INT(A3214))</f>
        <v/>
      </c>
      <c r="J3214" s="16" t="str">
        <f aca="false">IF(B3214="","",IF(A3214=_xlfn.MINIFS($A$2:$A$5001,$B$2:$B$5001,B3214),1,0))</f>
        <v/>
      </c>
      <c r="K3214" s="16" t="str">
        <f aca="false">IF(B3214="","",IF(AND(D3214="Formalização",E3214="Concluído"),IF(COUNTIFS($B$2:$B$5001,B3214,$E$2:$E$5001,"Em ajustes",$A$2:$A$5001,"&lt;"&amp;I3214)&gt;0,1,0),0))</f>
        <v/>
      </c>
      <c r="L3214" s="16" t="str">
        <f aca="false">IF(B3214="","",IF(A3214=_xlfn.MAXIFS($A$2:$A$5001,$B$2:$B$5001,B3214,$I$2:$I$5001,I3214),1,0))</f>
        <v/>
      </c>
    </row>
    <row r="3215" customFormat="false" ht="15" hidden="false" customHeight="false" outlineLevel="0" collapsed="false">
      <c r="I3215" s="15" t="str">
        <f aca="false">IF(A3215="","",INT(A3215))</f>
        <v/>
      </c>
      <c r="J3215" s="16" t="str">
        <f aca="false">IF(B3215="","",IF(A3215=_xlfn.MINIFS($A$2:$A$5001,$B$2:$B$5001,B3215),1,0))</f>
        <v/>
      </c>
      <c r="K3215" s="16" t="str">
        <f aca="false">IF(B3215="","",IF(AND(D3215="Formalização",E3215="Concluído"),IF(COUNTIFS($B$2:$B$5001,B3215,$E$2:$E$5001,"Em ajustes",$A$2:$A$5001,"&lt;"&amp;I3215)&gt;0,1,0),0))</f>
        <v/>
      </c>
      <c r="L3215" s="16" t="str">
        <f aca="false">IF(B3215="","",IF(A3215=_xlfn.MAXIFS($A$2:$A$5001,$B$2:$B$5001,B3215,$I$2:$I$5001,I3215),1,0))</f>
        <v/>
      </c>
    </row>
    <row r="3216" customFormat="false" ht="15" hidden="false" customHeight="false" outlineLevel="0" collapsed="false">
      <c r="I3216" s="15" t="str">
        <f aca="false">IF(A3216="","",INT(A3216))</f>
        <v/>
      </c>
      <c r="J3216" s="16" t="str">
        <f aca="false">IF(B3216="","",IF(A3216=_xlfn.MINIFS($A$2:$A$5001,$B$2:$B$5001,B3216),1,0))</f>
        <v/>
      </c>
      <c r="K3216" s="16" t="str">
        <f aca="false">IF(B3216="","",IF(AND(D3216="Formalização",E3216="Concluído"),IF(COUNTIFS($B$2:$B$5001,B3216,$E$2:$E$5001,"Em ajustes",$A$2:$A$5001,"&lt;"&amp;I3216)&gt;0,1,0),0))</f>
        <v/>
      </c>
      <c r="L3216" s="16" t="str">
        <f aca="false">IF(B3216="","",IF(A3216=_xlfn.MAXIFS($A$2:$A$5001,$B$2:$B$5001,B3216,$I$2:$I$5001,I3216),1,0))</f>
        <v/>
      </c>
    </row>
    <row r="3217" customFormat="false" ht="15" hidden="false" customHeight="false" outlineLevel="0" collapsed="false">
      <c r="I3217" s="15" t="str">
        <f aca="false">IF(A3217="","",INT(A3217))</f>
        <v/>
      </c>
      <c r="J3217" s="16" t="str">
        <f aca="false">IF(B3217="","",IF(A3217=_xlfn.MINIFS($A$2:$A$5001,$B$2:$B$5001,B3217),1,0))</f>
        <v/>
      </c>
      <c r="K3217" s="16" t="str">
        <f aca="false">IF(B3217="","",IF(AND(D3217="Formalização",E3217="Concluído"),IF(COUNTIFS($B$2:$B$5001,B3217,$E$2:$E$5001,"Em ajustes",$A$2:$A$5001,"&lt;"&amp;I3217)&gt;0,1,0),0))</f>
        <v/>
      </c>
      <c r="L3217" s="16" t="str">
        <f aca="false">IF(B3217="","",IF(A3217=_xlfn.MAXIFS($A$2:$A$5001,$B$2:$B$5001,B3217,$I$2:$I$5001,I3217),1,0))</f>
        <v/>
      </c>
    </row>
    <row r="3218" customFormat="false" ht="15" hidden="false" customHeight="false" outlineLevel="0" collapsed="false">
      <c r="I3218" s="15" t="str">
        <f aca="false">IF(A3218="","",INT(A3218))</f>
        <v/>
      </c>
      <c r="J3218" s="16" t="str">
        <f aca="false">IF(B3218="","",IF(A3218=_xlfn.MINIFS($A$2:$A$5001,$B$2:$B$5001,B3218),1,0))</f>
        <v/>
      </c>
      <c r="K3218" s="16" t="str">
        <f aca="false">IF(B3218="","",IF(AND(D3218="Formalização",E3218="Concluído"),IF(COUNTIFS($B$2:$B$5001,B3218,$E$2:$E$5001,"Em ajustes",$A$2:$A$5001,"&lt;"&amp;I3218)&gt;0,1,0),0))</f>
        <v/>
      </c>
      <c r="L3218" s="16" t="str">
        <f aca="false">IF(B3218="","",IF(A3218=_xlfn.MAXIFS($A$2:$A$5001,$B$2:$B$5001,B3218,$I$2:$I$5001,I3218),1,0))</f>
        <v/>
      </c>
    </row>
    <row r="3219" customFormat="false" ht="15" hidden="false" customHeight="false" outlineLevel="0" collapsed="false">
      <c r="I3219" s="15" t="str">
        <f aca="false">IF(A3219="","",INT(A3219))</f>
        <v/>
      </c>
      <c r="J3219" s="16" t="str">
        <f aca="false">IF(B3219="","",IF(A3219=_xlfn.MINIFS($A$2:$A$5001,$B$2:$B$5001,B3219),1,0))</f>
        <v/>
      </c>
      <c r="K3219" s="16" t="str">
        <f aca="false">IF(B3219="","",IF(AND(D3219="Formalização",E3219="Concluído"),IF(COUNTIFS($B$2:$B$5001,B3219,$E$2:$E$5001,"Em ajustes",$A$2:$A$5001,"&lt;"&amp;I3219)&gt;0,1,0),0))</f>
        <v/>
      </c>
      <c r="L3219" s="16" t="str">
        <f aca="false">IF(B3219="","",IF(A3219=_xlfn.MAXIFS($A$2:$A$5001,$B$2:$B$5001,B3219,$I$2:$I$5001,I3219),1,0))</f>
        <v/>
      </c>
    </row>
    <row r="3220" customFormat="false" ht="15" hidden="false" customHeight="false" outlineLevel="0" collapsed="false">
      <c r="I3220" s="15" t="str">
        <f aca="false">IF(A3220="","",INT(A3220))</f>
        <v/>
      </c>
      <c r="J3220" s="16" t="str">
        <f aca="false">IF(B3220="","",IF(A3220=_xlfn.MINIFS($A$2:$A$5001,$B$2:$B$5001,B3220),1,0))</f>
        <v/>
      </c>
      <c r="K3220" s="16" t="str">
        <f aca="false">IF(B3220="","",IF(AND(D3220="Formalização",E3220="Concluído"),IF(COUNTIFS($B$2:$B$5001,B3220,$E$2:$E$5001,"Em ajustes",$A$2:$A$5001,"&lt;"&amp;I3220)&gt;0,1,0),0))</f>
        <v/>
      </c>
      <c r="L3220" s="16" t="str">
        <f aca="false">IF(B3220="","",IF(A3220=_xlfn.MAXIFS($A$2:$A$5001,$B$2:$B$5001,B3220,$I$2:$I$5001,I3220),1,0))</f>
        <v/>
      </c>
    </row>
    <row r="3221" customFormat="false" ht="15" hidden="false" customHeight="false" outlineLevel="0" collapsed="false">
      <c r="I3221" s="15" t="str">
        <f aca="false">IF(A3221="","",INT(A3221))</f>
        <v/>
      </c>
      <c r="J3221" s="16" t="str">
        <f aca="false">IF(B3221="","",IF(A3221=_xlfn.MINIFS($A$2:$A$5001,$B$2:$B$5001,B3221),1,0))</f>
        <v/>
      </c>
      <c r="K3221" s="16" t="str">
        <f aca="false">IF(B3221="","",IF(AND(D3221="Formalização",E3221="Concluído"),IF(COUNTIFS($B$2:$B$5001,B3221,$E$2:$E$5001,"Em ajustes",$A$2:$A$5001,"&lt;"&amp;I3221)&gt;0,1,0),0))</f>
        <v/>
      </c>
      <c r="L3221" s="16" t="str">
        <f aca="false">IF(B3221="","",IF(A3221=_xlfn.MAXIFS($A$2:$A$5001,$B$2:$B$5001,B3221,$I$2:$I$5001,I3221),1,0))</f>
        <v/>
      </c>
    </row>
    <row r="3222" customFormat="false" ht="15" hidden="false" customHeight="false" outlineLevel="0" collapsed="false">
      <c r="I3222" s="15" t="str">
        <f aca="false">IF(A3222="","",INT(A3222))</f>
        <v/>
      </c>
      <c r="J3222" s="16" t="str">
        <f aca="false">IF(B3222="","",IF(A3222=_xlfn.MINIFS($A$2:$A$5001,$B$2:$B$5001,B3222),1,0))</f>
        <v/>
      </c>
      <c r="K3222" s="16" t="str">
        <f aca="false">IF(B3222="","",IF(AND(D3222="Formalização",E3222="Concluído"),IF(COUNTIFS($B$2:$B$5001,B3222,$E$2:$E$5001,"Em ajustes",$A$2:$A$5001,"&lt;"&amp;I3222)&gt;0,1,0),0))</f>
        <v/>
      </c>
      <c r="L3222" s="16" t="str">
        <f aca="false">IF(B3222="","",IF(A3222=_xlfn.MAXIFS($A$2:$A$5001,$B$2:$B$5001,B3222,$I$2:$I$5001,I3222),1,0))</f>
        <v/>
      </c>
    </row>
    <row r="3223" customFormat="false" ht="15" hidden="false" customHeight="false" outlineLevel="0" collapsed="false">
      <c r="I3223" s="15" t="str">
        <f aca="false">IF(A3223="","",INT(A3223))</f>
        <v/>
      </c>
      <c r="J3223" s="16" t="str">
        <f aca="false">IF(B3223="","",IF(A3223=_xlfn.MINIFS($A$2:$A$5001,$B$2:$B$5001,B3223),1,0))</f>
        <v/>
      </c>
      <c r="K3223" s="16" t="str">
        <f aca="false">IF(B3223="","",IF(AND(D3223="Formalização",E3223="Concluído"),IF(COUNTIFS($B$2:$B$5001,B3223,$E$2:$E$5001,"Em ajustes",$A$2:$A$5001,"&lt;"&amp;I3223)&gt;0,1,0),0))</f>
        <v/>
      </c>
      <c r="L3223" s="16" t="str">
        <f aca="false">IF(B3223="","",IF(A3223=_xlfn.MAXIFS($A$2:$A$5001,$B$2:$B$5001,B3223,$I$2:$I$5001,I3223),1,0))</f>
        <v/>
      </c>
    </row>
    <row r="3224" customFormat="false" ht="15" hidden="false" customHeight="false" outlineLevel="0" collapsed="false">
      <c r="I3224" s="15" t="str">
        <f aca="false">IF(A3224="","",INT(A3224))</f>
        <v/>
      </c>
      <c r="J3224" s="16" t="str">
        <f aca="false">IF(B3224="","",IF(A3224=_xlfn.MINIFS($A$2:$A$5001,$B$2:$B$5001,B3224),1,0))</f>
        <v/>
      </c>
      <c r="K3224" s="16" t="str">
        <f aca="false">IF(B3224="","",IF(AND(D3224="Formalização",E3224="Concluído"),IF(COUNTIFS($B$2:$B$5001,B3224,$E$2:$E$5001,"Em ajustes",$A$2:$A$5001,"&lt;"&amp;I3224)&gt;0,1,0),0))</f>
        <v/>
      </c>
      <c r="L3224" s="16" t="str">
        <f aca="false">IF(B3224="","",IF(A3224=_xlfn.MAXIFS($A$2:$A$5001,$B$2:$B$5001,B3224,$I$2:$I$5001,I3224),1,0))</f>
        <v/>
      </c>
    </row>
    <row r="3225" customFormat="false" ht="15" hidden="false" customHeight="false" outlineLevel="0" collapsed="false">
      <c r="I3225" s="15" t="str">
        <f aca="false">IF(A3225="","",INT(A3225))</f>
        <v/>
      </c>
      <c r="J3225" s="16" t="str">
        <f aca="false">IF(B3225="","",IF(A3225=_xlfn.MINIFS($A$2:$A$5001,$B$2:$B$5001,B3225),1,0))</f>
        <v/>
      </c>
      <c r="K3225" s="16" t="str">
        <f aca="false">IF(B3225="","",IF(AND(D3225="Formalização",E3225="Concluído"),IF(COUNTIFS($B$2:$B$5001,B3225,$E$2:$E$5001,"Em ajustes",$A$2:$A$5001,"&lt;"&amp;I3225)&gt;0,1,0),0))</f>
        <v/>
      </c>
      <c r="L3225" s="16" t="str">
        <f aca="false">IF(B3225="","",IF(A3225=_xlfn.MAXIFS($A$2:$A$5001,$B$2:$B$5001,B3225,$I$2:$I$5001,I3225),1,0))</f>
        <v/>
      </c>
    </row>
    <row r="3226" customFormat="false" ht="15" hidden="false" customHeight="false" outlineLevel="0" collapsed="false">
      <c r="I3226" s="15" t="str">
        <f aca="false">IF(A3226="","",INT(A3226))</f>
        <v/>
      </c>
      <c r="J3226" s="16" t="str">
        <f aca="false">IF(B3226="","",IF(A3226=_xlfn.MINIFS($A$2:$A$5001,$B$2:$B$5001,B3226),1,0))</f>
        <v/>
      </c>
      <c r="K3226" s="16" t="str">
        <f aca="false">IF(B3226="","",IF(AND(D3226="Formalização",E3226="Concluído"),IF(COUNTIFS($B$2:$B$5001,B3226,$E$2:$E$5001,"Em ajustes",$A$2:$A$5001,"&lt;"&amp;I3226)&gt;0,1,0),0))</f>
        <v/>
      </c>
      <c r="L3226" s="16" t="str">
        <f aca="false">IF(B3226="","",IF(A3226=_xlfn.MAXIFS($A$2:$A$5001,$B$2:$B$5001,B3226,$I$2:$I$5001,I3226),1,0))</f>
        <v/>
      </c>
    </row>
    <row r="3227" customFormat="false" ht="15" hidden="false" customHeight="false" outlineLevel="0" collapsed="false">
      <c r="I3227" s="15" t="str">
        <f aca="false">IF(A3227="","",INT(A3227))</f>
        <v/>
      </c>
      <c r="J3227" s="16" t="str">
        <f aca="false">IF(B3227="","",IF(A3227=_xlfn.MINIFS($A$2:$A$5001,$B$2:$B$5001,B3227),1,0))</f>
        <v/>
      </c>
      <c r="K3227" s="16" t="str">
        <f aca="false">IF(B3227="","",IF(AND(D3227="Formalização",E3227="Concluído"),IF(COUNTIFS($B$2:$B$5001,B3227,$E$2:$E$5001,"Em ajustes",$A$2:$A$5001,"&lt;"&amp;I3227)&gt;0,1,0),0))</f>
        <v/>
      </c>
      <c r="L3227" s="16" t="str">
        <f aca="false">IF(B3227="","",IF(A3227=_xlfn.MAXIFS($A$2:$A$5001,$B$2:$B$5001,B3227,$I$2:$I$5001,I3227),1,0))</f>
        <v/>
      </c>
    </row>
    <row r="3228" customFormat="false" ht="15" hidden="false" customHeight="false" outlineLevel="0" collapsed="false">
      <c r="I3228" s="15" t="str">
        <f aca="false">IF(A3228="","",INT(A3228))</f>
        <v/>
      </c>
      <c r="J3228" s="16" t="str">
        <f aca="false">IF(B3228="","",IF(A3228=_xlfn.MINIFS($A$2:$A$5001,$B$2:$B$5001,B3228),1,0))</f>
        <v/>
      </c>
      <c r="K3228" s="16" t="str">
        <f aca="false">IF(B3228="","",IF(AND(D3228="Formalização",E3228="Concluído"),IF(COUNTIFS($B$2:$B$5001,B3228,$E$2:$E$5001,"Em ajustes",$A$2:$A$5001,"&lt;"&amp;I3228)&gt;0,1,0),0))</f>
        <v/>
      </c>
      <c r="L3228" s="16" t="str">
        <f aca="false">IF(B3228="","",IF(A3228=_xlfn.MAXIFS($A$2:$A$5001,$B$2:$B$5001,B3228,$I$2:$I$5001,I3228),1,0))</f>
        <v/>
      </c>
    </row>
    <row r="3229" customFormat="false" ht="15" hidden="false" customHeight="false" outlineLevel="0" collapsed="false">
      <c r="I3229" s="15" t="str">
        <f aca="false">IF(A3229="","",INT(A3229))</f>
        <v/>
      </c>
      <c r="J3229" s="16" t="str">
        <f aca="false">IF(B3229="","",IF(A3229=_xlfn.MINIFS($A$2:$A$5001,$B$2:$B$5001,B3229),1,0))</f>
        <v/>
      </c>
      <c r="K3229" s="16" t="str">
        <f aca="false">IF(B3229="","",IF(AND(D3229="Formalização",E3229="Concluído"),IF(COUNTIFS($B$2:$B$5001,B3229,$E$2:$E$5001,"Em ajustes",$A$2:$A$5001,"&lt;"&amp;I3229)&gt;0,1,0),0))</f>
        <v/>
      </c>
      <c r="L3229" s="16" t="str">
        <f aca="false">IF(B3229="","",IF(A3229=_xlfn.MAXIFS($A$2:$A$5001,$B$2:$B$5001,B3229,$I$2:$I$5001,I3229),1,0))</f>
        <v/>
      </c>
    </row>
    <row r="3230" customFormat="false" ht="15" hidden="false" customHeight="false" outlineLevel="0" collapsed="false">
      <c r="I3230" s="15" t="str">
        <f aca="false">IF(A3230="","",INT(A3230))</f>
        <v/>
      </c>
      <c r="J3230" s="16" t="str">
        <f aca="false">IF(B3230="","",IF(A3230=_xlfn.MINIFS($A$2:$A$5001,$B$2:$B$5001,B3230),1,0))</f>
        <v/>
      </c>
      <c r="K3230" s="16" t="str">
        <f aca="false">IF(B3230="","",IF(AND(D3230="Formalização",E3230="Concluído"),IF(COUNTIFS($B$2:$B$5001,B3230,$E$2:$E$5001,"Em ajustes",$A$2:$A$5001,"&lt;"&amp;I3230)&gt;0,1,0),0))</f>
        <v/>
      </c>
      <c r="L3230" s="16" t="str">
        <f aca="false">IF(B3230="","",IF(A3230=_xlfn.MAXIFS($A$2:$A$5001,$B$2:$B$5001,B3230,$I$2:$I$5001,I3230),1,0))</f>
        <v/>
      </c>
    </row>
    <row r="3231" customFormat="false" ht="15" hidden="false" customHeight="false" outlineLevel="0" collapsed="false">
      <c r="I3231" s="15" t="str">
        <f aca="false">IF(A3231="","",INT(A3231))</f>
        <v/>
      </c>
      <c r="J3231" s="16" t="str">
        <f aca="false">IF(B3231="","",IF(A3231=_xlfn.MINIFS($A$2:$A$5001,$B$2:$B$5001,B3231),1,0))</f>
        <v/>
      </c>
      <c r="K3231" s="16" t="str">
        <f aca="false">IF(B3231="","",IF(AND(D3231="Formalização",E3231="Concluído"),IF(COUNTIFS($B$2:$B$5001,B3231,$E$2:$E$5001,"Em ajustes",$A$2:$A$5001,"&lt;"&amp;I3231)&gt;0,1,0),0))</f>
        <v/>
      </c>
      <c r="L3231" s="16" t="str">
        <f aca="false">IF(B3231="","",IF(A3231=_xlfn.MAXIFS($A$2:$A$5001,$B$2:$B$5001,B3231,$I$2:$I$5001,I3231),1,0))</f>
        <v/>
      </c>
    </row>
    <row r="3232" customFormat="false" ht="15" hidden="false" customHeight="false" outlineLevel="0" collapsed="false">
      <c r="I3232" s="15" t="str">
        <f aca="false">IF(A3232="","",INT(A3232))</f>
        <v/>
      </c>
      <c r="J3232" s="16" t="str">
        <f aca="false">IF(B3232="","",IF(A3232=_xlfn.MINIFS($A$2:$A$5001,$B$2:$B$5001,B3232),1,0))</f>
        <v/>
      </c>
      <c r="K3232" s="16" t="str">
        <f aca="false">IF(B3232="","",IF(AND(D3232="Formalização",E3232="Concluído"),IF(COUNTIFS($B$2:$B$5001,B3232,$E$2:$E$5001,"Em ajustes",$A$2:$A$5001,"&lt;"&amp;I3232)&gt;0,1,0),0))</f>
        <v/>
      </c>
      <c r="L3232" s="16" t="str">
        <f aca="false">IF(B3232="","",IF(A3232=_xlfn.MAXIFS($A$2:$A$5001,$B$2:$B$5001,B3232,$I$2:$I$5001,I3232),1,0))</f>
        <v/>
      </c>
    </row>
    <row r="3233" customFormat="false" ht="15" hidden="false" customHeight="false" outlineLevel="0" collapsed="false">
      <c r="I3233" s="15" t="str">
        <f aca="false">IF(A3233="","",INT(A3233))</f>
        <v/>
      </c>
      <c r="J3233" s="16" t="str">
        <f aca="false">IF(B3233="","",IF(A3233=_xlfn.MINIFS($A$2:$A$5001,$B$2:$B$5001,B3233),1,0))</f>
        <v/>
      </c>
      <c r="K3233" s="16" t="str">
        <f aca="false">IF(B3233="","",IF(AND(D3233="Formalização",E3233="Concluído"),IF(COUNTIFS($B$2:$B$5001,B3233,$E$2:$E$5001,"Em ajustes",$A$2:$A$5001,"&lt;"&amp;I3233)&gt;0,1,0),0))</f>
        <v/>
      </c>
      <c r="L3233" s="16" t="str">
        <f aca="false">IF(B3233="","",IF(A3233=_xlfn.MAXIFS($A$2:$A$5001,$B$2:$B$5001,B3233,$I$2:$I$5001,I3233),1,0))</f>
        <v/>
      </c>
    </row>
    <row r="3234" customFormat="false" ht="15" hidden="false" customHeight="false" outlineLevel="0" collapsed="false">
      <c r="I3234" s="15" t="str">
        <f aca="false">IF(A3234="","",INT(A3234))</f>
        <v/>
      </c>
      <c r="J3234" s="16" t="str">
        <f aca="false">IF(B3234="","",IF(A3234=_xlfn.MINIFS($A$2:$A$5001,$B$2:$B$5001,B3234),1,0))</f>
        <v/>
      </c>
      <c r="K3234" s="16" t="str">
        <f aca="false">IF(B3234="","",IF(AND(D3234="Formalização",E3234="Concluído"),IF(COUNTIFS($B$2:$B$5001,B3234,$E$2:$E$5001,"Em ajustes",$A$2:$A$5001,"&lt;"&amp;I3234)&gt;0,1,0),0))</f>
        <v/>
      </c>
      <c r="L3234" s="16" t="str">
        <f aca="false">IF(B3234="","",IF(A3234=_xlfn.MAXIFS($A$2:$A$5001,$B$2:$B$5001,B3234,$I$2:$I$5001,I3234),1,0))</f>
        <v/>
      </c>
    </row>
    <row r="3235" customFormat="false" ht="15" hidden="false" customHeight="false" outlineLevel="0" collapsed="false">
      <c r="I3235" s="15" t="str">
        <f aca="false">IF(A3235="","",INT(A3235))</f>
        <v/>
      </c>
      <c r="J3235" s="16" t="str">
        <f aca="false">IF(B3235="","",IF(A3235=_xlfn.MINIFS($A$2:$A$5001,$B$2:$B$5001,B3235),1,0))</f>
        <v/>
      </c>
      <c r="K3235" s="16" t="str">
        <f aca="false">IF(B3235="","",IF(AND(D3235="Formalização",E3235="Concluído"),IF(COUNTIFS($B$2:$B$5001,B3235,$E$2:$E$5001,"Em ajustes",$A$2:$A$5001,"&lt;"&amp;I3235)&gt;0,1,0),0))</f>
        <v/>
      </c>
      <c r="L3235" s="16" t="str">
        <f aca="false">IF(B3235="","",IF(A3235=_xlfn.MAXIFS($A$2:$A$5001,$B$2:$B$5001,B3235,$I$2:$I$5001,I3235),1,0))</f>
        <v/>
      </c>
    </row>
    <row r="3236" customFormat="false" ht="15" hidden="false" customHeight="false" outlineLevel="0" collapsed="false">
      <c r="I3236" s="15" t="str">
        <f aca="false">IF(A3236="","",INT(A3236))</f>
        <v/>
      </c>
      <c r="J3236" s="16" t="str">
        <f aca="false">IF(B3236="","",IF(A3236=_xlfn.MINIFS($A$2:$A$5001,$B$2:$B$5001,B3236),1,0))</f>
        <v/>
      </c>
      <c r="K3236" s="16" t="str">
        <f aca="false">IF(B3236="","",IF(AND(D3236="Formalização",E3236="Concluído"),IF(COUNTIFS($B$2:$B$5001,B3236,$E$2:$E$5001,"Em ajustes",$A$2:$A$5001,"&lt;"&amp;I3236)&gt;0,1,0),0))</f>
        <v/>
      </c>
      <c r="L3236" s="16" t="str">
        <f aca="false">IF(B3236="","",IF(A3236=_xlfn.MAXIFS($A$2:$A$5001,$B$2:$B$5001,B3236,$I$2:$I$5001,I3236),1,0))</f>
        <v/>
      </c>
    </row>
    <row r="3237" customFormat="false" ht="15" hidden="false" customHeight="false" outlineLevel="0" collapsed="false">
      <c r="I3237" s="15" t="str">
        <f aca="false">IF(A3237="","",INT(A3237))</f>
        <v/>
      </c>
      <c r="J3237" s="16" t="str">
        <f aca="false">IF(B3237="","",IF(A3237=_xlfn.MINIFS($A$2:$A$5001,$B$2:$B$5001,B3237),1,0))</f>
        <v/>
      </c>
      <c r="K3237" s="16" t="str">
        <f aca="false">IF(B3237="","",IF(AND(D3237="Formalização",E3237="Concluído"),IF(COUNTIFS($B$2:$B$5001,B3237,$E$2:$E$5001,"Em ajustes",$A$2:$A$5001,"&lt;"&amp;I3237)&gt;0,1,0),0))</f>
        <v/>
      </c>
      <c r="L3237" s="16" t="str">
        <f aca="false">IF(B3237="","",IF(A3237=_xlfn.MAXIFS($A$2:$A$5001,$B$2:$B$5001,B3237,$I$2:$I$5001,I3237),1,0))</f>
        <v/>
      </c>
    </row>
    <row r="3238" customFormat="false" ht="15" hidden="false" customHeight="false" outlineLevel="0" collapsed="false">
      <c r="I3238" s="15" t="str">
        <f aca="false">IF(A3238="","",INT(A3238))</f>
        <v/>
      </c>
      <c r="J3238" s="16" t="str">
        <f aca="false">IF(B3238="","",IF(A3238=_xlfn.MINIFS($A$2:$A$5001,$B$2:$B$5001,B3238),1,0))</f>
        <v/>
      </c>
      <c r="K3238" s="16" t="str">
        <f aca="false">IF(B3238="","",IF(AND(D3238="Formalização",E3238="Concluído"),IF(COUNTIFS($B$2:$B$5001,B3238,$E$2:$E$5001,"Em ajustes",$A$2:$A$5001,"&lt;"&amp;I3238)&gt;0,1,0),0))</f>
        <v/>
      </c>
      <c r="L3238" s="16" t="str">
        <f aca="false">IF(B3238="","",IF(A3238=_xlfn.MAXIFS($A$2:$A$5001,$B$2:$B$5001,B3238,$I$2:$I$5001,I3238),1,0))</f>
        <v/>
      </c>
    </row>
    <row r="3239" customFormat="false" ht="15" hidden="false" customHeight="false" outlineLevel="0" collapsed="false">
      <c r="I3239" s="15" t="str">
        <f aca="false">IF(A3239="","",INT(A3239))</f>
        <v/>
      </c>
      <c r="J3239" s="16" t="str">
        <f aca="false">IF(B3239="","",IF(A3239=_xlfn.MINIFS($A$2:$A$5001,$B$2:$B$5001,B3239),1,0))</f>
        <v/>
      </c>
      <c r="K3239" s="16" t="str">
        <f aca="false">IF(B3239="","",IF(AND(D3239="Formalização",E3239="Concluído"),IF(COUNTIFS($B$2:$B$5001,B3239,$E$2:$E$5001,"Em ajustes",$A$2:$A$5001,"&lt;"&amp;I3239)&gt;0,1,0),0))</f>
        <v/>
      </c>
      <c r="L3239" s="16" t="str">
        <f aca="false">IF(B3239="","",IF(A3239=_xlfn.MAXIFS($A$2:$A$5001,$B$2:$B$5001,B3239,$I$2:$I$5001,I3239),1,0))</f>
        <v/>
      </c>
    </row>
    <row r="3240" customFormat="false" ht="15" hidden="false" customHeight="false" outlineLevel="0" collapsed="false">
      <c r="I3240" s="15" t="str">
        <f aca="false">IF(A3240="","",INT(A3240))</f>
        <v/>
      </c>
      <c r="J3240" s="16" t="str">
        <f aca="false">IF(B3240="","",IF(A3240=_xlfn.MINIFS($A$2:$A$5001,$B$2:$B$5001,B3240),1,0))</f>
        <v/>
      </c>
      <c r="K3240" s="16" t="str">
        <f aca="false">IF(B3240="","",IF(AND(D3240="Formalização",E3240="Concluído"),IF(COUNTIFS($B$2:$B$5001,B3240,$E$2:$E$5001,"Em ajustes",$A$2:$A$5001,"&lt;"&amp;I3240)&gt;0,1,0),0))</f>
        <v/>
      </c>
      <c r="L3240" s="16" t="str">
        <f aca="false">IF(B3240="","",IF(A3240=_xlfn.MAXIFS($A$2:$A$5001,$B$2:$B$5001,B3240,$I$2:$I$5001,I3240),1,0))</f>
        <v/>
      </c>
    </row>
    <row r="3241" customFormat="false" ht="15" hidden="false" customHeight="false" outlineLevel="0" collapsed="false">
      <c r="I3241" s="15" t="str">
        <f aca="false">IF(A3241="","",INT(A3241))</f>
        <v/>
      </c>
      <c r="J3241" s="16" t="str">
        <f aca="false">IF(B3241="","",IF(A3241=_xlfn.MINIFS($A$2:$A$5001,$B$2:$B$5001,B3241),1,0))</f>
        <v/>
      </c>
      <c r="K3241" s="16" t="str">
        <f aca="false">IF(B3241="","",IF(AND(D3241="Formalização",E3241="Concluído"),IF(COUNTIFS($B$2:$B$5001,B3241,$E$2:$E$5001,"Em ajustes",$A$2:$A$5001,"&lt;"&amp;I3241)&gt;0,1,0),0))</f>
        <v/>
      </c>
      <c r="L3241" s="16" t="str">
        <f aca="false">IF(B3241="","",IF(A3241=_xlfn.MAXIFS($A$2:$A$5001,$B$2:$B$5001,B3241,$I$2:$I$5001,I3241),1,0))</f>
        <v/>
      </c>
    </row>
    <row r="3242" customFormat="false" ht="15" hidden="false" customHeight="false" outlineLevel="0" collapsed="false">
      <c r="I3242" s="15" t="str">
        <f aca="false">IF(A3242="","",INT(A3242))</f>
        <v/>
      </c>
      <c r="J3242" s="16" t="str">
        <f aca="false">IF(B3242="","",IF(A3242=_xlfn.MINIFS($A$2:$A$5001,$B$2:$B$5001,B3242),1,0))</f>
        <v/>
      </c>
      <c r="K3242" s="16" t="str">
        <f aca="false">IF(B3242="","",IF(AND(D3242="Formalização",E3242="Concluído"),IF(COUNTIFS($B$2:$B$5001,B3242,$E$2:$E$5001,"Em ajustes",$A$2:$A$5001,"&lt;"&amp;I3242)&gt;0,1,0),0))</f>
        <v/>
      </c>
      <c r="L3242" s="16" t="str">
        <f aca="false">IF(B3242="","",IF(A3242=_xlfn.MAXIFS($A$2:$A$5001,$B$2:$B$5001,B3242,$I$2:$I$5001,I3242),1,0))</f>
        <v/>
      </c>
    </row>
    <row r="3243" customFormat="false" ht="15" hidden="false" customHeight="false" outlineLevel="0" collapsed="false">
      <c r="I3243" s="15" t="str">
        <f aca="false">IF(A3243="","",INT(A3243))</f>
        <v/>
      </c>
      <c r="J3243" s="16" t="str">
        <f aca="false">IF(B3243="","",IF(A3243=_xlfn.MINIFS($A$2:$A$5001,$B$2:$B$5001,B3243),1,0))</f>
        <v/>
      </c>
      <c r="K3243" s="16" t="str">
        <f aca="false">IF(B3243="","",IF(AND(D3243="Formalização",E3243="Concluído"),IF(COUNTIFS($B$2:$B$5001,B3243,$E$2:$E$5001,"Em ajustes",$A$2:$A$5001,"&lt;"&amp;I3243)&gt;0,1,0),0))</f>
        <v/>
      </c>
      <c r="L3243" s="16" t="str">
        <f aca="false">IF(B3243="","",IF(A3243=_xlfn.MAXIFS($A$2:$A$5001,$B$2:$B$5001,B3243,$I$2:$I$5001,I3243),1,0))</f>
        <v/>
      </c>
    </row>
    <row r="3244" customFormat="false" ht="15" hidden="false" customHeight="false" outlineLevel="0" collapsed="false">
      <c r="I3244" s="15" t="str">
        <f aca="false">IF(A3244="","",INT(A3244))</f>
        <v/>
      </c>
      <c r="J3244" s="16" t="str">
        <f aca="false">IF(B3244="","",IF(A3244=_xlfn.MINIFS($A$2:$A$5001,$B$2:$B$5001,B3244),1,0))</f>
        <v/>
      </c>
      <c r="K3244" s="16" t="str">
        <f aca="false">IF(B3244="","",IF(AND(D3244="Formalização",E3244="Concluído"),IF(COUNTIFS($B$2:$B$5001,B3244,$E$2:$E$5001,"Em ajustes",$A$2:$A$5001,"&lt;"&amp;I3244)&gt;0,1,0),0))</f>
        <v/>
      </c>
      <c r="L3244" s="16" t="str">
        <f aca="false">IF(B3244="","",IF(A3244=_xlfn.MAXIFS($A$2:$A$5001,$B$2:$B$5001,B3244,$I$2:$I$5001,I3244),1,0))</f>
        <v/>
      </c>
    </row>
    <row r="3245" customFormat="false" ht="15" hidden="false" customHeight="false" outlineLevel="0" collapsed="false">
      <c r="I3245" s="15" t="str">
        <f aca="false">IF(A3245="","",INT(A3245))</f>
        <v/>
      </c>
      <c r="J3245" s="16" t="str">
        <f aca="false">IF(B3245="","",IF(A3245=_xlfn.MINIFS($A$2:$A$5001,$B$2:$B$5001,B3245),1,0))</f>
        <v/>
      </c>
      <c r="K3245" s="16" t="str">
        <f aca="false">IF(B3245="","",IF(AND(D3245="Formalização",E3245="Concluído"),IF(COUNTIFS($B$2:$B$5001,B3245,$E$2:$E$5001,"Em ajustes",$A$2:$A$5001,"&lt;"&amp;I3245)&gt;0,1,0),0))</f>
        <v/>
      </c>
      <c r="L3245" s="16" t="str">
        <f aca="false">IF(B3245="","",IF(A3245=_xlfn.MAXIFS($A$2:$A$5001,$B$2:$B$5001,B3245,$I$2:$I$5001,I3245),1,0))</f>
        <v/>
      </c>
    </row>
    <row r="3246" customFormat="false" ht="15" hidden="false" customHeight="false" outlineLevel="0" collapsed="false">
      <c r="I3246" s="15" t="str">
        <f aca="false">IF(A3246="","",INT(A3246))</f>
        <v/>
      </c>
      <c r="J3246" s="16" t="str">
        <f aca="false">IF(B3246="","",IF(A3246=_xlfn.MINIFS($A$2:$A$5001,$B$2:$B$5001,B3246),1,0))</f>
        <v/>
      </c>
      <c r="K3246" s="16" t="str">
        <f aca="false">IF(B3246="","",IF(AND(D3246="Formalização",E3246="Concluído"),IF(COUNTIFS($B$2:$B$5001,B3246,$E$2:$E$5001,"Em ajustes",$A$2:$A$5001,"&lt;"&amp;I3246)&gt;0,1,0),0))</f>
        <v/>
      </c>
      <c r="L3246" s="16" t="str">
        <f aca="false">IF(B3246="","",IF(A3246=_xlfn.MAXIFS($A$2:$A$5001,$B$2:$B$5001,B3246,$I$2:$I$5001,I3246),1,0))</f>
        <v/>
      </c>
    </row>
    <row r="3247" customFormat="false" ht="15" hidden="false" customHeight="false" outlineLevel="0" collapsed="false">
      <c r="I3247" s="15" t="str">
        <f aca="false">IF(A3247="","",INT(A3247))</f>
        <v/>
      </c>
      <c r="J3247" s="16" t="str">
        <f aca="false">IF(B3247="","",IF(A3247=_xlfn.MINIFS($A$2:$A$5001,$B$2:$B$5001,B3247),1,0))</f>
        <v/>
      </c>
      <c r="K3247" s="16" t="str">
        <f aca="false">IF(B3247="","",IF(AND(D3247="Formalização",E3247="Concluído"),IF(COUNTIFS($B$2:$B$5001,B3247,$E$2:$E$5001,"Em ajustes",$A$2:$A$5001,"&lt;"&amp;I3247)&gt;0,1,0),0))</f>
        <v/>
      </c>
      <c r="L3247" s="16" t="str">
        <f aca="false">IF(B3247="","",IF(A3247=_xlfn.MAXIFS($A$2:$A$5001,$B$2:$B$5001,B3247,$I$2:$I$5001,I3247),1,0))</f>
        <v/>
      </c>
    </row>
    <row r="3248" customFormat="false" ht="15" hidden="false" customHeight="false" outlineLevel="0" collapsed="false">
      <c r="I3248" s="15" t="str">
        <f aca="false">IF(A3248="","",INT(A3248))</f>
        <v/>
      </c>
      <c r="J3248" s="16" t="str">
        <f aca="false">IF(B3248="","",IF(A3248=_xlfn.MINIFS($A$2:$A$5001,$B$2:$B$5001,B3248),1,0))</f>
        <v/>
      </c>
      <c r="K3248" s="16" t="str">
        <f aca="false">IF(B3248="","",IF(AND(D3248="Formalização",E3248="Concluído"),IF(COUNTIFS($B$2:$B$5001,B3248,$E$2:$E$5001,"Em ajustes",$A$2:$A$5001,"&lt;"&amp;I3248)&gt;0,1,0),0))</f>
        <v/>
      </c>
      <c r="L3248" s="16" t="str">
        <f aca="false">IF(B3248="","",IF(A3248=_xlfn.MAXIFS($A$2:$A$5001,$B$2:$B$5001,B3248,$I$2:$I$5001,I3248),1,0))</f>
        <v/>
      </c>
    </row>
    <row r="3249" customFormat="false" ht="15" hidden="false" customHeight="false" outlineLevel="0" collapsed="false">
      <c r="I3249" s="15" t="str">
        <f aca="false">IF(A3249="","",INT(A3249))</f>
        <v/>
      </c>
      <c r="J3249" s="16" t="str">
        <f aca="false">IF(B3249="","",IF(A3249=_xlfn.MINIFS($A$2:$A$5001,$B$2:$B$5001,B3249),1,0))</f>
        <v/>
      </c>
      <c r="K3249" s="16" t="str">
        <f aca="false">IF(B3249="","",IF(AND(D3249="Formalização",E3249="Concluído"),IF(COUNTIFS($B$2:$B$5001,B3249,$E$2:$E$5001,"Em ajustes",$A$2:$A$5001,"&lt;"&amp;I3249)&gt;0,1,0),0))</f>
        <v/>
      </c>
      <c r="L3249" s="16" t="str">
        <f aca="false">IF(B3249="","",IF(A3249=_xlfn.MAXIFS($A$2:$A$5001,$B$2:$B$5001,B3249,$I$2:$I$5001,I3249),1,0))</f>
        <v/>
      </c>
    </row>
    <row r="3250" customFormat="false" ht="15" hidden="false" customHeight="false" outlineLevel="0" collapsed="false">
      <c r="I3250" s="15" t="str">
        <f aca="false">IF(A3250="","",INT(A3250))</f>
        <v/>
      </c>
      <c r="J3250" s="16" t="str">
        <f aca="false">IF(B3250="","",IF(A3250=_xlfn.MINIFS($A$2:$A$5001,$B$2:$B$5001,B3250),1,0))</f>
        <v/>
      </c>
      <c r="K3250" s="16" t="str">
        <f aca="false">IF(B3250="","",IF(AND(D3250="Formalização",E3250="Concluído"),IF(COUNTIFS($B$2:$B$5001,B3250,$E$2:$E$5001,"Em ajustes",$A$2:$A$5001,"&lt;"&amp;I3250)&gt;0,1,0),0))</f>
        <v/>
      </c>
      <c r="L3250" s="16" t="str">
        <f aca="false">IF(B3250="","",IF(A3250=_xlfn.MAXIFS($A$2:$A$5001,$B$2:$B$5001,B3250,$I$2:$I$5001,I3250),1,0))</f>
        <v/>
      </c>
    </row>
    <row r="3251" customFormat="false" ht="15" hidden="false" customHeight="false" outlineLevel="0" collapsed="false">
      <c r="I3251" s="15" t="str">
        <f aca="false">IF(A3251="","",INT(A3251))</f>
        <v/>
      </c>
      <c r="J3251" s="16" t="str">
        <f aca="false">IF(B3251="","",IF(A3251=_xlfn.MINIFS($A$2:$A$5001,$B$2:$B$5001,B3251),1,0))</f>
        <v/>
      </c>
      <c r="K3251" s="16" t="str">
        <f aca="false">IF(B3251="","",IF(AND(D3251="Formalização",E3251="Concluído"),IF(COUNTIFS($B$2:$B$5001,B3251,$E$2:$E$5001,"Em ajustes",$A$2:$A$5001,"&lt;"&amp;I3251)&gt;0,1,0),0))</f>
        <v/>
      </c>
      <c r="L3251" s="16" t="str">
        <f aca="false">IF(B3251="","",IF(A3251=_xlfn.MAXIFS($A$2:$A$5001,$B$2:$B$5001,B3251,$I$2:$I$5001,I3251),1,0))</f>
        <v/>
      </c>
    </row>
    <row r="3252" customFormat="false" ht="15" hidden="false" customHeight="false" outlineLevel="0" collapsed="false">
      <c r="I3252" s="15" t="str">
        <f aca="false">IF(A3252="","",INT(A3252))</f>
        <v/>
      </c>
      <c r="J3252" s="16" t="str">
        <f aca="false">IF(B3252="","",IF(A3252=_xlfn.MINIFS($A$2:$A$5001,$B$2:$B$5001,B3252),1,0))</f>
        <v/>
      </c>
      <c r="K3252" s="16" t="str">
        <f aca="false">IF(B3252="","",IF(AND(D3252="Formalização",E3252="Concluído"),IF(COUNTIFS($B$2:$B$5001,B3252,$E$2:$E$5001,"Em ajustes",$A$2:$A$5001,"&lt;"&amp;I3252)&gt;0,1,0),0))</f>
        <v/>
      </c>
      <c r="L3252" s="16" t="str">
        <f aca="false">IF(B3252="","",IF(A3252=_xlfn.MAXIFS($A$2:$A$5001,$B$2:$B$5001,B3252,$I$2:$I$5001,I3252),1,0))</f>
        <v/>
      </c>
    </row>
    <row r="3253" customFormat="false" ht="15" hidden="false" customHeight="false" outlineLevel="0" collapsed="false">
      <c r="I3253" s="15" t="str">
        <f aca="false">IF(A3253="","",INT(A3253))</f>
        <v/>
      </c>
      <c r="J3253" s="16" t="str">
        <f aca="false">IF(B3253="","",IF(A3253=_xlfn.MINIFS($A$2:$A$5001,$B$2:$B$5001,B3253),1,0))</f>
        <v/>
      </c>
      <c r="K3253" s="16" t="str">
        <f aca="false">IF(B3253="","",IF(AND(D3253="Formalização",E3253="Concluído"),IF(COUNTIFS($B$2:$B$5001,B3253,$E$2:$E$5001,"Em ajustes",$A$2:$A$5001,"&lt;"&amp;I3253)&gt;0,1,0),0))</f>
        <v/>
      </c>
      <c r="L3253" s="16" t="str">
        <f aca="false">IF(B3253="","",IF(A3253=_xlfn.MAXIFS($A$2:$A$5001,$B$2:$B$5001,B3253,$I$2:$I$5001,I3253),1,0))</f>
        <v/>
      </c>
    </row>
    <row r="3254" customFormat="false" ht="15" hidden="false" customHeight="false" outlineLevel="0" collapsed="false">
      <c r="I3254" s="15" t="str">
        <f aca="false">IF(A3254="","",INT(A3254))</f>
        <v/>
      </c>
      <c r="J3254" s="16" t="str">
        <f aca="false">IF(B3254="","",IF(A3254=_xlfn.MINIFS($A$2:$A$5001,$B$2:$B$5001,B3254),1,0))</f>
        <v/>
      </c>
      <c r="K3254" s="16" t="str">
        <f aca="false">IF(B3254="","",IF(AND(D3254="Formalização",E3254="Concluído"),IF(COUNTIFS($B$2:$B$5001,B3254,$E$2:$E$5001,"Em ajustes",$A$2:$A$5001,"&lt;"&amp;I3254)&gt;0,1,0),0))</f>
        <v/>
      </c>
      <c r="L3254" s="16" t="str">
        <f aca="false">IF(B3254="","",IF(A3254=_xlfn.MAXIFS($A$2:$A$5001,$B$2:$B$5001,B3254,$I$2:$I$5001,I3254),1,0))</f>
        <v/>
      </c>
    </row>
    <row r="3255" customFormat="false" ht="15" hidden="false" customHeight="false" outlineLevel="0" collapsed="false">
      <c r="I3255" s="15" t="str">
        <f aca="false">IF(A3255="","",INT(A3255))</f>
        <v/>
      </c>
      <c r="J3255" s="16" t="str">
        <f aca="false">IF(B3255="","",IF(A3255=_xlfn.MINIFS($A$2:$A$5001,$B$2:$B$5001,B3255),1,0))</f>
        <v/>
      </c>
      <c r="K3255" s="16" t="str">
        <f aca="false">IF(B3255="","",IF(AND(D3255="Formalização",E3255="Concluído"),IF(COUNTIFS($B$2:$B$5001,B3255,$E$2:$E$5001,"Em ajustes",$A$2:$A$5001,"&lt;"&amp;I3255)&gt;0,1,0),0))</f>
        <v/>
      </c>
      <c r="L3255" s="16" t="str">
        <f aca="false">IF(B3255="","",IF(A3255=_xlfn.MAXIFS($A$2:$A$5001,$B$2:$B$5001,B3255,$I$2:$I$5001,I3255),1,0))</f>
        <v/>
      </c>
    </row>
    <row r="3256" customFormat="false" ht="15" hidden="false" customHeight="false" outlineLevel="0" collapsed="false">
      <c r="I3256" s="15" t="str">
        <f aca="false">IF(A3256="","",INT(A3256))</f>
        <v/>
      </c>
      <c r="J3256" s="16" t="str">
        <f aca="false">IF(B3256="","",IF(A3256=_xlfn.MINIFS($A$2:$A$5001,$B$2:$B$5001,B3256),1,0))</f>
        <v/>
      </c>
      <c r="K3256" s="16" t="str">
        <f aca="false">IF(B3256="","",IF(AND(D3256="Formalização",E3256="Concluído"),IF(COUNTIFS($B$2:$B$5001,B3256,$E$2:$E$5001,"Em ajustes",$A$2:$A$5001,"&lt;"&amp;I3256)&gt;0,1,0),0))</f>
        <v/>
      </c>
      <c r="L3256" s="16" t="str">
        <f aca="false">IF(B3256="","",IF(A3256=_xlfn.MAXIFS($A$2:$A$5001,$B$2:$B$5001,B3256,$I$2:$I$5001,I3256),1,0))</f>
        <v/>
      </c>
    </row>
    <row r="3257" customFormat="false" ht="15" hidden="false" customHeight="false" outlineLevel="0" collapsed="false">
      <c r="I3257" s="15" t="str">
        <f aca="false">IF(A3257="","",INT(A3257))</f>
        <v/>
      </c>
      <c r="J3257" s="16" t="str">
        <f aca="false">IF(B3257="","",IF(A3257=_xlfn.MINIFS($A$2:$A$5001,$B$2:$B$5001,B3257),1,0))</f>
        <v/>
      </c>
      <c r="K3257" s="16" t="str">
        <f aca="false">IF(B3257="","",IF(AND(D3257="Formalização",E3257="Concluído"),IF(COUNTIFS($B$2:$B$5001,B3257,$E$2:$E$5001,"Em ajustes",$A$2:$A$5001,"&lt;"&amp;I3257)&gt;0,1,0),0))</f>
        <v/>
      </c>
      <c r="L3257" s="16" t="str">
        <f aca="false">IF(B3257="","",IF(A3257=_xlfn.MAXIFS($A$2:$A$5001,$B$2:$B$5001,B3257,$I$2:$I$5001,I3257),1,0))</f>
        <v/>
      </c>
    </row>
    <row r="3258" customFormat="false" ht="15" hidden="false" customHeight="false" outlineLevel="0" collapsed="false">
      <c r="I3258" s="15" t="str">
        <f aca="false">IF(A3258="","",INT(A3258))</f>
        <v/>
      </c>
      <c r="J3258" s="16" t="str">
        <f aca="false">IF(B3258="","",IF(A3258=_xlfn.MINIFS($A$2:$A$5001,$B$2:$B$5001,B3258),1,0))</f>
        <v/>
      </c>
      <c r="K3258" s="16" t="str">
        <f aca="false">IF(B3258="","",IF(AND(D3258="Formalização",E3258="Concluído"),IF(COUNTIFS($B$2:$B$5001,B3258,$E$2:$E$5001,"Em ajustes",$A$2:$A$5001,"&lt;"&amp;I3258)&gt;0,1,0),0))</f>
        <v/>
      </c>
      <c r="L3258" s="16" t="str">
        <f aca="false">IF(B3258="","",IF(A3258=_xlfn.MAXIFS($A$2:$A$5001,$B$2:$B$5001,B3258,$I$2:$I$5001,I3258),1,0))</f>
        <v/>
      </c>
    </row>
    <row r="3259" customFormat="false" ht="15" hidden="false" customHeight="false" outlineLevel="0" collapsed="false">
      <c r="I3259" s="15" t="str">
        <f aca="false">IF(A3259="","",INT(A3259))</f>
        <v/>
      </c>
      <c r="J3259" s="16" t="str">
        <f aca="false">IF(B3259="","",IF(A3259=_xlfn.MINIFS($A$2:$A$5001,$B$2:$B$5001,B3259),1,0))</f>
        <v/>
      </c>
      <c r="K3259" s="16" t="str">
        <f aca="false">IF(B3259="","",IF(AND(D3259="Formalização",E3259="Concluído"),IF(COUNTIFS($B$2:$B$5001,B3259,$E$2:$E$5001,"Em ajustes",$A$2:$A$5001,"&lt;"&amp;I3259)&gt;0,1,0),0))</f>
        <v/>
      </c>
      <c r="L3259" s="16" t="str">
        <f aca="false">IF(B3259="","",IF(A3259=_xlfn.MAXIFS($A$2:$A$5001,$B$2:$B$5001,B3259,$I$2:$I$5001,I3259),1,0))</f>
        <v/>
      </c>
    </row>
    <row r="3260" customFormat="false" ht="15" hidden="false" customHeight="false" outlineLevel="0" collapsed="false">
      <c r="I3260" s="15" t="str">
        <f aca="false">IF(A3260="","",INT(A3260))</f>
        <v/>
      </c>
      <c r="J3260" s="16" t="str">
        <f aca="false">IF(B3260="","",IF(A3260=_xlfn.MINIFS($A$2:$A$5001,$B$2:$B$5001,B3260),1,0))</f>
        <v/>
      </c>
      <c r="K3260" s="16" t="str">
        <f aca="false">IF(B3260="","",IF(AND(D3260="Formalização",E3260="Concluído"),IF(COUNTIFS($B$2:$B$5001,B3260,$E$2:$E$5001,"Em ajustes",$A$2:$A$5001,"&lt;"&amp;I3260)&gt;0,1,0),0))</f>
        <v/>
      </c>
      <c r="L3260" s="16" t="str">
        <f aca="false">IF(B3260="","",IF(A3260=_xlfn.MAXIFS($A$2:$A$5001,$B$2:$B$5001,B3260,$I$2:$I$5001,I3260),1,0))</f>
        <v/>
      </c>
    </row>
    <row r="3261" customFormat="false" ht="15" hidden="false" customHeight="false" outlineLevel="0" collapsed="false">
      <c r="I3261" s="15" t="str">
        <f aca="false">IF(A3261="","",INT(A3261))</f>
        <v/>
      </c>
      <c r="J3261" s="16" t="str">
        <f aca="false">IF(B3261="","",IF(A3261=_xlfn.MINIFS($A$2:$A$5001,$B$2:$B$5001,B3261),1,0))</f>
        <v/>
      </c>
      <c r="K3261" s="16" t="str">
        <f aca="false">IF(B3261="","",IF(AND(D3261="Formalização",E3261="Concluído"),IF(COUNTIFS($B$2:$B$5001,B3261,$E$2:$E$5001,"Em ajustes",$A$2:$A$5001,"&lt;"&amp;I3261)&gt;0,1,0),0))</f>
        <v/>
      </c>
      <c r="L3261" s="16" t="str">
        <f aca="false">IF(B3261="","",IF(A3261=_xlfn.MAXIFS($A$2:$A$5001,$B$2:$B$5001,B3261,$I$2:$I$5001,I3261),1,0))</f>
        <v/>
      </c>
    </row>
    <row r="3262" customFormat="false" ht="15" hidden="false" customHeight="false" outlineLevel="0" collapsed="false">
      <c r="I3262" s="15" t="str">
        <f aca="false">IF(A3262="","",INT(A3262))</f>
        <v/>
      </c>
      <c r="J3262" s="16" t="str">
        <f aca="false">IF(B3262="","",IF(A3262=_xlfn.MINIFS($A$2:$A$5001,$B$2:$B$5001,B3262),1,0))</f>
        <v/>
      </c>
      <c r="K3262" s="16" t="str">
        <f aca="false">IF(B3262="","",IF(AND(D3262="Formalização",E3262="Concluído"),IF(COUNTIFS($B$2:$B$5001,B3262,$E$2:$E$5001,"Em ajustes",$A$2:$A$5001,"&lt;"&amp;I3262)&gt;0,1,0),0))</f>
        <v/>
      </c>
      <c r="L3262" s="16" t="str">
        <f aca="false">IF(B3262="","",IF(A3262=_xlfn.MAXIFS($A$2:$A$5001,$B$2:$B$5001,B3262,$I$2:$I$5001,I3262),1,0))</f>
        <v/>
      </c>
    </row>
    <row r="3263" customFormat="false" ht="15" hidden="false" customHeight="false" outlineLevel="0" collapsed="false">
      <c r="I3263" s="15" t="str">
        <f aca="false">IF(A3263="","",INT(A3263))</f>
        <v/>
      </c>
      <c r="J3263" s="16" t="str">
        <f aca="false">IF(B3263="","",IF(A3263=_xlfn.MINIFS($A$2:$A$5001,$B$2:$B$5001,B3263),1,0))</f>
        <v/>
      </c>
      <c r="K3263" s="16" t="str">
        <f aca="false">IF(B3263="","",IF(AND(D3263="Formalização",E3263="Concluído"),IF(COUNTIFS($B$2:$B$5001,B3263,$E$2:$E$5001,"Em ajustes",$A$2:$A$5001,"&lt;"&amp;I3263)&gt;0,1,0),0))</f>
        <v/>
      </c>
      <c r="L3263" s="16" t="str">
        <f aca="false">IF(B3263="","",IF(A3263=_xlfn.MAXIFS($A$2:$A$5001,$B$2:$B$5001,B3263,$I$2:$I$5001,I3263),1,0))</f>
        <v/>
      </c>
    </row>
    <row r="3264" customFormat="false" ht="15" hidden="false" customHeight="false" outlineLevel="0" collapsed="false">
      <c r="I3264" s="15" t="str">
        <f aca="false">IF(A3264="","",INT(A3264))</f>
        <v/>
      </c>
      <c r="J3264" s="16" t="str">
        <f aca="false">IF(B3264="","",IF(A3264=_xlfn.MINIFS($A$2:$A$5001,$B$2:$B$5001,B3264),1,0))</f>
        <v/>
      </c>
      <c r="K3264" s="16" t="str">
        <f aca="false">IF(B3264="","",IF(AND(D3264="Formalização",E3264="Concluído"),IF(COUNTIFS($B$2:$B$5001,B3264,$E$2:$E$5001,"Em ajustes",$A$2:$A$5001,"&lt;"&amp;I3264)&gt;0,1,0),0))</f>
        <v/>
      </c>
      <c r="L3264" s="16" t="str">
        <f aca="false">IF(B3264="","",IF(A3264=_xlfn.MAXIFS($A$2:$A$5001,$B$2:$B$5001,B3264,$I$2:$I$5001,I3264),1,0))</f>
        <v/>
      </c>
    </row>
    <row r="3265" customFormat="false" ht="15" hidden="false" customHeight="false" outlineLevel="0" collapsed="false">
      <c r="I3265" s="15" t="str">
        <f aca="false">IF(A3265="","",INT(A3265))</f>
        <v/>
      </c>
      <c r="J3265" s="16" t="str">
        <f aca="false">IF(B3265="","",IF(A3265=_xlfn.MINIFS($A$2:$A$5001,$B$2:$B$5001,B3265),1,0))</f>
        <v/>
      </c>
      <c r="K3265" s="16" t="str">
        <f aca="false">IF(B3265="","",IF(AND(D3265="Formalização",E3265="Concluído"),IF(COUNTIFS($B$2:$B$5001,B3265,$E$2:$E$5001,"Em ajustes",$A$2:$A$5001,"&lt;"&amp;I3265)&gt;0,1,0),0))</f>
        <v/>
      </c>
      <c r="L3265" s="16" t="str">
        <f aca="false">IF(B3265="","",IF(A3265=_xlfn.MAXIFS($A$2:$A$5001,$B$2:$B$5001,B3265,$I$2:$I$5001,I3265),1,0))</f>
        <v/>
      </c>
    </row>
    <row r="3266" customFormat="false" ht="15" hidden="false" customHeight="false" outlineLevel="0" collapsed="false">
      <c r="I3266" s="15" t="str">
        <f aca="false">IF(A3266="","",INT(A3266))</f>
        <v/>
      </c>
      <c r="J3266" s="16" t="str">
        <f aca="false">IF(B3266="","",IF(A3266=_xlfn.MINIFS($A$2:$A$5001,$B$2:$B$5001,B3266),1,0))</f>
        <v/>
      </c>
      <c r="K3266" s="16" t="str">
        <f aca="false">IF(B3266="","",IF(AND(D3266="Formalização",E3266="Concluído"),IF(COUNTIFS($B$2:$B$5001,B3266,$E$2:$E$5001,"Em ajustes",$A$2:$A$5001,"&lt;"&amp;I3266)&gt;0,1,0),0))</f>
        <v/>
      </c>
      <c r="L3266" s="16" t="str">
        <f aca="false">IF(B3266="","",IF(A3266=_xlfn.MAXIFS($A$2:$A$5001,$B$2:$B$5001,B3266,$I$2:$I$5001,I3266),1,0))</f>
        <v/>
      </c>
    </row>
    <row r="3267" customFormat="false" ht="15" hidden="false" customHeight="false" outlineLevel="0" collapsed="false">
      <c r="I3267" s="15" t="str">
        <f aca="false">IF(A3267="","",INT(A3267))</f>
        <v/>
      </c>
      <c r="J3267" s="16" t="str">
        <f aca="false">IF(B3267="","",IF(A3267=_xlfn.MINIFS($A$2:$A$5001,$B$2:$B$5001,B3267),1,0))</f>
        <v/>
      </c>
      <c r="K3267" s="16" t="str">
        <f aca="false">IF(B3267="","",IF(AND(D3267="Formalização",E3267="Concluído"),IF(COUNTIFS($B$2:$B$5001,B3267,$E$2:$E$5001,"Em ajustes",$A$2:$A$5001,"&lt;"&amp;I3267)&gt;0,1,0),0))</f>
        <v/>
      </c>
      <c r="L3267" s="16" t="str">
        <f aca="false">IF(B3267="","",IF(A3267=_xlfn.MAXIFS($A$2:$A$5001,$B$2:$B$5001,B3267,$I$2:$I$5001,I3267),1,0))</f>
        <v/>
      </c>
    </row>
    <row r="3268" customFormat="false" ht="15" hidden="false" customHeight="false" outlineLevel="0" collapsed="false">
      <c r="I3268" s="15" t="str">
        <f aca="false">IF(A3268="","",INT(A3268))</f>
        <v/>
      </c>
      <c r="J3268" s="16" t="str">
        <f aca="false">IF(B3268="","",IF(A3268=_xlfn.MINIFS($A$2:$A$5001,$B$2:$B$5001,B3268),1,0))</f>
        <v/>
      </c>
      <c r="K3268" s="16" t="str">
        <f aca="false">IF(B3268="","",IF(AND(D3268="Formalização",E3268="Concluído"),IF(COUNTIFS($B$2:$B$5001,B3268,$E$2:$E$5001,"Em ajustes",$A$2:$A$5001,"&lt;"&amp;I3268)&gt;0,1,0),0))</f>
        <v/>
      </c>
      <c r="L3268" s="16" t="str">
        <f aca="false">IF(B3268="","",IF(A3268=_xlfn.MAXIFS($A$2:$A$5001,$B$2:$B$5001,B3268,$I$2:$I$5001,I3268),1,0))</f>
        <v/>
      </c>
    </row>
    <row r="3269" customFormat="false" ht="15" hidden="false" customHeight="false" outlineLevel="0" collapsed="false">
      <c r="I3269" s="15" t="str">
        <f aca="false">IF(A3269="","",INT(A3269))</f>
        <v/>
      </c>
      <c r="J3269" s="16" t="str">
        <f aca="false">IF(B3269="","",IF(A3269=_xlfn.MINIFS($A$2:$A$5001,$B$2:$B$5001,B3269),1,0))</f>
        <v/>
      </c>
      <c r="K3269" s="16" t="str">
        <f aca="false">IF(B3269="","",IF(AND(D3269="Formalização",E3269="Concluído"),IF(COUNTIFS($B$2:$B$5001,B3269,$E$2:$E$5001,"Em ajustes",$A$2:$A$5001,"&lt;"&amp;I3269)&gt;0,1,0),0))</f>
        <v/>
      </c>
      <c r="L3269" s="16" t="str">
        <f aca="false">IF(B3269="","",IF(A3269=_xlfn.MAXIFS($A$2:$A$5001,$B$2:$B$5001,B3269,$I$2:$I$5001,I3269),1,0))</f>
        <v/>
      </c>
    </row>
    <row r="3270" customFormat="false" ht="15" hidden="false" customHeight="false" outlineLevel="0" collapsed="false">
      <c r="I3270" s="15" t="str">
        <f aca="false">IF(A3270="","",INT(A3270))</f>
        <v/>
      </c>
      <c r="J3270" s="16" t="str">
        <f aca="false">IF(B3270="","",IF(A3270=_xlfn.MINIFS($A$2:$A$5001,$B$2:$B$5001,B3270),1,0))</f>
        <v/>
      </c>
      <c r="K3270" s="16" t="str">
        <f aca="false">IF(B3270="","",IF(AND(D3270="Formalização",E3270="Concluído"),IF(COUNTIFS($B$2:$B$5001,B3270,$E$2:$E$5001,"Em ajustes",$A$2:$A$5001,"&lt;"&amp;I3270)&gt;0,1,0),0))</f>
        <v/>
      </c>
      <c r="L3270" s="16" t="str">
        <f aca="false">IF(B3270="","",IF(A3270=_xlfn.MAXIFS($A$2:$A$5001,$B$2:$B$5001,B3270,$I$2:$I$5001,I3270),1,0))</f>
        <v/>
      </c>
    </row>
    <row r="3271" customFormat="false" ht="15" hidden="false" customHeight="false" outlineLevel="0" collapsed="false">
      <c r="I3271" s="15" t="str">
        <f aca="false">IF(A3271="","",INT(A3271))</f>
        <v/>
      </c>
      <c r="J3271" s="16" t="str">
        <f aca="false">IF(B3271="","",IF(A3271=_xlfn.MINIFS($A$2:$A$5001,$B$2:$B$5001,B3271),1,0))</f>
        <v/>
      </c>
      <c r="K3271" s="16" t="str">
        <f aca="false">IF(B3271="","",IF(AND(D3271="Formalização",E3271="Concluído"),IF(COUNTIFS($B$2:$B$5001,B3271,$E$2:$E$5001,"Em ajustes",$A$2:$A$5001,"&lt;"&amp;I3271)&gt;0,1,0),0))</f>
        <v/>
      </c>
      <c r="L3271" s="16" t="str">
        <f aca="false">IF(B3271="","",IF(A3271=_xlfn.MAXIFS($A$2:$A$5001,$B$2:$B$5001,B3271,$I$2:$I$5001,I3271),1,0))</f>
        <v/>
      </c>
    </row>
    <row r="3272" customFormat="false" ht="15" hidden="false" customHeight="false" outlineLevel="0" collapsed="false">
      <c r="I3272" s="15" t="str">
        <f aca="false">IF(A3272="","",INT(A3272))</f>
        <v/>
      </c>
      <c r="J3272" s="16" t="str">
        <f aca="false">IF(B3272="","",IF(A3272=_xlfn.MINIFS($A$2:$A$5001,$B$2:$B$5001,B3272),1,0))</f>
        <v/>
      </c>
      <c r="K3272" s="16" t="str">
        <f aca="false">IF(B3272="","",IF(AND(D3272="Formalização",E3272="Concluído"),IF(COUNTIFS($B$2:$B$5001,B3272,$E$2:$E$5001,"Em ajustes",$A$2:$A$5001,"&lt;"&amp;I3272)&gt;0,1,0),0))</f>
        <v/>
      </c>
      <c r="L3272" s="16" t="str">
        <f aca="false">IF(B3272="","",IF(A3272=_xlfn.MAXIFS($A$2:$A$5001,$B$2:$B$5001,B3272,$I$2:$I$5001,I3272),1,0))</f>
        <v/>
      </c>
    </row>
    <row r="3273" customFormat="false" ht="15" hidden="false" customHeight="false" outlineLevel="0" collapsed="false">
      <c r="I3273" s="15" t="str">
        <f aca="false">IF(A3273="","",INT(A3273))</f>
        <v/>
      </c>
      <c r="J3273" s="16" t="str">
        <f aca="false">IF(B3273="","",IF(A3273=_xlfn.MINIFS($A$2:$A$5001,$B$2:$B$5001,B3273),1,0))</f>
        <v/>
      </c>
      <c r="K3273" s="16" t="str">
        <f aca="false">IF(B3273="","",IF(AND(D3273="Formalização",E3273="Concluído"),IF(COUNTIFS($B$2:$B$5001,B3273,$E$2:$E$5001,"Em ajustes",$A$2:$A$5001,"&lt;"&amp;I3273)&gt;0,1,0),0))</f>
        <v/>
      </c>
      <c r="L3273" s="16" t="str">
        <f aca="false">IF(B3273="","",IF(A3273=_xlfn.MAXIFS($A$2:$A$5001,$B$2:$B$5001,B3273,$I$2:$I$5001,I3273),1,0))</f>
        <v/>
      </c>
    </row>
    <row r="3274" customFormat="false" ht="15" hidden="false" customHeight="false" outlineLevel="0" collapsed="false">
      <c r="I3274" s="15" t="str">
        <f aca="false">IF(A3274="","",INT(A3274))</f>
        <v/>
      </c>
      <c r="J3274" s="16" t="str">
        <f aca="false">IF(B3274="","",IF(A3274=_xlfn.MINIFS($A$2:$A$5001,$B$2:$B$5001,B3274),1,0))</f>
        <v/>
      </c>
      <c r="K3274" s="16" t="str">
        <f aca="false">IF(B3274="","",IF(AND(D3274="Formalização",E3274="Concluído"),IF(COUNTIFS($B$2:$B$5001,B3274,$E$2:$E$5001,"Em ajustes",$A$2:$A$5001,"&lt;"&amp;I3274)&gt;0,1,0),0))</f>
        <v/>
      </c>
      <c r="L3274" s="16" t="str">
        <f aca="false">IF(B3274="","",IF(A3274=_xlfn.MAXIFS($A$2:$A$5001,$B$2:$B$5001,B3274,$I$2:$I$5001,I3274),1,0))</f>
        <v/>
      </c>
    </row>
    <row r="3275" customFormat="false" ht="15" hidden="false" customHeight="false" outlineLevel="0" collapsed="false">
      <c r="I3275" s="15" t="str">
        <f aca="false">IF(A3275="","",INT(A3275))</f>
        <v/>
      </c>
      <c r="J3275" s="16" t="str">
        <f aca="false">IF(B3275="","",IF(A3275=_xlfn.MINIFS($A$2:$A$5001,$B$2:$B$5001,B3275),1,0))</f>
        <v/>
      </c>
      <c r="K3275" s="16" t="str">
        <f aca="false">IF(B3275="","",IF(AND(D3275="Formalização",E3275="Concluído"),IF(COUNTIFS($B$2:$B$5001,B3275,$E$2:$E$5001,"Em ajustes",$A$2:$A$5001,"&lt;"&amp;I3275)&gt;0,1,0),0))</f>
        <v/>
      </c>
      <c r="L3275" s="16" t="str">
        <f aca="false">IF(B3275="","",IF(A3275=_xlfn.MAXIFS($A$2:$A$5001,$B$2:$B$5001,B3275,$I$2:$I$5001,I3275),1,0))</f>
        <v/>
      </c>
    </row>
    <row r="3276" customFormat="false" ht="15" hidden="false" customHeight="false" outlineLevel="0" collapsed="false">
      <c r="I3276" s="15" t="str">
        <f aca="false">IF(A3276="","",INT(A3276))</f>
        <v/>
      </c>
      <c r="J3276" s="16" t="str">
        <f aca="false">IF(B3276="","",IF(A3276=_xlfn.MINIFS($A$2:$A$5001,$B$2:$B$5001,B3276),1,0))</f>
        <v/>
      </c>
      <c r="K3276" s="16" t="str">
        <f aca="false">IF(B3276="","",IF(AND(D3276="Formalização",E3276="Concluído"),IF(COUNTIFS($B$2:$B$5001,B3276,$E$2:$E$5001,"Em ajustes",$A$2:$A$5001,"&lt;"&amp;I3276)&gt;0,1,0),0))</f>
        <v/>
      </c>
      <c r="L3276" s="16" t="str">
        <f aca="false">IF(B3276="","",IF(A3276=_xlfn.MAXIFS($A$2:$A$5001,$B$2:$B$5001,B3276,$I$2:$I$5001,I3276),1,0))</f>
        <v/>
      </c>
    </row>
    <row r="3277" customFormat="false" ht="15" hidden="false" customHeight="false" outlineLevel="0" collapsed="false">
      <c r="I3277" s="15" t="str">
        <f aca="false">IF(A3277="","",INT(A3277))</f>
        <v/>
      </c>
      <c r="J3277" s="16" t="str">
        <f aca="false">IF(B3277="","",IF(A3277=_xlfn.MINIFS($A$2:$A$5001,$B$2:$B$5001,B3277),1,0))</f>
        <v/>
      </c>
      <c r="K3277" s="16" t="str">
        <f aca="false">IF(B3277="","",IF(AND(D3277="Formalização",E3277="Concluído"),IF(COUNTIFS($B$2:$B$5001,B3277,$E$2:$E$5001,"Em ajustes",$A$2:$A$5001,"&lt;"&amp;I3277)&gt;0,1,0),0))</f>
        <v/>
      </c>
      <c r="L3277" s="16" t="str">
        <f aca="false">IF(B3277="","",IF(A3277=_xlfn.MAXIFS($A$2:$A$5001,$B$2:$B$5001,B3277,$I$2:$I$5001,I3277),1,0))</f>
        <v/>
      </c>
    </row>
    <row r="3278" customFormat="false" ht="15" hidden="false" customHeight="false" outlineLevel="0" collapsed="false">
      <c r="I3278" s="15" t="str">
        <f aca="false">IF(A3278="","",INT(A3278))</f>
        <v/>
      </c>
      <c r="J3278" s="16" t="str">
        <f aca="false">IF(B3278="","",IF(A3278=_xlfn.MINIFS($A$2:$A$5001,$B$2:$B$5001,B3278),1,0))</f>
        <v/>
      </c>
      <c r="K3278" s="16" t="str">
        <f aca="false">IF(B3278="","",IF(AND(D3278="Formalização",E3278="Concluído"),IF(COUNTIFS($B$2:$B$5001,B3278,$E$2:$E$5001,"Em ajustes",$A$2:$A$5001,"&lt;"&amp;I3278)&gt;0,1,0),0))</f>
        <v/>
      </c>
      <c r="L3278" s="16" t="str">
        <f aca="false">IF(B3278="","",IF(A3278=_xlfn.MAXIFS($A$2:$A$5001,$B$2:$B$5001,B3278,$I$2:$I$5001,I3278),1,0))</f>
        <v/>
      </c>
    </row>
    <row r="3279" customFormat="false" ht="15" hidden="false" customHeight="false" outlineLevel="0" collapsed="false">
      <c r="I3279" s="15" t="str">
        <f aca="false">IF(A3279="","",INT(A3279))</f>
        <v/>
      </c>
      <c r="J3279" s="16" t="str">
        <f aca="false">IF(B3279="","",IF(A3279=_xlfn.MINIFS($A$2:$A$5001,$B$2:$B$5001,B3279),1,0))</f>
        <v/>
      </c>
      <c r="K3279" s="16" t="str">
        <f aca="false">IF(B3279="","",IF(AND(D3279="Formalização",E3279="Concluído"),IF(COUNTIFS($B$2:$B$5001,B3279,$E$2:$E$5001,"Em ajustes",$A$2:$A$5001,"&lt;"&amp;I3279)&gt;0,1,0),0))</f>
        <v/>
      </c>
      <c r="L3279" s="16" t="str">
        <f aca="false">IF(B3279="","",IF(A3279=_xlfn.MAXIFS($A$2:$A$5001,$B$2:$B$5001,B3279,$I$2:$I$5001,I3279),1,0))</f>
        <v/>
      </c>
    </row>
    <row r="3280" customFormat="false" ht="15" hidden="false" customHeight="false" outlineLevel="0" collapsed="false">
      <c r="I3280" s="15" t="str">
        <f aca="false">IF(A3280="","",INT(A3280))</f>
        <v/>
      </c>
      <c r="J3280" s="16" t="str">
        <f aca="false">IF(B3280="","",IF(A3280=_xlfn.MINIFS($A$2:$A$5001,$B$2:$B$5001,B3280),1,0))</f>
        <v/>
      </c>
      <c r="K3280" s="16" t="str">
        <f aca="false">IF(B3280="","",IF(AND(D3280="Formalização",E3280="Concluído"),IF(COUNTIFS($B$2:$B$5001,B3280,$E$2:$E$5001,"Em ajustes",$A$2:$A$5001,"&lt;"&amp;I3280)&gt;0,1,0),0))</f>
        <v/>
      </c>
      <c r="L3280" s="16" t="str">
        <f aca="false">IF(B3280="","",IF(A3280=_xlfn.MAXIFS($A$2:$A$5001,$B$2:$B$5001,B3280,$I$2:$I$5001,I3280),1,0))</f>
        <v/>
      </c>
    </row>
    <row r="3281" customFormat="false" ht="15" hidden="false" customHeight="false" outlineLevel="0" collapsed="false">
      <c r="I3281" s="15" t="str">
        <f aca="false">IF(A3281="","",INT(A3281))</f>
        <v/>
      </c>
      <c r="J3281" s="16" t="str">
        <f aca="false">IF(B3281="","",IF(A3281=_xlfn.MINIFS($A$2:$A$5001,$B$2:$B$5001,B3281),1,0))</f>
        <v/>
      </c>
      <c r="K3281" s="16" t="str">
        <f aca="false">IF(B3281="","",IF(AND(D3281="Formalização",E3281="Concluído"),IF(COUNTIFS($B$2:$B$5001,B3281,$E$2:$E$5001,"Em ajustes",$A$2:$A$5001,"&lt;"&amp;I3281)&gt;0,1,0),0))</f>
        <v/>
      </c>
      <c r="L3281" s="16" t="str">
        <f aca="false">IF(B3281="","",IF(A3281=_xlfn.MAXIFS($A$2:$A$5001,$B$2:$B$5001,B3281,$I$2:$I$5001,I3281),1,0))</f>
        <v/>
      </c>
    </row>
    <row r="3282" customFormat="false" ht="15" hidden="false" customHeight="false" outlineLevel="0" collapsed="false">
      <c r="I3282" s="15" t="str">
        <f aca="false">IF(A3282="","",INT(A3282))</f>
        <v/>
      </c>
      <c r="J3282" s="16" t="str">
        <f aca="false">IF(B3282="","",IF(A3282=_xlfn.MINIFS($A$2:$A$5001,$B$2:$B$5001,B3282),1,0))</f>
        <v/>
      </c>
      <c r="K3282" s="16" t="str">
        <f aca="false">IF(B3282="","",IF(AND(D3282="Formalização",E3282="Concluído"),IF(COUNTIFS($B$2:$B$5001,B3282,$E$2:$E$5001,"Em ajustes",$A$2:$A$5001,"&lt;"&amp;I3282)&gt;0,1,0),0))</f>
        <v/>
      </c>
      <c r="L3282" s="16" t="str">
        <f aca="false">IF(B3282="","",IF(A3282=_xlfn.MAXIFS($A$2:$A$5001,$B$2:$B$5001,B3282,$I$2:$I$5001,I3282),1,0))</f>
        <v/>
      </c>
    </row>
    <row r="3283" customFormat="false" ht="15" hidden="false" customHeight="false" outlineLevel="0" collapsed="false">
      <c r="I3283" s="15" t="str">
        <f aca="false">IF(A3283="","",INT(A3283))</f>
        <v/>
      </c>
      <c r="J3283" s="16" t="str">
        <f aca="false">IF(B3283="","",IF(A3283=_xlfn.MINIFS($A$2:$A$5001,$B$2:$B$5001,B3283),1,0))</f>
        <v/>
      </c>
      <c r="K3283" s="16" t="str">
        <f aca="false">IF(B3283="","",IF(AND(D3283="Formalização",E3283="Concluído"),IF(COUNTIFS($B$2:$B$5001,B3283,$E$2:$E$5001,"Em ajustes",$A$2:$A$5001,"&lt;"&amp;I3283)&gt;0,1,0),0))</f>
        <v/>
      </c>
      <c r="L3283" s="16" t="str">
        <f aca="false">IF(B3283="","",IF(A3283=_xlfn.MAXIFS($A$2:$A$5001,$B$2:$B$5001,B3283,$I$2:$I$5001,I3283),1,0))</f>
        <v/>
      </c>
    </row>
    <row r="3284" customFormat="false" ht="15" hidden="false" customHeight="false" outlineLevel="0" collapsed="false">
      <c r="I3284" s="15" t="str">
        <f aca="false">IF(A3284="","",INT(A3284))</f>
        <v/>
      </c>
      <c r="J3284" s="16" t="str">
        <f aca="false">IF(B3284="","",IF(A3284=_xlfn.MINIFS($A$2:$A$5001,$B$2:$B$5001,B3284),1,0))</f>
        <v/>
      </c>
      <c r="K3284" s="16" t="str">
        <f aca="false">IF(B3284="","",IF(AND(D3284="Formalização",E3284="Concluído"),IF(COUNTIFS($B$2:$B$5001,B3284,$E$2:$E$5001,"Em ajustes",$A$2:$A$5001,"&lt;"&amp;I3284)&gt;0,1,0),0))</f>
        <v/>
      </c>
      <c r="L3284" s="16" t="str">
        <f aca="false">IF(B3284="","",IF(A3284=_xlfn.MAXIFS($A$2:$A$5001,$B$2:$B$5001,B3284,$I$2:$I$5001,I3284),1,0))</f>
        <v/>
      </c>
    </row>
    <row r="3285" customFormat="false" ht="15" hidden="false" customHeight="false" outlineLevel="0" collapsed="false">
      <c r="I3285" s="15" t="str">
        <f aca="false">IF(A3285="","",INT(A3285))</f>
        <v/>
      </c>
      <c r="J3285" s="16" t="str">
        <f aca="false">IF(B3285="","",IF(A3285=_xlfn.MINIFS($A$2:$A$5001,$B$2:$B$5001,B3285),1,0))</f>
        <v/>
      </c>
      <c r="K3285" s="16" t="str">
        <f aca="false">IF(B3285="","",IF(AND(D3285="Formalização",E3285="Concluído"),IF(COUNTIFS($B$2:$B$5001,B3285,$E$2:$E$5001,"Em ajustes",$A$2:$A$5001,"&lt;"&amp;I3285)&gt;0,1,0),0))</f>
        <v/>
      </c>
      <c r="L3285" s="16" t="str">
        <f aca="false">IF(B3285="","",IF(A3285=_xlfn.MAXIFS($A$2:$A$5001,$B$2:$B$5001,B3285,$I$2:$I$5001,I3285),1,0))</f>
        <v/>
      </c>
    </row>
    <row r="3286" customFormat="false" ht="15" hidden="false" customHeight="false" outlineLevel="0" collapsed="false">
      <c r="I3286" s="15" t="str">
        <f aca="false">IF(A3286="","",INT(A3286))</f>
        <v/>
      </c>
      <c r="J3286" s="16" t="str">
        <f aca="false">IF(B3286="","",IF(A3286=_xlfn.MINIFS($A$2:$A$5001,$B$2:$B$5001,B3286),1,0))</f>
        <v/>
      </c>
      <c r="K3286" s="16" t="str">
        <f aca="false">IF(B3286="","",IF(AND(D3286="Formalização",E3286="Concluído"),IF(COUNTIFS($B$2:$B$5001,B3286,$E$2:$E$5001,"Em ajustes",$A$2:$A$5001,"&lt;"&amp;I3286)&gt;0,1,0),0))</f>
        <v/>
      </c>
      <c r="L3286" s="16" t="str">
        <f aca="false">IF(B3286="","",IF(A3286=_xlfn.MAXIFS($A$2:$A$5001,$B$2:$B$5001,B3286,$I$2:$I$5001,I3286),1,0))</f>
        <v/>
      </c>
    </row>
    <row r="3287" customFormat="false" ht="15" hidden="false" customHeight="false" outlineLevel="0" collapsed="false">
      <c r="I3287" s="15" t="str">
        <f aca="false">IF(A3287="","",INT(A3287))</f>
        <v/>
      </c>
      <c r="J3287" s="16" t="str">
        <f aca="false">IF(B3287="","",IF(A3287=_xlfn.MINIFS($A$2:$A$5001,$B$2:$B$5001,B3287),1,0))</f>
        <v/>
      </c>
      <c r="K3287" s="16" t="str">
        <f aca="false">IF(B3287="","",IF(AND(D3287="Formalização",E3287="Concluído"),IF(COUNTIFS($B$2:$B$5001,B3287,$E$2:$E$5001,"Em ajustes",$A$2:$A$5001,"&lt;"&amp;I3287)&gt;0,1,0),0))</f>
        <v/>
      </c>
      <c r="L3287" s="16" t="str">
        <f aca="false">IF(B3287="","",IF(A3287=_xlfn.MAXIFS($A$2:$A$5001,$B$2:$B$5001,B3287,$I$2:$I$5001,I3287),1,0))</f>
        <v/>
      </c>
    </row>
    <row r="3288" customFormat="false" ht="15" hidden="false" customHeight="false" outlineLevel="0" collapsed="false">
      <c r="I3288" s="15" t="str">
        <f aca="false">IF(A3288="","",INT(A3288))</f>
        <v/>
      </c>
      <c r="J3288" s="16" t="str">
        <f aca="false">IF(B3288="","",IF(A3288=_xlfn.MINIFS($A$2:$A$5001,$B$2:$B$5001,B3288),1,0))</f>
        <v/>
      </c>
      <c r="K3288" s="16" t="str">
        <f aca="false">IF(B3288="","",IF(AND(D3288="Formalização",E3288="Concluído"),IF(COUNTIFS($B$2:$B$5001,B3288,$E$2:$E$5001,"Em ajustes",$A$2:$A$5001,"&lt;"&amp;I3288)&gt;0,1,0),0))</f>
        <v/>
      </c>
      <c r="L3288" s="16" t="str">
        <f aca="false">IF(B3288="","",IF(A3288=_xlfn.MAXIFS($A$2:$A$5001,$B$2:$B$5001,B3288,$I$2:$I$5001,I3288),1,0))</f>
        <v/>
      </c>
    </row>
    <row r="3289" customFormat="false" ht="15" hidden="false" customHeight="false" outlineLevel="0" collapsed="false">
      <c r="I3289" s="15" t="str">
        <f aca="false">IF(A3289="","",INT(A3289))</f>
        <v/>
      </c>
      <c r="J3289" s="16" t="str">
        <f aca="false">IF(B3289="","",IF(A3289=_xlfn.MINIFS($A$2:$A$5001,$B$2:$B$5001,B3289),1,0))</f>
        <v/>
      </c>
      <c r="K3289" s="16" t="str">
        <f aca="false">IF(B3289="","",IF(AND(D3289="Formalização",E3289="Concluído"),IF(COUNTIFS($B$2:$B$5001,B3289,$E$2:$E$5001,"Em ajustes",$A$2:$A$5001,"&lt;"&amp;I3289)&gt;0,1,0),0))</f>
        <v/>
      </c>
      <c r="L3289" s="16" t="str">
        <f aca="false">IF(B3289="","",IF(A3289=_xlfn.MAXIFS($A$2:$A$5001,$B$2:$B$5001,B3289,$I$2:$I$5001,I3289),1,0))</f>
        <v/>
      </c>
    </row>
    <row r="3290" customFormat="false" ht="15" hidden="false" customHeight="false" outlineLevel="0" collapsed="false">
      <c r="I3290" s="15" t="str">
        <f aca="false">IF(A3290="","",INT(A3290))</f>
        <v/>
      </c>
      <c r="J3290" s="16" t="str">
        <f aca="false">IF(B3290="","",IF(A3290=_xlfn.MINIFS($A$2:$A$5001,$B$2:$B$5001,B3290),1,0))</f>
        <v/>
      </c>
      <c r="K3290" s="16" t="str">
        <f aca="false">IF(B3290="","",IF(AND(D3290="Formalização",E3290="Concluído"),IF(COUNTIFS($B$2:$B$5001,B3290,$E$2:$E$5001,"Em ajustes",$A$2:$A$5001,"&lt;"&amp;I3290)&gt;0,1,0),0))</f>
        <v/>
      </c>
      <c r="L3290" s="16" t="str">
        <f aca="false">IF(B3290="","",IF(A3290=_xlfn.MAXIFS($A$2:$A$5001,$B$2:$B$5001,B3290,$I$2:$I$5001,I3290),1,0))</f>
        <v/>
      </c>
    </row>
    <row r="3291" customFormat="false" ht="15" hidden="false" customHeight="false" outlineLevel="0" collapsed="false">
      <c r="I3291" s="15" t="str">
        <f aca="false">IF(A3291="","",INT(A3291))</f>
        <v/>
      </c>
      <c r="J3291" s="16" t="str">
        <f aca="false">IF(B3291="","",IF(A3291=_xlfn.MINIFS($A$2:$A$5001,$B$2:$B$5001,B3291),1,0))</f>
        <v/>
      </c>
      <c r="K3291" s="16" t="str">
        <f aca="false">IF(B3291="","",IF(AND(D3291="Formalização",E3291="Concluído"),IF(COUNTIFS($B$2:$B$5001,B3291,$E$2:$E$5001,"Em ajustes",$A$2:$A$5001,"&lt;"&amp;I3291)&gt;0,1,0),0))</f>
        <v/>
      </c>
      <c r="L3291" s="16" t="str">
        <f aca="false">IF(B3291="","",IF(A3291=_xlfn.MAXIFS($A$2:$A$5001,$B$2:$B$5001,B3291,$I$2:$I$5001,I3291),1,0))</f>
        <v/>
      </c>
    </row>
    <row r="3292" customFormat="false" ht="15" hidden="false" customHeight="false" outlineLevel="0" collapsed="false">
      <c r="I3292" s="15" t="str">
        <f aca="false">IF(A3292="","",INT(A3292))</f>
        <v/>
      </c>
      <c r="J3292" s="16" t="str">
        <f aca="false">IF(B3292="","",IF(A3292=_xlfn.MINIFS($A$2:$A$5001,$B$2:$B$5001,B3292),1,0))</f>
        <v/>
      </c>
      <c r="K3292" s="16" t="str">
        <f aca="false">IF(B3292="","",IF(AND(D3292="Formalização",E3292="Concluído"),IF(COUNTIFS($B$2:$B$5001,B3292,$E$2:$E$5001,"Em ajustes",$A$2:$A$5001,"&lt;"&amp;I3292)&gt;0,1,0),0))</f>
        <v/>
      </c>
      <c r="L3292" s="16" t="str">
        <f aca="false">IF(B3292="","",IF(A3292=_xlfn.MAXIFS($A$2:$A$5001,$B$2:$B$5001,B3292,$I$2:$I$5001,I3292),1,0))</f>
        <v/>
      </c>
    </row>
    <row r="3293" customFormat="false" ht="15" hidden="false" customHeight="false" outlineLevel="0" collapsed="false">
      <c r="I3293" s="15" t="str">
        <f aca="false">IF(A3293="","",INT(A3293))</f>
        <v/>
      </c>
      <c r="J3293" s="16" t="str">
        <f aca="false">IF(B3293="","",IF(A3293=_xlfn.MINIFS($A$2:$A$5001,$B$2:$B$5001,B3293),1,0))</f>
        <v/>
      </c>
      <c r="K3293" s="16" t="str">
        <f aca="false">IF(B3293="","",IF(AND(D3293="Formalização",E3293="Concluído"),IF(COUNTIFS($B$2:$B$5001,B3293,$E$2:$E$5001,"Em ajustes",$A$2:$A$5001,"&lt;"&amp;I3293)&gt;0,1,0),0))</f>
        <v/>
      </c>
      <c r="L3293" s="16" t="str">
        <f aca="false">IF(B3293="","",IF(A3293=_xlfn.MAXIFS($A$2:$A$5001,$B$2:$B$5001,B3293,$I$2:$I$5001,I3293),1,0))</f>
        <v/>
      </c>
    </row>
    <row r="3294" customFormat="false" ht="15" hidden="false" customHeight="false" outlineLevel="0" collapsed="false">
      <c r="I3294" s="15" t="str">
        <f aca="false">IF(A3294="","",INT(A3294))</f>
        <v/>
      </c>
      <c r="J3294" s="16" t="str">
        <f aca="false">IF(B3294="","",IF(A3294=_xlfn.MINIFS($A$2:$A$5001,$B$2:$B$5001,B3294),1,0))</f>
        <v/>
      </c>
      <c r="K3294" s="16" t="str">
        <f aca="false">IF(B3294="","",IF(AND(D3294="Formalização",E3294="Concluído"),IF(COUNTIFS($B$2:$B$5001,B3294,$E$2:$E$5001,"Em ajustes",$A$2:$A$5001,"&lt;"&amp;I3294)&gt;0,1,0),0))</f>
        <v/>
      </c>
      <c r="L3294" s="16" t="str">
        <f aca="false">IF(B3294="","",IF(A3294=_xlfn.MAXIFS($A$2:$A$5001,$B$2:$B$5001,B3294,$I$2:$I$5001,I3294),1,0))</f>
        <v/>
      </c>
    </row>
    <row r="3295" customFormat="false" ht="15" hidden="false" customHeight="false" outlineLevel="0" collapsed="false">
      <c r="I3295" s="15" t="str">
        <f aca="false">IF(A3295="","",INT(A3295))</f>
        <v/>
      </c>
      <c r="J3295" s="16" t="str">
        <f aca="false">IF(B3295="","",IF(A3295=_xlfn.MINIFS($A$2:$A$5001,$B$2:$B$5001,B3295),1,0))</f>
        <v/>
      </c>
      <c r="K3295" s="16" t="str">
        <f aca="false">IF(B3295="","",IF(AND(D3295="Formalização",E3295="Concluído"),IF(COUNTIFS($B$2:$B$5001,B3295,$E$2:$E$5001,"Em ajustes",$A$2:$A$5001,"&lt;"&amp;I3295)&gt;0,1,0),0))</f>
        <v/>
      </c>
      <c r="L3295" s="16" t="str">
        <f aca="false">IF(B3295="","",IF(A3295=_xlfn.MAXIFS($A$2:$A$5001,$B$2:$B$5001,B3295,$I$2:$I$5001,I3295),1,0))</f>
        <v/>
      </c>
    </row>
    <row r="3296" customFormat="false" ht="15" hidden="false" customHeight="false" outlineLevel="0" collapsed="false">
      <c r="I3296" s="15" t="str">
        <f aca="false">IF(A3296="","",INT(A3296))</f>
        <v/>
      </c>
      <c r="J3296" s="16" t="str">
        <f aca="false">IF(B3296="","",IF(A3296=_xlfn.MINIFS($A$2:$A$5001,$B$2:$B$5001,B3296),1,0))</f>
        <v/>
      </c>
      <c r="K3296" s="16" t="str">
        <f aca="false">IF(B3296="","",IF(AND(D3296="Formalização",E3296="Concluído"),IF(COUNTIFS($B$2:$B$5001,B3296,$E$2:$E$5001,"Em ajustes",$A$2:$A$5001,"&lt;"&amp;I3296)&gt;0,1,0),0))</f>
        <v/>
      </c>
      <c r="L3296" s="16" t="str">
        <f aca="false">IF(B3296="","",IF(A3296=_xlfn.MAXIFS($A$2:$A$5001,$B$2:$B$5001,B3296,$I$2:$I$5001,I3296),1,0))</f>
        <v/>
      </c>
    </row>
    <row r="3297" customFormat="false" ht="15" hidden="false" customHeight="false" outlineLevel="0" collapsed="false">
      <c r="I3297" s="15" t="str">
        <f aca="false">IF(A3297="","",INT(A3297))</f>
        <v/>
      </c>
      <c r="J3297" s="16" t="str">
        <f aca="false">IF(B3297="","",IF(A3297=_xlfn.MINIFS($A$2:$A$5001,$B$2:$B$5001,B3297),1,0))</f>
        <v/>
      </c>
      <c r="K3297" s="16" t="str">
        <f aca="false">IF(B3297="","",IF(AND(D3297="Formalização",E3297="Concluído"),IF(COUNTIFS($B$2:$B$5001,B3297,$E$2:$E$5001,"Em ajustes",$A$2:$A$5001,"&lt;"&amp;I3297)&gt;0,1,0),0))</f>
        <v/>
      </c>
      <c r="L3297" s="16" t="str">
        <f aca="false">IF(B3297="","",IF(A3297=_xlfn.MAXIFS($A$2:$A$5001,$B$2:$B$5001,B3297,$I$2:$I$5001,I3297),1,0))</f>
        <v/>
      </c>
    </row>
    <row r="3298" customFormat="false" ht="15" hidden="false" customHeight="false" outlineLevel="0" collapsed="false">
      <c r="I3298" s="15" t="str">
        <f aca="false">IF(A3298="","",INT(A3298))</f>
        <v/>
      </c>
      <c r="J3298" s="16" t="str">
        <f aca="false">IF(B3298="","",IF(A3298=_xlfn.MINIFS($A$2:$A$5001,$B$2:$B$5001,B3298),1,0))</f>
        <v/>
      </c>
      <c r="K3298" s="16" t="str">
        <f aca="false">IF(B3298="","",IF(AND(D3298="Formalização",E3298="Concluído"),IF(COUNTIFS($B$2:$B$5001,B3298,$E$2:$E$5001,"Em ajustes",$A$2:$A$5001,"&lt;"&amp;I3298)&gt;0,1,0),0))</f>
        <v/>
      </c>
      <c r="L3298" s="16" t="str">
        <f aca="false">IF(B3298="","",IF(A3298=_xlfn.MAXIFS($A$2:$A$5001,$B$2:$B$5001,B3298,$I$2:$I$5001,I3298),1,0))</f>
        <v/>
      </c>
    </row>
    <row r="3299" customFormat="false" ht="15" hidden="false" customHeight="false" outlineLevel="0" collapsed="false">
      <c r="I3299" s="15" t="str">
        <f aca="false">IF(A3299="","",INT(A3299))</f>
        <v/>
      </c>
      <c r="J3299" s="16" t="str">
        <f aca="false">IF(B3299="","",IF(A3299=_xlfn.MINIFS($A$2:$A$5001,$B$2:$B$5001,B3299),1,0))</f>
        <v/>
      </c>
      <c r="K3299" s="16" t="str">
        <f aca="false">IF(B3299="","",IF(AND(D3299="Formalização",E3299="Concluído"),IF(COUNTIFS($B$2:$B$5001,B3299,$E$2:$E$5001,"Em ajustes",$A$2:$A$5001,"&lt;"&amp;I3299)&gt;0,1,0),0))</f>
        <v/>
      </c>
      <c r="L3299" s="16" t="str">
        <f aca="false">IF(B3299="","",IF(A3299=_xlfn.MAXIFS($A$2:$A$5001,$B$2:$B$5001,B3299,$I$2:$I$5001,I3299),1,0))</f>
        <v/>
      </c>
    </row>
    <row r="3300" customFormat="false" ht="15" hidden="false" customHeight="false" outlineLevel="0" collapsed="false">
      <c r="I3300" s="15" t="str">
        <f aca="false">IF(A3300="","",INT(A3300))</f>
        <v/>
      </c>
      <c r="J3300" s="16" t="str">
        <f aca="false">IF(B3300="","",IF(A3300=_xlfn.MINIFS($A$2:$A$5001,$B$2:$B$5001,B3300),1,0))</f>
        <v/>
      </c>
      <c r="K3300" s="16" t="str">
        <f aca="false">IF(B3300="","",IF(AND(D3300="Formalização",E3300="Concluído"),IF(COUNTIFS($B$2:$B$5001,B3300,$E$2:$E$5001,"Em ajustes",$A$2:$A$5001,"&lt;"&amp;I3300)&gt;0,1,0),0))</f>
        <v/>
      </c>
      <c r="L3300" s="16" t="str">
        <f aca="false">IF(B3300="","",IF(A3300=_xlfn.MAXIFS($A$2:$A$5001,$B$2:$B$5001,B3300,$I$2:$I$5001,I3300),1,0))</f>
        <v/>
      </c>
    </row>
    <row r="3301" customFormat="false" ht="15" hidden="false" customHeight="false" outlineLevel="0" collapsed="false">
      <c r="I3301" s="15" t="str">
        <f aca="false">IF(A3301="","",INT(A3301))</f>
        <v/>
      </c>
      <c r="J3301" s="16" t="str">
        <f aca="false">IF(B3301="","",IF(A3301=_xlfn.MINIFS($A$2:$A$5001,$B$2:$B$5001,B3301),1,0))</f>
        <v/>
      </c>
      <c r="K3301" s="16" t="str">
        <f aca="false">IF(B3301="","",IF(AND(D3301="Formalização",E3301="Concluído"),IF(COUNTIFS($B$2:$B$5001,B3301,$E$2:$E$5001,"Em ajustes",$A$2:$A$5001,"&lt;"&amp;I3301)&gt;0,1,0),0))</f>
        <v/>
      </c>
      <c r="L3301" s="16" t="str">
        <f aca="false">IF(B3301="","",IF(A3301=_xlfn.MAXIFS($A$2:$A$5001,$B$2:$B$5001,B3301,$I$2:$I$5001,I3301),1,0))</f>
        <v/>
      </c>
    </row>
    <row r="3302" customFormat="false" ht="15" hidden="false" customHeight="false" outlineLevel="0" collapsed="false">
      <c r="I3302" s="15" t="str">
        <f aca="false">IF(A3302="","",INT(A3302))</f>
        <v/>
      </c>
      <c r="J3302" s="16" t="str">
        <f aca="false">IF(B3302="","",IF(A3302=_xlfn.MINIFS($A$2:$A$5001,$B$2:$B$5001,B3302),1,0))</f>
        <v/>
      </c>
      <c r="K3302" s="16" t="str">
        <f aca="false">IF(B3302="","",IF(AND(D3302="Formalização",E3302="Concluído"),IF(COUNTIFS($B$2:$B$5001,B3302,$E$2:$E$5001,"Em ajustes",$A$2:$A$5001,"&lt;"&amp;I3302)&gt;0,1,0),0))</f>
        <v/>
      </c>
      <c r="L3302" s="16" t="str">
        <f aca="false">IF(B3302="","",IF(A3302=_xlfn.MAXIFS($A$2:$A$5001,$B$2:$B$5001,B3302,$I$2:$I$5001,I3302),1,0))</f>
        <v/>
      </c>
    </row>
    <row r="3303" customFormat="false" ht="15" hidden="false" customHeight="false" outlineLevel="0" collapsed="false">
      <c r="I3303" s="15" t="str">
        <f aca="false">IF(A3303="","",INT(A3303))</f>
        <v/>
      </c>
      <c r="J3303" s="16" t="str">
        <f aca="false">IF(B3303="","",IF(A3303=_xlfn.MINIFS($A$2:$A$5001,$B$2:$B$5001,B3303),1,0))</f>
        <v/>
      </c>
      <c r="K3303" s="16" t="str">
        <f aca="false">IF(B3303="","",IF(AND(D3303="Formalização",E3303="Concluído"),IF(COUNTIFS($B$2:$B$5001,B3303,$E$2:$E$5001,"Em ajustes",$A$2:$A$5001,"&lt;"&amp;I3303)&gt;0,1,0),0))</f>
        <v/>
      </c>
      <c r="L3303" s="16" t="str">
        <f aca="false">IF(B3303="","",IF(A3303=_xlfn.MAXIFS($A$2:$A$5001,$B$2:$B$5001,B3303,$I$2:$I$5001,I3303),1,0))</f>
        <v/>
      </c>
    </row>
    <row r="3304" customFormat="false" ht="15" hidden="false" customHeight="false" outlineLevel="0" collapsed="false">
      <c r="I3304" s="15" t="str">
        <f aca="false">IF(A3304="","",INT(A3304))</f>
        <v/>
      </c>
      <c r="J3304" s="16" t="str">
        <f aca="false">IF(B3304="","",IF(A3304=_xlfn.MINIFS($A$2:$A$5001,$B$2:$B$5001,B3304),1,0))</f>
        <v/>
      </c>
      <c r="K3304" s="16" t="str">
        <f aca="false">IF(B3304="","",IF(AND(D3304="Formalização",E3304="Concluído"),IF(COUNTIFS($B$2:$B$5001,B3304,$E$2:$E$5001,"Em ajustes",$A$2:$A$5001,"&lt;"&amp;I3304)&gt;0,1,0),0))</f>
        <v/>
      </c>
      <c r="L3304" s="16" t="str">
        <f aca="false">IF(B3304="","",IF(A3304=_xlfn.MAXIFS($A$2:$A$5001,$B$2:$B$5001,B3304,$I$2:$I$5001,I3304),1,0))</f>
        <v/>
      </c>
    </row>
    <row r="3305" customFormat="false" ht="15" hidden="false" customHeight="false" outlineLevel="0" collapsed="false">
      <c r="I3305" s="15" t="str">
        <f aca="false">IF(A3305="","",INT(A3305))</f>
        <v/>
      </c>
      <c r="J3305" s="16" t="str">
        <f aca="false">IF(B3305="","",IF(A3305=_xlfn.MINIFS($A$2:$A$5001,$B$2:$B$5001,B3305),1,0))</f>
        <v/>
      </c>
      <c r="K3305" s="16" t="str">
        <f aca="false">IF(B3305="","",IF(AND(D3305="Formalização",E3305="Concluído"),IF(COUNTIFS($B$2:$B$5001,B3305,$E$2:$E$5001,"Em ajustes",$A$2:$A$5001,"&lt;"&amp;I3305)&gt;0,1,0),0))</f>
        <v/>
      </c>
      <c r="L3305" s="16" t="str">
        <f aca="false">IF(B3305="","",IF(A3305=_xlfn.MAXIFS($A$2:$A$5001,$B$2:$B$5001,B3305,$I$2:$I$5001,I3305),1,0))</f>
        <v/>
      </c>
    </row>
    <row r="3306" customFormat="false" ht="15" hidden="false" customHeight="false" outlineLevel="0" collapsed="false">
      <c r="I3306" s="15" t="str">
        <f aca="false">IF(A3306="","",INT(A3306))</f>
        <v/>
      </c>
      <c r="J3306" s="16" t="str">
        <f aca="false">IF(B3306="","",IF(A3306=_xlfn.MINIFS($A$2:$A$5001,$B$2:$B$5001,B3306),1,0))</f>
        <v/>
      </c>
      <c r="K3306" s="16" t="str">
        <f aca="false">IF(B3306="","",IF(AND(D3306="Formalização",E3306="Concluído"),IF(COUNTIFS($B$2:$B$5001,B3306,$E$2:$E$5001,"Em ajustes",$A$2:$A$5001,"&lt;"&amp;I3306)&gt;0,1,0),0))</f>
        <v/>
      </c>
      <c r="L3306" s="16" t="str">
        <f aca="false">IF(B3306="","",IF(A3306=_xlfn.MAXIFS($A$2:$A$5001,$B$2:$B$5001,B3306,$I$2:$I$5001,I3306),1,0))</f>
        <v/>
      </c>
    </row>
    <row r="3307" customFormat="false" ht="15" hidden="false" customHeight="false" outlineLevel="0" collapsed="false">
      <c r="I3307" s="15" t="str">
        <f aca="false">IF(A3307="","",INT(A3307))</f>
        <v/>
      </c>
      <c r="J3307" s="16" t="str">
        <f aca="false">IF(B3307="","",IF(A3307=_xlfn.MINIFS($A$2:$A$5001,$B$2:$B$5001,B3307),1,0))</f>
        <v/>
      </c>
      <c r="K3307" s="16" t="str">
        <f aca="false">IF(B3307="","",IF(AND(D3307="Formalização",E3307="Concluído"),IF(COUNTIFS($B$2:$B$5001,B3307,$E$2:$E$5001,"Em ajustes",$A$2:$A$5001,"&lt;"&amp;I3307)&gt;0,1,0),0))</f>
        <v/>
      </c>
      <c r="L3307" s="16" t="str">
        <f aca="false">IF(B3307="","",IF(A3307=_xlfn.MAXIFS($A$2:$A$5001,$B$2:$B$5001,B3307,$I$2:$I$5001,I3307),1,0))</f>
        <v/>
      </c>
    </row>
    <row r="3308" customFormat="false" ht="15" hidden="false" customHeight="false" outlineLevel="0" collapsed="false">
      <c r="I3308" s="15" t="str">
        <f aca="false">IF(A3308="","",INT(A3308))</f>
        <v/>
      </c>
      <c r="J3308" s="16" t="str">
        <f aca="false">IF(B3308="","",IF(A3308=_xlfn.MINIFS($A$2:$A$5001,$B$2:$B$5001,B3308),1,0))</f>
        <v/>
      </c>
      <c r="K3308" s="16" t="str">
        <f aca="false">IF(B3308="","",IF(AND(D3308="Formalização",E3308="Concluído"),IF(COUNTIFS($B$2:$B$5001,B3308,$E$2:$E$5001,"Em ajustes",$A$2:$A$5001,"&lt;"&amp;I3308)&gt;0,1,0),0))</f>
        <v/>
      </c>
      <c r="L3308" s="16" t="str">
        <f aca="false">IF(B3308="","",IF(A3308=_xlfn.MAXIFS($A$2:$A$5001,$B$2:$B$5001,B3308,$I$2:$I$5001,I3308),1,0))</f>
        <v/>
      </c>
    </row>
    <row r="3309" customFormat="false" ht="15" hidden="false" customHeight="false" outlineLevel="0" collapsed="false">
      <c r="I3309" s="15" t="str">
        <f aca="false">IF(A3309="","",INT(A3309))</f>
        <v/>
      </c>
      <c r="J3309" s="16" t="str">
        <f aca="false">IF(B3309="","",IF(A3309=_xlfn.MINIFS($A$2:$A$5001,$B$2:$B$5001,B3309),1,0))</f>
        <v/>
      </c>
      <c r="K3309" s="16" t="str">
        <f aca="false">IF(B3309="","",IF(AND(D3309="Formalização",E3309="Concluído"),IF(COUNTIFS($B$2:$B$5001,B3309,$E$2:$E$5001,"Em ajustes",$A$2:$A$5001,"&lt;"&amp;I3309)&gt;0,1,0),0))</f>
        <v/>
      </c>
      <c r="L3309" s="16" t="str">
        <f aca="false">IF(B3309="","",IF(A3309=_xlfn.MAXIFS($A$2:$A$5001,$B$2:$B$5001,B3309,$I$2:$I$5001,I3309),1,0))</f>
        <v/>
      </c>
    </row>
    <row r="3310" customFormat="false" ht="15" hidden="false" customHeight="false" outlineLevel="0" collapsed="false">
      <c r="I3310" s="15" t="str">
        <f aca="false">IF(A3310="","",INT(A3310))</f>
        <v/>
      </c>
      <c r="J3310" s="16" t="str">
        <f aca="false">IF(B3310="","",IF(A3310=_xlfn.MINIFS($A$2:$A$5001,$B$2:$B$5001,B3310),1,0))</f>
        <v/>
      </c>
      <c r="K3310" s="16" t="str">
        <f aca="false">IF(B3310="","",IF(AND(D3310="Formalização",E3310="Concluído"),IF(COUNTIFS($B$2:$B$5001,B3310,$E$2:$E$5001,"Em ajustes",$A$2:$A$5001,"&lt;"&amp;I3310)&gt;0,1,0),0))</f>
        <v/>
      </c>
      <c r="L3310" s="16" t="str">
        <f aca="false">IF(B3310="","",IF(A3310=_xlfn.MAXIFS($A$2:$A$5001,$B$2:$B$5001,B3310,$I$2:$I$5001,I3310),1,0))</f>
        <v/>
      </c>
    </row>
    <row r="3311" customFormat="false" ht="15" hidden="false" customHeight="false" outlineLevel="0" collapsed="false">
      <c r="I3311" s="15" t="str">
        <f aca="false">IF(A3311="","",INT(A3311))</f>
        <v/>
      </c>
      <c r="J3311" s="16" t="str">
        <f aca="false">IF(B3311="","",IF(A3311=_xlfn.MINIFS($A$2:$A$5001,$B$2:$B$5001,B3311),1,0))</f>
        <v/>
      </c>
      <c r="K3311" s="16" t="str">
        <f aca="false">IF(B3311="","",IF(AND(D3311="Formalização",E3311="Concluído"),IF(COUNTIFS($B$2:$B$5001,B3311,$E$2:$E$5001,"Em ajustes",$A$2:$A$5001,"&lt;"&amp;I3311)&gt;0,1,0),0))</f>
        <v/>
      </c>
      <c r="L3311" s="16" t="str">
        <f aca="false">IF(B3311="","",IF(A3311=_xlfn.MAXIFS($A$2:$A$5001,$B$2:$B$5001,B3311,$I$2:$I$5001,I3311),1,0))</f>
        <v/>
      </c>
    </row>
    <row r="3312" customFormat="false" ht="15" hidden="false" customHeight="false" outlineLevel="0" collapsed="false">
      <c r="I3312" s="15" t="str">
        <f aca="false">IF(A3312="","",INT(A3312))</f>
        <v/>
      </c>
      <c r="J3312" s="16" t="str">
        <f aca="false">IF(B3312="","",IF(A3312=_xlfn.MINIFS($A$2:$A$5001,$B$2:$B$5001,B3312),1,0))</f>
        <v/>
      </c>
      <c r="K3312" s="16" t="str">
        <f aca="false">IF(B3312="","",IF(AND(D3312="Formalização",E3312="Concluído"),IF(COUNTIFS($B$2:$B$5001,B3312,$E$2:$E$5001,"Em ajustes",$A$2:$A$5001,"&lt;"&amp;I3312)&gt;0,1,0),0))</f>
        <v/>
      </c>
      <c r="L3312" s="16" t="str">
        <f aca="false">IF(B3312="","",IF(A3312=_xlfn.MAXIFS($A$2:$A$5001,$B$2:$B$5001,B3312,$I$2:$I$5001,I3312),1,0))</f>
        <v/>
      </c>
    </row>
    <row r="3313" customFormat="false" ht="15" hidden="false" customHeight="false" outlineLevel="0" collapsed="false">
      <c r="I3313" s="15" t="str">
        <f aca="false">IF(A3313="","",INT(A3313))</f>
        <v/>
      </c>
      <c r="J3313" s="16" t="str">
        <f aca="false">IF(B3313="","",IF(A3313=_xlfn.MINIFS($A$2:$A$5001,$B$2:$B$5001,B3313),1,0))</f>
        <v/>
      </c>
      <c r="K3313" s="16" t="str">
        <f aca="false">IF(B3313="","",IF(AND(D3313="Formalização",E3313="Concluído"),IF(COUNTIFS($B$2:$B$5001,B3313,$E$2:$E$5001,"Em ajustes",$A$2:$A$5001,"&lt;"&amp;I3313)&gt;0,1,0),0))</f>
        <v/>
      </c>
      <c r="L3313" s="16" t="str">
        <f aca="false">IF(B3313="","",IF(A3313=_xlfn.MAXIFS($A$2:$A$5001,$B$2:$B$5001,B3313,$I$2:$I$5001,I3313),1,0))</f>
        <v/>
      </c>
    </row>
    <row r="3314" customFormat="false" ht="15" hidden="false" customHeight="false" outlineLevel="0" collapsed="false">
      <c r="I3314" s="15" t="str">
        <f aca="false">IF(A3314="","",INT(A3314))</f>
        <v/>
      </c>
      <c r="J3314" s="16" t="str">
        <f aca="false">IF(B3314="","",IF(A3314=_xlfn.MINIFS($A$2:$A$5001,$B$2:$B$5001,B3314),1,0))</f>
        <v/>
      </c>
      <c r="K3314" s="16" t="str">
        <f aca="false">IF(B3314="","",IF(AND(D3314="Formalização",E3314="Concluído"),IF(COUNTIFS($B$2:$B$5001,B3314,$E$2:$E$5001,"Em ajustes",$A$2:$A$5001,"&lt;"&amp;I3314)&gt;0,1,0),0))</f>
        <v/>
      </c>
      <c r="L3314" s="16" t="str">
        <f aca="false">IF(B3314="","",IF(A3314=_xlfn.MAXIFS($A$2:$A$5001,$B$2:$B$5001,B3314,$I$2:$I$5001,I3314),1,0))</f>
        <v/>
      </c>
    </row>
    <row r="3315" customFormat="false" ht="15" hidden="false" customHeight="false" outlineLevel="0" collapsed="false">
      <c r="I3315" s="15" t="str">
        <f aca="false">IF(A3315="","",INT(A3315))</f>
        <v/>
      </c>
      <c r="J3315" s="16" t="str">
        <f aca="false">IF(B3315="","",IF(A3315=_xlfn.MINIFS($A$2:$A$5001,$B$2:$B$5001,B3315),1,0))</f>
        <v/>
      </c>
      <c r="K3315" s="16" t="str">
        <f aca="false">IF(B3315="","",IF(AND(D3315="Formalização",E3315="Concluído"),IF(COUNTIFS($B$2:$B$5001,B3315,$E$2:$E$5001,"Em ajustes",$A$2:$A$5001,"&lt;"&amp;I3315)&gt;0,1,0),0))</f>
        <v/>
      </c>
      <c r="L3315" s="16" t="str">
        <f aca="false">IF(B3315="","",IF(A3315=_xlfn.MAXIFS($A$2:$A$5001,$B$2:$B$5001,B3315,$I$2:$I$5001,I3315),1,0))</f>
        <v/>
      </c>
    </row>
    <row r="3316" customFormat="false" ht="15" hidden="false" customHeight="false" outlineLevel="0" collapsed="false">
      <c r="I3316" s="15" t="str">
        <f aca="false">IF(A3316="","",INT(A3316))</f>
        <v/>
      </c>
      <c r="J3316" s="16" t="str">
        <f aca="false">IF(B3316="","",IF(A3316=_xlfn.MINIFS($A$2:$A$5001,$B$2:$B$5001,B3316),1,0))</f>
        <v/>
      </c>
      <c r="K3316" s="16" t="str">
        <f aca="false">IF(B3316="","",IF(AND(D3316="Formalização",E3316="Concluído"),IF(COUNTIFS($B$2:$B$5001,B3316,$E$2:$E$5001,"Em ajustes",$A$2:$A$5001,"&lt;"&amp;I3316)&gt;0,1,0),0))</f>
        <v/>
      </c>
      <c r="L3316" s="16" t="str">
        <f aca="false">IF(B3316="","",IF(A3316=_xlfn.MAXIFS($A$2:$A$5001,$B$2:$B$5001,B3316,$I$2:$I$5001,I3316),1,0))</f>
        <v/>
      </c>
    </row>
    <row r="3317" customFormat="false" ht="15" hidden="false" customHeight="false" outlineLevel="0" collapsed="false">
      <c r="I3317" s="15" t="str">
        <f aca="false">IF(A3317="","",INT(A3317))</f>
        <v/>
      </c>
      <c r="J3317" s="16" t="str">
        <f aca="false">IF(B3317="","",IF(A3317=_xlfn.MINIFS($A$2:$A$5001,$B$2:$B$5001,B3317),1,0))</f>
        <v/>
      </c>
      <c r="K3317" s="16" t="str">
        <f aca="false">IF(B3317="","",IF(AND(D3317="Formalização",E3317="Concluído"),IF(COUNTIFS($B$2:$B$5001,B3317,$E$2:$E$5001,"Em ajustes",$A$2:$A$5001,"&lt;"&amp;I3317)&gt;0,1,0),0))</f>
        <v/>
      </c>
      <c r="L3317" s="16" t="str">
        <f aca="false">IF(B3317="","",IF(A3317=_xlfn.MAXIFS($A$2:$A$5001,$B$2:$B$5001,B3317,$I$2:$I$5001,I3317),1,0))</f>
        <v/>
      </c>
    </row>
    <row r="3318" customFormat="false" ht="15" hidden="false" customHeight="false" outlineLevel="0" collapsed="false">
      <c r="I3318" s="15" t="str">
        <f aca="false">IF(A3318="","",INT(A3318))</f>
        <v/>
      </c>
      <c r="J3318" s="16" t="str">
        <f aca="false">IF(B3318="","",IF(A3318=_xlfn.MINIFS($A$2:$A$5001,$B$2:$B$5001,B3318),1,0))</f>
        <v/>
      </c>
      <c r="K3318" s="16" t="str">
        <f aca="false">IF(B3318="","",IF(AND(D3318="Formalização",E3318="Concluído"),IF(COUNTIFS($B$2:$B$5001,B3318,$E$2:$E$5001,"Em ajustes",$A$2:$A$5001,"&lt;"&amp;I3318)&gt;0,1,0),0))</f>
        <v/>
      </c>
      <c r="L3318" s="16" t="str">
        <f aca="false">IF(B3318="","",IF(A3318=_xlfn.MAXIFS($A$2:$A$5001,$B$2:$B$5001,B3318,$I$2:$I$5001,I3318),1,0))</f>
        <v/>
      </c>
    </row>
    <row r="3319" customFormat="false" ht="15" hidden="false" customHeight="false" outlineLevel="0" collapsed="false">
      <c r="I3319" s="15" t="str">
        <f aca="false">IF(A3319="","",INT(A3319))</f>
        <v/>
      </c>
      <c r="J3319" s="16" t="str">
        <f aca="false">IF(B3319="","",IF(A3319=_xlfn.MINIFS($A$2:$A$5001,$B$2:$B$5001,B3319),1,0))</f>
        <v/>
      </c>
      <c r="K3319" s="16" t="str">
        <f aca="false">IF(B3319="","",IF(AND(D3319="Formalização",E3319="Concluído"),IF(COUNTIFS($B$2:$B$5001,B3319,$E$2:$E$5001,"Em ajustes",$A$2:$A$5001,"&lt;"&amp;I3319)&gt;0,1,0),0))</f>
        <v/>
      </c>
      <c r="L3319" s="16" t="str">
        <f aca="false">IF(B3319="","",IF(A3319=_xlfn.MAXIFS($A$2:$A$5001,$B$2:$B$5001,B3319,$I$2:$I$5001,I3319),1,0))</f>
        <v/>
      </c>
    </row>
    <row r="3320" customFormat="false" ht="15" hidden="false" customHeight="false" outlineLevel="0" collapsed="false">
      <c r="I3320" s="15" t="str">
        <f aca="false">IF(A3320="","",INT(A3320))</f>
        <v/>
      </c>
      <c r="J3320" s="16" t="str">
        <f aca="false">IF(B3320="","",IF(A3320=_xlfn.MINIFS($A$2:$A$5001,$B$2:$B$5001,B3320),1,0))</f>
        <v/>
      </c>
      <c r="K3320" s="16" t="str">
        <f aca="false">IF(B3320="","",IF(AND(D3320="Formalização",E3320="Concluído"),IF(COUNTIFS($B$2:$B$5001,B3320,$E$2:$E$5001,"Em ajustes",$A$2:$A$5001,"&lt;"&amp;I3320)&gt;0,1,0),0))</f>
        <v/>
      </c>
      <c r="L3320" s="16" t="str">
        <f aca="false">IF(B3320="","",IF(A3320=_xlfn.MAXIFS($A$2:$A$5001,$B$2:$B$5001,B3320,$I$2:$I$5001,I3320),1,0))</f>
        <v/>
      </c>
    </row>
    <row r="3321" customFormat="false" ht="15" hidden="false" customHeight="false" outlineLevel="0" collapsed="false">
      <c r="I3321" s="15" t="str">
        <f aca="false">IF(A3321="","",INT(A3321))</f>
        <v/>
      </c>
      <c r="J3321" s="16" t="str">
        <f aca="false">IF(B3321="","",IF(A3321=_xlfn.MINIFS($A$2:$A$5001,$B$2:$B$5001,B3321),1,0))</f>
        <v/>
      </c>
      <c r="K3321" s="16" t="str">
        <f aca="false">IF(B3321="","",IF(AND(D3321="Formalização",E3321="Concluído"),IF(COUNTIFS($B$2:$B$5001,B3321,$E$2:$E$5001,"Em ajustes",$A$2:$A$5001,"&lt;"&amp;I3321)&gt;0,1,0),0))</f>
        <v/>
      </c>
      <c r="L3321" s="16" t="str">
        <f aca="false">IF(B3321="","",IF(A3321=_xlfn.MAXIFS($A$2:$A$5001,$B$2:$B$5001,B3321,$I$2:$I$5001,I3321),1,0))</f>
        <v/>
      </c>
    </row>
    <row r="3322" customFormat="false" ht="15" hidden="false" customHeight="false" outlineLevel="0" collapsed="false">
      <c r="I3322" s="15" t="str">
        <f aca="false">IF(A3322="","",INT(A3322))</f>
        <v/>
      </c>
      <c r="J3322" s="16" t="str">
        <f aca="false">IF(B3322="","",IF(A3322=_xlfn.MINIFS($A$2:$A$5001,$B$2:$B$5001,B3322),1,0))</f>
        <v/>
      </c>
      <c r="K3322" s="16" t="str">
        <f aca="false">IF(B3322="","",IF(AND(D3322="Formalização",E3322="Concluído"),IF(COUNTIFS($B$2:$B$5001,B3322,$E$2:$E$5001,"Em ajustes",$A$2:$A$5001,"&lt;"&amp;I3322)&gt;0,1,0),0))</f>
        <v/>
      </c>
      <c r="L3322" s="16" t="str">
        <f aca="false">IF(B3322="","",IF(A3322=_xlfn.MAXIFS($A$2:$A$5001,$B$2:$B$5001,B3322,$I$2:$I$5001,I3322),1,0))</f>
        <v/>
      </c>
    </row>
    <row r="3323" customFormat="false" ht="15" hidden="false" customHeight="false" outlineLevel="0" collapsed="false">
      <c r="I3323" s="15" t="str">
        <f aca="false">IF(A3323="","",INT(A3323))</f>
        <v/>
      </c>
      <c r="J3323" s="16" t="str">
        <f aca="false">IF(B3323="","",IF(A3323=_xlfn.MINIFS($A$2:$A$5001,$B$2:$B$5001,B3323),1,0))</f>
        <v/>
      </c>
      <c r="K3323" s="16" t="str">
        <f aca="false">IF(B3323="","",IF(AND(D3323="Formalização",E3323="Concluído"),IF(COUNTIFS($B$2:$B$5001,B3323,$E$2:$E$5001,"Em ajustes",$A$2:$A$5001,"&lt;"&amp;I3323)&gt;0,1,0),0))</f>
        <v/>
      </c>
      <c r="L3323" s="16" t="str">
        <f aca="false">IF(B3323="","",IF(A3323=_xlfn.MAXIFS($A$2:$A$5001,$B$2:$B$5001,B3323,$I$2:$I$5001,I3323),1,0))</f>
        <v/>
      </c>
    </row>
    <row r="3324" customFormat="false" ht="15" hidden="false" customHeight="false" outlineLevel="0" collapsed="false">
      <c r="I3324" s="15" t="str">
        <f aca="false">IF(A3324="","",INT(A3324))</f>
        <v/>
      </c>
      <c r="J3324" s="16" t="str">
        <f aca="false">IF(B3324="","",IF(A3324=_xlfn.MINIFS($A$2:$A$5001,$B$2:$B$5001,B3324),1,0))</f>
        <v/>
      </c>
      <c r="K3324" s="16" t="str">
        <f aca="false">IF(B3324="","",IF(AND(D3324="Formalização",E3324="Concluído"),IF(COUNTIFS($B$2:$B$5001,B3324,$E$2:$E$5001,"Em ajustes",$A$2:$A$5001,"&lt;"&amp;I3324)&gt;0,1,0),0))</f>
        <v/>
      </c>
      <c r="L3324" s="16" t="str">
        <f aca="false">IF(B3324="","",IF(A3324=_xlfn.MAXIFS($A$2:$A$5001,$B$2:$B$5001,B3324,$I$2:$I$5001,I3324),1,0))</f>
        <v/>
      </c>
    </row>
    <row r="3325" customFormat="false" ht="15" hidden="false" customHeight="false" outlineLevel="0" collapsed="false">
      <c r="I3325" s="15" t="str">
        <f aca="false">IF(A3325="","",INT(A3325))</f>
        <v/>
      </c>
      <c r="J3325" s="16" t="str">
        <f aca="false">IF(B3325="","",IF(A3325=_xlfn.MINIFS($A$2:$A$5001,$B$2:$B$5001,B3325),1,0))</f>
        <v/>
      </c>
      <c r="K3325" s="16" t="str">
        <f aca="false">IF(B3325="","",IF(AND(D3325="Formalização",E3325="Concluído"),IF(COUNTIFS($B$2:$B$5001,B3325,$E$2:$E$5001,"Em ajustes",$A$2:$A$5001,"&lt;"&amp;I3325)&gt;0,1,0),0))</f>
        <v/>
      </c>
      <c r="L3325" s="16" t="str">
        <f aca="false">IF(B3325="","",IF(A3325=_xlfn.MAXIFS($A$2:$A$5001,$B$2:$B$5001,B3325,$I$2:$I$5001,I3325),1,0))</f>
        <v/>
      </c>
    </row>
    <row r="3326" customFormat="false" ht="15" hidden="false" customHeight="false" outlineLevel="0" collapsed="false">
      <c r="I3326" s="15" t="str">
        <f aca="false">IF(A3326="","",INT(A3326))</f>
        <v/>
      </c>
      <c r="J3326" s="16" t="str">
        <f aca="false">IF(B3326="","",IF(A3326=_xlfn.MINIFS($A$2:$A$5001,$B$2:$B$5001,B3326),1,0))</f>
        <v/>
      </c>
      <c r="K3326" s="16" t="str">
        <f aca="false">IF(B3326="","",IF(AND(D3326="Formalização",E3326="Concluído"),IF(COUNTIFS($B$2:$B$5001,B3326,$E$2:$E$5001,"Em ajustes",$A$2:$A$5001,"&lt;"&amp;I3326)&gt;0,1,0),0))</f>
        <v/>
      </c>
      <c r="L3326" s="16" t="str">
        <f aca="false">IF(B3326="","",IF(A3326=_xlfn.MAXIFS($A$2:$A$5001,$B$2:$B$5001,B3326,$I$2:$I$5001,I3326),1,0))</f>
        <v/>
      </c>
    </row>
    <row r="3327" customFormat="false" ht="15" hidden="false" customHeight="false" outlineLevel="0" collapsed="false">
      <c r="I3327" s="15" t="str">
        <f aca="false">IF(A3327="","",INT(A3327))</f>
        <v/>
      </c>
      <c r="J3327" s="16" t="str">
        <f aca="false">IF(B3327="","",IF(A3327=_xlfn.MINIFS($A$2:$A$5001,$B$2:$B$5001,B3327),1,0))</f>
        <v/>
      </c>
      <c r="K3327" s="16" t="str">
        <f aca="false">IF(B3327="","",IF(AND(D3327="Formalização",E3327="Concluído"),IF(COUNTIFS($B$2:$B$5001,B3327,$E$2:$E$5001,"Em ajustes",$A$2:$A$5001,"&lt;"&amp;I3327)&gt;0,1,0),0))</f>
        <v/>
      </c>
      <c r="L3327" s="16" t="str">
        <f aca="false">IF(B3327="","",IF(A3327=_xlfn.MAXIFS($A$2:$A$5001,$B$2:$B$5001,B3327,$I$2:$I$5001,I3327),1,0))</f>
        <v/>
      </c>
    </row>
    <row r="3328" customFormat="false" ht="15" hidden="false" customHeight="false" outlineLevel="0" collapsed="false">
      <c r="I3328" s="15" t="str">
        <f aca="false">IF(A3328="","",INT(A3328))</f>
        <v/>
      </c>
      <c r="J3328" s="16" t="str">
        <f aca="false">IF(B3328="","",IF(A3328=_xlfn.MINIFS($A$2:$A$5001,$B$2:$B$5001,B3328),1,0))</f>
        <v/>
      </c>
      <c r="K3328" s="16" t="str">
        <f aca="false">IF(B3328="","",IF(AND(D3328="Formalização",E3328="Concluído"),IF(COUNTIFS($B$2:$B$5001,B3328,$E$2:$E$5001,"Em ajustes",$A$2:$A$5001,"&lt;"&amp;I3328)&gt;0,1,0),0))</f>
        <v/>
      </c>
      <c r="L3328" s="16" t="str">
        <f aca="false">IF(B3328="","",IF(A3328=_xlfn.MAXIFS($A$2:$A$5001,$B$2:$B$5001,B3328,$I$2:$I$5001,I3328),1,0))</f>
        <v/>
      </c>
    </row>
    <row r="3329" customFormat="false" ht="15" hidden="false" customHeight="false" outlineLevel="0" collapsed="false">
      <c r="I3329" s="15" t="str">
        <f aca="false">IF(A3329="","",INT(A3329))</f>
        <v/>
      </c>
      <c r="J3329" s="16" t="str">
        <f aca="false">IF(B3329="","",IF(A3329=_xlfn.MINIFS($A$2:$A$5001,$B$2:$B$5001,B3329),1,0))</f>
        <v/>
      </c>
      <c r="K3329" s="16" t="str">
        <f aca="false">IF(B3329="","",IF(AND(D3329="Formalização",E3329="Concluído"),IF(COUNTIFS($B$2:$B$5001,B3329,$E$2:$E$5001,"Em ajustes",$A$2:$A$5001,"&lt;"&amp;I3329)&gt;0,1,0),0))</f>
        <v/>
      </c>
      <c r="L3329" s="16" t="str">
        <f aca="false">IF(B3329="","",IF(A3329=_xlfn.MAXIFS($A$2:$A$5001,$B$2:$B$5001,B3329,$I$2:$I$5001,I3329),1,0))</f>
        <v/>
      </c>
    </row>
    <row r="3330" customFormat="false" ht="15" hidden="false" customHeight="false" outlineLevel="0" collapsed="false">
      <c r="I3330" s="15" t="str">
        <f aca="false">IF(A3330="","",INT(A3330))</f>
        <v/>
      </c>
      <c r="J3330" s="16" t="str">
        <f aca="false">IF(B3330="","",IF(A3330=_xlfn.MINIFS($A$2:$A$5001,$B$2:$B$5001,B3330),1,0))</f>
        <v/>
      </c>
      <c r="K3330" s="16" t="str">
        <f aca="false">IF(B3330="","",IF(AND(D3330="Formalização",E3330="Concluído"),IF(COUNTIFS($B$2:$B$5001,B3330,$E$2:$E$5001,"Em ajustes",$A$2:$A$5001,"&lt;"&amp;I3330)&gt;0,1,0),0))</f>
        <v/>
      </c>
      <c r="L3330" s="16" t="str">
        <f aca="false">IF(B3330="","",IF(A3330=_xlfn.MAXIFS($A$2:$A$5001,$B$2:$B$5001,B3330,$I$2:$I$5001,I3330),1,0))</f>
        <v/>
      </c>
    </row>
    <row r="3331" customFormat="false" ht="15" hidden="false" customHeight="false" outlineLevel="0" collapsed="false">
      <c r="I3331" s="15" t="str">
        <f aca="false">IF(A3331="","",INT(A3331))</f>
        <v/>
      </c>
      <c r="J3331" s="16" t="str">
        <f aca="false">IF(B3331="","",IF(A3331=_xlfn.MINIFS($A$2:$A$5001,$B$2:$B$5001,B3331),1,0))</f>
        <v/>
      </c>
      <c r="K3331" s="16" t="str">
        <f aca="false">IF(B3331="","",IF(AND(D3331="Formalização",E3331="Concluído"),IF(COUNTIFS($B$2:$B$5001,B3331,$E$2:$E$5001,"Em ajustes",$A$2:$A$5001,"&lt;"&amp;I3331)&gt;0,1,0),0))</f>
        <v/>
      </c>
      <c r="L3331" s="16" t="str">
        <f aca="false">IF(B3331="","",IF(A3331=_xlfn.MAXIFS($A$2:$A$5001,$B$2:$B$5001,B3331,$I$2:$I$5001,I3331),1,0))</f>
        <v/>
      </c>
    </row>
    <row r="3332" customFormat="false" ht="15" hidden="false" customHeight="false" outlineLevel="0" collapsed="false">
      <c r="I3332" s="15" t="str">
        <f aca="false">IF(A3332="","",INT(A3332))</f>
        <v/>
      </c>
      <c r="J3332" s="16" t="str">
        <f aca="false">IF(B3332="","",IF(A3332=_xlfn.MINIFS($A$2:$A$5001,$B$2:$B$5001,B3332),1,0))</f>
        <v/>
      </c>
      <c r="K3332" s="16" t="str">
        <f aca="false">IF(B3332="","",IF(AND(D3332="Formalização",E3332="Concluído"),IF(COUNTIFS($B$2:$B$5001,B3332,$E$2:$E$5001,"Em ajustes",$A$2:$A$5001,"&lt;"&amp;I3332)&gt;0,1,0),0))</f>
        <v/>
      </c>
      <c r="L3332" s="16" t="str">
        <f aca="false">IF(B3332="","",IF(A3332=_xlfn.MAXIFS($A$2:$A$5001,$B$2:$B$5001,B3332,$I$2:$I$5001,I3332),1,0))</f>
        <v/>
      </c>
    </row>
    <row r="3333" customFormat="false" ht="15" hidden="false" customHeight="false" outlineLevel="0" collapsed="false">
      <c r="I3333" s="15" t="str">
        <f aca="false">IF(A3333="","",INT(A3333))</f>
        <v/>
      </c>
      <c r="J3333" s="16" t="str">
        <f aca="false">IF(B3333="","",IF(A3333=_xlfn.MINIFS($A$2:$A$5001,$B$2:$B$5001,B3333),1,0))</f>
        <v/>
      </c>
      <c r="K3333" s="16" t="str">
        <f aca="false">IF(B3333="","",IF(AND(D3333="Formalização",E3333="Concluído"),IF(COUNTIFS($B$2:$B$5001,B3333,$E$2:$E$5001,"Em ajustes",$A$2:$A$5001,"&lt;"&amp;I3333)&gt;0,1,0),0))</f>
        <v/>
      </c>
      <c r="L3333" s="16" t="str">
        <f aca="false">IF(B3333="","",IF(A3333=_xlfn.MAXIFS($A$2:$A$5001,$B$2:$B$5001,B3333,$I$2:$I$5001,I3333),1,0))</f>
        <v/>
      </c>
    </row>
    <row r="3334" customFormat="false" ht="15" hidden="false" customHeight="false" outlineLevel="0" collapsed="false">
      <c r="I3334" s="15" t="str">
        <f aca="false">IF(A3334="","",INT(A3334))</f>
        <v/>
      </c>
      <c r="J3334" s="16" t="str">
        <f aca="false">IF(B3334="","",IF(A3334=_xlfn.MINIFS($A$2:$A$5001,$B$2:$B$5001,B3334),1,0))</f>
        <v/>
      </c>
      <c r="K3334" s="16" t="str">
        <f aca="false">IF(B3334="","",IF(AND(D3334="Formalização",E3334="Concluído"),IF(COUNTIFS($B$2:$B$5001,B3334,$E$2:$E$5001,"Em ajustes",$A$2:$A$5001,"&lt;"&amp;I3334)&gt;0,1,0),0))</f>
        <v/>
      </c>
      <c r="L3334" s="16" t="str">
        <f aca="false">IF(B3334="","",IF(A3334=_xlfn.MAXIFS($A$2:$A$5001,$B$2:$B$5001,B3334,$I$2:$I$5001,I3334),1,0))</f>
        <v/>
      </c>
    </row>
    <row r="3335" customFormat="false" ht="15" hidden="false" customHeight="false" outlineLevel="0" collapsed="false">
      <c r="I3335" s="15" t="str">
        <f aca="false">IF(A3335="","",INT(A3335))</f>
        <v/>
      </c>
      <c r="J3335" s="16" t="str">
        <f aca="false">IF(B3335="","",IF(A3335=_xlfn.MINIFS($A$2:$A$5001,$B$2:$B$5001,B3335),1,0))</f>
        <v/>
      </c>
      <c r="K3335" s="16" t="str">
        <f aca="false">IF(B3335="","",IF(AND(D3335="Formalização",E3335="Concluído"),IF(COUNTIFS($B$2:$B$5001,B3335,$E$2:$E$5001,"Em ajustes",$A$2:$A$5001,"&lt;"&amp;I3335)&gt;0,1,0),0))</f>
        <v/>
      </c>
      <c r="L3335" s="16" t="str">
        <f aca="false">IF(B3335="","",IF(A3335=_xlfn.MAXIFS($A$2:$A$5001,$B$2:$B$5001,B3335,$I$2:$I$5001,I3335),1,0))</f>
        <v/>
      </c>
    </row>
    <row r="3336" customFormat="false" ht="15" hidden="false" customHeight="false" outlineLevel="0" collapsed="false">
      <c r="I3336" s="15" t="str">
        <f aca="false">IF(A3336="","",INT(A3336))</f>
        <v/>
      </c>
      <c r="J3336" s="16" t="str">
        <f aca="false">IF(B3336="","",IF(A3336=_xlfn.MINIFS($A$2:$A$5001,$B$2:$B$5001,B3336),1,0))</f>
        <v/>
      </c>
      <c r="K3336" s="16" t="str">
        <f aca="false">IF(B3336="","",IF(AND(D3336="Formalização",E3336="Concluído"),IF(COUNTIFS($B$2:$B$5001,B3336,$E$2:$E$5001,"Em ajustes",$A$2:$A$5001,"&lt;"&amp;I3336)&gt;0,1,0),0))</f>
        <v/>
      </c>
      <c r="L3336" s="16" t="str">
        <f aca="false">IF(B3336="","",IF(A3336=_xlfn.MAXIFS($A$2:$A$5001,$B$2:$B$5001,B3336,$I$2:$I$5001,I3336),1,0))</f>
        <v/>
      </c>
    </row>
    <row r="3337" customFormat="false" ht="15" hidden="false" customHeight="false" outlineLevel="0" collapsed="false">
      <c r="I3337" s="15" t="str">
        <f aca="false">IF(A3337="","",INT(A3337))</f>
        <v/>
      </c>
      <c r="J3337" s="16" t="str">
        <f aca="false">IF(B3337="","",IF(A3337=_xlfn.MINIFS($A$2:$A$5001,$B$2:$B$5001,B3337),1,0))</f>
        <v/>
      </c>
      <c r="K3337" s="16" t="str">
        <f aca="false">IF(B3337="","",IF(AND(D3337="Formalização",E3337="Concluído"),IF(COUNTIFS($B$2:$B$5001,B3337,$E$2:$E$5001,"Em ajustes",$A$2:$A$5001,"&lt;"&amp;I3337)&gt;0,1,0),0))</f>
        <v/>
      </c>
      <c r="L3337" s="16" t="str">
        <f aca="false">IF(B3337="","",IF(A3337=_xlfn.MAXIFS($A$2:$A$5001,$B$2:$B$5001,B3337,$I$2:$I$5001,I3337),1,0))</f>
        <v/>
      </c>
    </row>
    <row r="3338" customFormat="false" ht="15" hidden="false" customHeight="false" outlineLevel="0" collapsed="false">
      <c r="I3338" s="15" t="str">
        <f aca="false">IF(A3338="","",INT(A3338))</f>
        <v/>
      </c>
      <c r="J3338" s="16" t="str">
        <f aca="false">IF(B3338="","",IF(A3338=_xlfn.MINIFS($A$2:$A$5001,$B$2:$B$5001,B3338),1,0))</f>
        <v/>
      </c>
      <c r="K3338" s="16" t="str">
        <f aca="false">IF(B3338="","",IF(AND(D3338="Formalização",E3338="Concluído"),IF(COUNTIFS($B$2:$B$5001,B3338,$E$2:$E$5001,"Em ajustes",$A$2:$A$5001,"&lt;"&amp;I3338)&gt;0,1,0),0))</f>
        <v/>
      </c>
      <c r="L3338" s="16" t="str">
        <f aca="false">IF(B3338="","",IF(A3338=_xlfn.MAXIFS($A$2:$A$5001,$B$2:$B$5001,B3338,$I$2:$I$5001,I3338),1,0))</f>
        <v/>
      </c>
    </row>
    <row r="3339" customFormat="false" ht="15" hidden="false" customHeight="false" outlineLevel="0" collapsed="false">
      <c r="I3339" s="15" t="str">
        <f aca="false">IF(A3339="","",INT(A3339))</f>
        <v/>
      </c>
      <c r="J3339" s="16" t="str">
        <f aca="false">IF(B3339="","",IF(A3339=_xlfn.MINIFS($A$2:$A$5001,$B$2:$B$5001,B3339),1,0))</f>
        <v/>
      </c>
      <c r="K3339" s="16" t="str">
        <f aca="false">IF(B3339="","",IF(AND(D3339="Formalização",E3339="Concluído"),IF(COUNTIFS($B$2:$B$5001,B3339,$E$2:$E$5001,"Em ajustes",$A$2:$A$5001,"&lt;"&amp;I3339)&gt;0,1,0),0))</f>
        <v/>
      </c>
      <c r="L3339" s="16" t="str">
        <f aca="false">IF(B3339="","",IF(A3339=_xlfn.MAXIFS($A$2:$A$5001,$B$2:$B$5001,B3339,$I$2:$I$5001,I3339),1,0))</f>
        <v/>
      </c>
    </row>
    <row r="3340" customFormat="false" ht="15" hidden="false" customHeight="false" outlineLevel="0" collapsed="false">
      <c r="I3340" s="15" t="str">
        <f aca="false">IF(A3340="","",INT(A3340))</f>
        <v/>
      </c>
      <c r="J3340" s="16" t="str">
        <f aca="false">IF(B3340="","",IF(A3340=_xlfn.MINIFS($A$2:$A$5001,$B$2:$B$5001,B3340),1,0))</f>
        <v/>
      </c>
      <c r="K3340" s="16" t="str">
        <f aca="false">IF(B3340="","",IF(AND(D3340="Formalização",E3340="Concluído"),IF(COUNTIFS($B$2:$B$5001,B3340,$E$2:$E$5001,"Em ajustes",$A$2:$A$5001,"&lt;"&amp;I3340)&gt;0,1,0),0))</f>
        <v/>
      </c>
      <c r="L3340" s="16" t="str">
        <f aca="false">IF(B3340="","",IF(A3340=_xlfn.MAXIFS($A$2:$A$5001,$B$2:$B$5001,B3340,$I$2:$I$5001,I3340),1,0))</f>
        <v/>
      </c>
    </row>
    <row r="3341" customFormat="false" ht="15" hidden="false" customHeight="false" outlineLevel="0" collapsed="false">
      <c r="I3341" s="15" t="str">
        <f aca="false">IF(A3341="","",INT(A3341))</f>
        <v/>
      </c>
      <c r="J3341" s="16" t="str">
        <f aca="false">IF(B3341="","",IF(A3341=_xlfn.MINIFS($A$2:$A$5001,$B$2:$B$5001,B3341),1,0))</f>
        <v/>
      </c>
      <c r="K3341" s="16" t="str">
        <f aca="false">IF(B3341="","",IF(AND(D3341="Formalização",E3341="Concluído"),IF(COUNTIFS($B$2:$B$5001,B3341,$E$2:$E$5001,"Em ajustes",$A$2:$A$5001,"&lt;"&amp;I3341)&gt;0,1,0),0))</f>
        <v/>
      </c>
      <c r="L3341" s="16" t="str">
        <f aca="false">IF(B3341="","",IF(A3341=_xlfn.MAXIFS($A$2:$A$5001,$B$2:$B$5001,B3341,$I$2:$I$5001,I3341),1,0))</f>
        <v/>
      </c>
    </row>
    <row r="3342" customFormat="false" ht="15" hidden="false" customHeight="false" outlineLevel="0" collapsed="false">
      <c r="I3342" s="15" t="str">
        <f aca="false">IF(A3342="","",INT(A3342))</f>
        <v/>
      </c>
      <c r="J3342" s="16" t="str">
        <f aca="false">IF(B3342="","",IF(A3342=_xlfn.MINIFS($A$2:$A$5001,$B$2:$B$5001,B3342),1,0))</f>
        <v/>
      </c>
      <c r="K3342" s="16" t="str">
        <f aca="false">IF(B3342="","",IF(AND(D3342="Formalização",E3342="Concluído"),IF(COUNTIFS($B$2:$B$5001,B3342,$E$2:$E$5001,"Em ajustes",$A$2:$A$5001,"&lt;"&amp;I3342)&gt;0,1,0),0))</f>
        <v/>
      </c>
      <c r="L3342" s="16" t="str">
        <f aca="false">IF(B3342="","",IF(A3342=_xlfn.MAXIFS($A$2:$A$5001,$B$2:$B$5001,B3342,$I$2:$I$5001,I3342),1,0))</f>
        <v/>
      </c>
    </row>
    <row r="3343" customFormat="false" ht="15" hidden="false" customHeight="false" outlineLevel="0" collapsed="false">
      <c r="I3343" s="15" t="str">
        <f aca="false">IF(A3343="","",INT(A3343))</f>
        <v/>
      </c>
      <c r="J3343" s="16" t="str">
        <f aca="false">IF(B3343="","",IF(A3343=_xlfn.MINIFS($A$2:$A$5001,$B$2:$B$5001,B3343),1,0))</f>
        <v/>
      </c>
      <c r="K3343" s="16" t="str">
        <f aca="false">IF(B3343="","",IF(AND(D3343="Formalização",E3343="Concluído"),IF(COUNTIFS($B$2:$B$5001,B3343,$E$2:$E$5001,"Em ajustes",$A$2:$A$5001,"&lt;"&amp;I3343)&gt;0,1,0),0))</f>
        <v/>
      </c>
      <c r="L3343" s="16" t="str">
        <f aca="false">IF(B3343="","",IF(A3343=_xlfn.MAXIFS($A$2:$A$5001,$B$2:$B$5001,B3343,$I$2:$I$5001,I3343),1,0))</f>
        <v/>
      </c>
    </row>
    <row r="3344" customFormat="false" ht="15" hidden="false" customHeight="false" outlineLevel="0" collapsed="false">
      <c r="I3344" s="15" t="str">
        <f aca="false">IF(A3344="","",INT(A3344))</f>
        <v/>
      </c>
      <c r="J3344" s="16" t="str">
        <f aca="false">IF(B3344="","",IF(A3344=_xlfn.MINIFS($A$2:$A$5001,$B$2:$B$5001,B3344),1,0))</f>
        <v/>
      </c>
      <c r="K3344" s="16" t="str">
        <f aca="false">IF(B3344="","",IF(AND(D3344="Formalização",E3344="Concluído"),IF(COUNTIFS($B$2:$B$5001,B3344,$E$2:$E$5001,"Em ajustes",$A$2:$A$5001,"&lt;"&amp;I3344)&gt;0,1,0),0))</f>
        <v/>
      </c>
      <c r="L3344" s="16" t="str">
        <f aca="false">IF(B3344="","",IF(A3344=_xlfn.MAXIFS($A$2:$A$5001,$B$2:$B$5001,B3344,$I$2:$I$5001,I3344),1,0))</f>
        <v/>
      </c>
    </row>
    <row r="3345" customFormat="false" ht="15" hidden="false" customHeight="false" outlineLevel="0" collapsed="false">
      <c r="I3345" s="15" t="str">
        <f aca="false">IF(A3345="","",INT(A3345))</f>
        <v/>
      </c>
      <c r="J3345" s="16" t="str">
        <f aca="false">IF(B3345="","",IF(A3345=_xlfn.MINIFS($A$2:$A$5001,$B$2:$B$5001,B3345),1,0))</f>
        <v/>
      </c>
      <c r="K3345" s="16" t="str">
        <f aca="false">IF(B3345="","",IF(AND(D3345="Formalização",E3345="Concluído"),IF(COUNTIFS($B$2:$B$5001,B3345,$E$2:$E$5001,"Em ajustes",$A$2:$A$5001,"&lt;"&amp;I3345)&gt;0,1,0),0))</f>
        <v/>
      </c>
      <c r="L3345" s="16" t="str">
        <f aca="false">IF(B3345="","",IF(A3345=_xlfn.MAXIFS($A$2:$A$5001,$B$2:$B$5001,B3345,$I$2:$I$5001,I3345),1,0))</f>
        <v/>
      </c>
    </row>
    <row r="3346" customFormat="false" ht="15" hidden="false" customHeight="false" outlineLevel="0" collapsed="false">
      <c r="I3346" s="15" t="str">
        <f aca="false">IF(A3346="","",INT(A3346))</f>
        <v/>
      </c>
      <c r="J3346" s="16" t="str">
        <f aca="false">IF(B3346="","",IF(A3346=_xlfn.MINIFS($A$2:$A$5001,$B$2:$B$5001,B3346),1,0))</f>
        <v/>
      </c>
      <c r="K3346" s="16" t="str">
        <f aca="false">IF(B3346="","",IF(AND(D3346="Formalização",E3346="Concluído"),IF(COUNTIFS($B$2:$B$5001,B3346,$E$2:$E$5001,"Em ajustes",$A$2:$A$5001,"&lt;"&amp;I3346)&gt;0,1,0),0))</f>
        <v/>
      </c>
      <c r="L3346" s="16" t="str">
        <f aca="false">IF(B3346="","",IF(A3346=_xlfn.MAXIFS($A$2:$A$5001,$B$2:$B$5001,B3346,$I$2:$I$5001,I3346),1,0))</f>
        <v/>
      </c>
    </row>
    <row r="3347" customFormat="false" ht="15" hidden="false" customHeight="false" outlineLevel="0" collapsed="false">
      <c r="I3347" s="15" t="str">
        <f aca="false">IF(A3347="","",INT(A3347))</f>
        <v/>
      </c>
      <c r="J3347" s="16" t="str">
        <f aca="false">IF(B3347="","",IF(A3347=_xlfn.MINIFS($A$2:$A$5001,$B$2:$B$5001,B3347),1,0))</f>
        <v/>
      </c>
      <c r="K3347" s="16" t="str">
        <f aca="false">IF(B3347="","",IF(AND(D3347="Formalização",E3347="Concluído"),IF(COUNTIFS($B$2:$B$5001,B3347,$E$2:$E$5001,"Em ajustes",$A$2:$A$5001,"&lt;"&amp;I3347)&gt;0,1,0),0))</f>
        <v/>
      </c>
      <c r="L3347" s="16" t="str">
        <f aca="false">IF(B3347="","",IF(A3347=_xlfn.MAXIFS($A$2:$A$5001,$B$2:$B$5001,B3347,$I$2:$I$5001,I3347),1,0))</f>
        <v/>
      </c>
    </row>
    <row r="3348" customFormat="false" ht="15" hidden="false" customHeight="false" outlineLevel="0" collapsed="false">
      <c r="I3348" s="15" t="str">
        <f aca="false">IF(A3348="","",INT(A3348))</f>
        <v/>
      </c>
      <c r="J3348" s="16" t="str">
        <f aca="false">IF(B3348="","",IF(A3348=_xlfn.MINIFS($A$2:$A$5001,$B$2:$B$5001,B3348),1,0))</f>
        <v/>
      </c>
      <c r="K3348" s="16" t="str">
        <f aca="false">IF(B3348="","",IF(AND(D3348="Formalização",E3348="Concluído"),IF(COUNTIFS($B$2:$B$5001,B3348,$E$2:$E$5001,"Em ajustes",$A$2:$A$5001,"&lt;"&amp;I3348)&gt;0,1,0),0))</f>
        <v/>
      </c>
      <c r="L3348" s="16" t="str">
        <f aca="false">IF(B3348="","",IF(A3348=_xlfn.MAXIFS($A$2:$A$5001,$B$2:$B$5001,B3348,$I$2:$I$5001,I3348),1,0))</f>
        <v/>
      </c>
    </row>
    <row r="3349" customFormat="false" ht="15" hidden="false" customHeight="false" outlineLevel="0" collapsed="false">
      <c r="I3349" s="15" t="str">
        <f aca="false">IF(A3349="","",INT(A3349))</f>
        <v/>
      </c>
      <c r="J3349" s="16" t="str">
        <f aca="false">IF(B3349="","",IF(A3349=_xlfn.MINIFS($A$2:$A$5001,$B$2:$B$5001,B3349),1,0))</f>
        <v/>
      </c>
      <c r="K3349" s="16" t="str">
        <f aca="false">IF(B3349="","",IF(AND(D3349="Formalização",E3349="Concluído"),IF(COUNTIFS($B$2:$B$5001,B3349,$E$2:$E$5001,"Em ajustes",$A$2:$A$5001,"&lt;"&amp;I3349)&gt;0,1,0),0))</f>
        <v/>
      </c>
      <c r="L3349" s="16" t="str">
        <f aca="false">IF(B3349="","",IF(A3349=_xlfn.MAXIFS($A$2:$A$5001,$B$2:$B$5001,B3349,$I$2:$I$5001,I3349),1,0))</f>
        <v/>
      </c>
    </row>
    <row r="3350" customFormat="false" ht="15" hidden="false" customHeight="false" outlineLevel="0" collapsed="false">
      <c r="I3350" s="15" t="str">
        <f aca="false">IF(A3350="","",INT(A3350))</f>
        <v/>
      </c>
      <c r="J3350" s="16" t="str">
        <f aca="false">IF(B3350="","",IF(A3350=_xlfn.MINIFS($A$2:$A$5001,$B$2:$B$5001,B3350),1,0))</f>
        <v/>
      </c>
      <c r="K3350" s="16" t="str">
        <f aca="false">IF(B3350="","",IF(AND(D3350="Formalização",E3350="Concluído"),IF(COUNTIFS($B$2:$B$5001,B3350,$E$2:$E$5001,"Em ajustes",$A$2:$A$5001,"&lt;"&amp;I3350)&gt;0,1,0),0))</f>
        <v/>
      </c>
      <c r="L3350" s="16" t="str">
        <f aca="false">IF(B3350="","",IF(A3350=_xlfn.MAXIFS($A$2:$A$5001,$B$2:$B$5001,B3350,$I$2:$I$5001,I3350),1,0))</f>
        <v/>
      </c>
    </row>
    <row r="3351" customFormat="false" ht="15" hidden="false" customHeight="false" outlineLevel="0" collapsed="false">
      <c r="I3351" s="15" t="str">
        <f aca="false">IF(A3351="","",INT(A3351))</f>
        <v/>
      </c>
      <c r="J3351" s="16" t="str">
        <f aca="false">IF(B3351="","",IF(A3351=_xlfn.MINIFS($A$2:$A$5001,$B$2:$B$5001,B3351),1,0))</f>
        <v/>
      </c>
      <c r="K3351" s="16" t="str">
        <f aca="false">IF(B3351="","",IF(AND(D3351="Formalização",E3351="Concluído"),IF(COUNTIFS($B$2:$B$5001,B3351,$E$2:$E$5001,"Em ajustes",$A$2:$A$5001,"&lt;"&amp;I3351)&gt;0,1,0),0))</f>
        <v/>
      </c>
      <c r="L3351" s="16" t="str">
        <f aca="false">IF(B3351="","",IF(A3351=_xlfn.MAXIFS($A$2:$A$5001,$B$2:$B$5001,B3351,$I$2:$I$5001,I3351),1,0))</f>
        <v/>
      </c>
    </row>
    <row r="3352" customFormat="false" ht="15" hidden="false" customHeight="false" outlineLevel="0" collapsed="false">
      <c r="I3352" s="15" t="str">
        <f aca="false">IF(A3352="","",INT(A3352))</f>
        <v/>
      </c>
      <c r="J3352" s="16" t="str">
        <f aca="false">IF(B3352="","",IF(A3352=_xlfn.MINIFS($A$2:$A$5001,$B$2:$B$5001,B3352),1,0))</f>
        <v/>
      </c>
      <c r="K3352" s="16" t="str">
        <f aca="false">IF(B3352="","",IF(AND(D3352="Formalização",E3352="Concluído"),IF(COUNTIFS($B$2:$B$5001,B3352,$E$2:$E$5001,"Em ajustes",$A$2:$A$5001,"&lt;"&amp;I3352)&gt;0,1,0),0))</f>
        <v/>
      </c>
      <c r="L3352" s="16" t="str">
        <f aca="false">IF(B3352="","",IF(A3352=_xlfn.MAXIFS($A$2:$A$5001,$B$2:$B$5001,B3352,$I$2:$I$5001,I3352),1,0))</f>
        <v/>
      </c>
    </row>
    <row r="3353" customFormat="false" ht="15" hidden="false" customHeight="false" outlineLevel="0" collapsed="false">
      <c r="I3353" s="15" t="str">
        <f aca="false">IF(A3353="","",INT(A3353))</f>
        <v/>
      </c>
      <c r="J3353" s="16" t="str">
        <f aca="false">IF(B3353="","",IF(A3353=_xlfn.MINIFS($A$2:$A$5001,$B$2:$B$5001,B3353),1,0))</f>
        <v/>
      </c>
      <c r="K3353" s="16" t="str">
        <f aca="false">IF(B3353="","",IF(AND(D3353="Formalização",E3353="Concluído"),IF(COUNTIFS($B$2:$B$5001,B3353,$E$2:$E$5001,"Em ajustes",$A$2:$A$5001,"&lt;"&amp;I3353)&gt;0,1,0),0))</f>
        <v/>
      </c>
      <c r="L3353" s="16" t="str">
        <f aca="false">IF(B3353="","",IF(A3353=_xlfn.MAXIFS($A$2:$A$5001,$B$2:$B$5001,B3353,$I$2:$I$5001,I3353),1,0))</f>
        <v/>
      </c>
    </row>
    <row r="3354" customFormat="false" ht="15" hidden="false" customHeight="false" outlineLevel="0" collapsed="false">
      <c r="I3354" s="15" t="str">
        <f aca="false">IF(A3354="","",INT(A3354))</f>
        <v/>
      </c>
      <c r="J3354" s="16" t="str">
        <f aca="false">IF(B3354="","",IF(A3354=_xlfn.MINIFS($A$2:$A$5001,$B$2:$B$5001,B3354),1,0))</f>
        <v/>
      </c>
      <c r="K3354" s="16" t="str">
        <f aca="false">IF(B3354="","",IF(AND(D3354="Formalização",E3354="Concluído"),IF(COUNTIFS($B$2:$B$5001,B3354,$E$2:$E$5001,"Em ajustes",$A$2:$A$5001,"&lt;"&amp;I3354)&gt;0,1,0),0))</f>
        <v/>
      </c>
      <c r="L3354" s="16" t="str">
        <f aca="false">IF(B3354="","",IF(A3354=_xlfn.MAXIFS($A$2:$A$5001,$B$2:$B$5001,B3354,$I$2:$I$5001,I3354),1,0))</f>
        <v/>
      </c>
    </row>
    <row r="3355" customFormat="false" ht="15" hidden="false" customHeight="false" outlineLevel="0" collapsed="false">
      <c r="I3355" s="15" t="str">
        <f aca="false">IF(A3355="","",INT(A3355))</f>
        <v/>
      </c>
      <c r="J3355" s="16" t="str">
        <f aca="false">IF(B3355="","",IF(A3355=_xlfn.MINIFS($A$2:$A$5001,$B$2:$B$5001,B3355),1,0))</f>
        <v/>
      </c>
      <c r="K3355" s="16" t="str">
        <f aca="false">IF(B3355="","",IF(AND(D3355="Formalização",E3355="Concluído"),IF(COUNTIFS($B$2:$B$5001,B3355,$E$2:$E$5001,"Em ajustes",$A$2:$A$5001,"&lt;"&amp;I3355)&gt;0,1,0),0))</f>
        <v/>
      </c>
      <c r="L3355" s="16" t="str">
        <f aca="false">IF(B3355="","",IF(A3355=_xlfn.MAXIFS($A$2:$A$5001,$B$2:$B$5001,B3355,$I$2:$I$5001,I3355),1,0))</f>
        <v/>
      </c>
    </row>
    <row r="3356" customFormat="false" ht="15" hidden="false" customHeight="false" outlineLevel="0" collapsed="false">
      <c r="I3356" s="15" t="str">
        <f aca="false">IF(A3356="","",INT(A3356))</f>
        <v/>
      </c>
      <c r="J3356" s="16" t="str">
        <f aca="false">IF(B3356="","",IF(A3356=_xlfn.MINIFS($A$2:$A$5001,$B$2:$B$5001,B3356),1,0))</f>
        <v/>
      </c>
      <c r="K3356" s="16" t="str">
        <f aca="false">IF(B3356="","",IF(AND(D3356="Formalização",E3356="Concluído"),IF(COUNTIFS($B$2:$B$5001,B3356,$E$2:$E$5001,"Em ajustes",$A$2:$A$5001,"&lt;"&amp;I3356)&gt;0,1,0),0))</f>
        <v/>
      </c>
      <c r="L3356" s="16" t="str">
        <f aca="false">IF(B3356="","",IF(A3356=_xlfn.MAXIFS($A$2:$A$5001,$B$2:$B$5001,B3356,$I$2:$I$5001,I3356),1,0))</f>
        <v/>
      </c>
    </row>
    <row r="3357" customFormat="false" ht="15" hidden="false" customHeight="false" outlineLevel="0" collapsed="false">
      <c r="I3357" s="15" t="str">
        <f aca="false">IF(A3357="","",INT(A3357))</f>
        <v/>
      </c>
      <c r="J3357" s="16" t="str">
        <f aca="false">IF(B3357="","",IF(A3357=_xlfn.MINIFS($A$2:$A$5001,$B$2:$B$5001,B3357),1,0))</f>
        <v/>
      </c>
      <c r="K3357" s="16" t="str">
        <f aca="false">IF(B3357="","",IF(AND(D3357="Formalização",E3357="Concluído"),IF(COUNTIFS($B$2:$B$5001,B3357,$E$2:$E$5001,"Em ajustes",$A$2:$A$5001,"&lt;"&amp;I3357)&gt;0,1,0),0))</f>
        <v/>
      </c>
      <c r="L3357" s="16" t="str">
        <f aca="false">IF(B3357="","",IF(A3357=_xlfn.MAXIFS($A$2:$A$5001,$B$2:$B$5001,B3357,$I$2:$I$5001,I3357),1,0))</f>
        <v/>
      </c>
    </row>
    <row r="3358" customFormat="false" ht="15" hidden="false" customHeight="false" outlineLevel="0" collapsed="false">
      <c r="I3358" s="15" t="str">
        <f aca="false">IF(A3358="","",INT(A3358))</f>
        <v/>
      </c>
      <c r="J3358" s="16" t="str">
        <f aca="false">IF(B3358="","",IF(A3358=_xlfn.MINIFS($A$2:$A$5001,$B$2:$B$5001,B3358),1,0))</f>
        <v/>
      </c>
      <c r="K3358" s="16" t="str">
        <f aca="false">IF(B3358="","",IF(AND(D3358="Formalização",E3358="Concluído"),IF(COUNTIFS($B$2:$B$5001,B3358,$E$2:$E$5001,"Em ajustes",$A$2:$A$5001,"&lt;"&amp;I3358)&gt;0,1,0),0))</f>
        <v/>
      </c>
      <c r="L3358" s="16" t="str">
        <f aca="false">IF(B3358="","",IF(A3358=_xlfn.MAXIFS($A$2:$A$5001,$B$2:$B$5001,B3358,$I$2:$I$5001,I3358),1,0))</f>
        <v/>
      </c>
    </row>
    <row r="3359" customFormat="false" ht="15" hidden="false" customHeight="false" outlineLevel="0" collapsed="false">
      <c r="I3359" s="15" t="str">
        <f aca="false">IF(A3359="","",INT(A3359))</f>
        <v/>
      </c>
      <c r="J3359" s="16" t="str">
        <f aca="false">IF(B3359="","",IF(A3359=_xlfn.MINIFS($A$2:$A$5001,$B$2:$B$5001,B3359),1,0))</f>
        <v/>
      </c>
      <c r="K3359" s="16" t="str">
        <f aca="false">IF(B3359="","",IF(AND(D3359="Formalização",E3359="Concluído"),IF(COUNTIFS($B$2:$B$5001,B3359,$E$2:$E$5001,"Em ajustes",$A$2:$A$5001,"&lt;"&amp;I3359)&gt;0,1,0),0))</f>
        <v/>
      </c>
      <c r="L3359" s="16" t="str">
        <f aca="false">IF(B3359="","",IF(A3359=_xlfn.MAXIFS($A$2:$A$5001,$B$2:$B$5001,B3359,$I$2:$I$5001,I3359),1,0))</f>
        <v/>
      </c>
    </row>
    <row r="3360" customFormat="false" ht="15" hidden="false" customHeight="false" outlineLevel="0" collapsed="false">
      <c r="I3360" s="15" t="str">
        <f aca="false">IF(A3360="","",INT(A3360))</f>
        <v/>
      </c>
      <c r="J3360" s="16" t="str">
        <f aca="false">IF(B3360="","",IF(A3360=_xlfn.MINIFS($A$2:$A$5001,$B$2:$B$5001,B3360),1,0))</f>
        <v/>
      </c>
      <c r="K3360" s="16" t="str">
        <f aca="false">IF(B3360="","",IF(AND(D3360="Formalização",E3360="Concluído"),IF(COUNTIFS($B$2:$B$5001,B3360,$E$2:$E$5001,"Em ajustes",$A$2:$A$5001,"&lt;"&amp;I3360)&gt;0,1,0),0))</f>
        <v/>
      </c>
      <c r="L3360" s="16" t="str">
        <f aca="false">IF(B3360="","",IF(A3360=_xlfn.MAXIFS($A$2:$A$5001,$B$2:$B$5001,B3360,$I$2:$I$5001,I3360),1,0))</f>
        <v/>
      </c>
    </row>
    <row r="3361" customFormat="false" ht="15" hidden="false" customHeight="false" outlineLevel="0" collapsed="false">
      <c r="I3361" s="15" t="str">
        <f aca="false">IF(A3361="","",INT(A3361))</f>
        <v/>
      </c>
      <c r="J3361" s="16" t="str">
        <f aca="false">IF(B3361="","",IF(A3361=_xlfn.MINIFS($A$2:$A$5001,$B$2:$B$5001,B3361),1,0))</f>
        <v/>
      </c>
      <c r="K3361" s="16" t="str">
        <f aca="false">IF(B3361="","",IF(AND(D3361="Formalização",E3361="Concluído"),IF(COUNTIFS($B$2:$B$5001,B3361,$E$2:$E$5001,"Em ajustes",$A$2:$A$5001,"&lt;"&amp;I3361)&gt;0,1,0),0))</f>
        <v/>
      </c>
      <c r="L3361" s="16" t="str">
        <f aca="false">IF(B3361="","",IF(A3361=_xlfn.MAXIFS($A$2:$A$5001,$B$2:$B$5001,B3361,$I$2:$I$5001,I3361),1,0))</f>
        <v/>
      </c>
    </row>
    <row r="3362" customFormat="false" ht="15" hidden="false" customHeight="false" outlineLevel="0" collapsed="false">
      <c r="I3362" s="15" t="str">
        <f aca="false">IF(A3362="","",INT(A3362))</f>
        <v/>
      </c>
      <c r="J3362" s="16" t="str">
        <f aca="false">IF(B3362="","",IF(A3362=_xlfn.MINIFS($A$2:$A$5001,$B$2:$B$5001,B3362),1,0))</f>
        <v/>
      </c>
      <c r="K3362" s="16" t="str">
        <f aca="false">IF(B3362="","",IF(AND(D3362="Formalização",E3362="Concluído"),IF(COUNTIFS($B$2:$B$5001,B3362,$E$2:$E$5001,"Em ajustes",$A$2:$A$5001,"&lt;"&amp;I3362)&gt;0,1,0),0))</f>
        <v/>
      </c>
      <c r="L3362" s="16" t="str">
        <f aca="false">IF(B3362="","",IF(A3362=_xlfn.MAXIFS($A$2:$A$5001,$B$2:$B$5001,B3362,$I$2:$I$5001,I3362),1,0))</f>
        <v/>
      </c>
    </row>
    <row r="3363" customFormat="false" ht="15" hidden="false" customHeight="false" outlineLevel="0" collapsed="false">
      <c r="I3363" s="15" t="str">
        <f aca="false">IF(A3363="","",INT(A3363))</f>
        <v/>
      </c>
      <c r="J3363" s="16" t="str">
        <f aca="false">IF(B3363="","",IF(A3363=_xlfn.MINIFS($A$2:$A$5001,$B$2:$B$5001,B3363),1,0))</f>
        <v/>
      </c>
      <c r="K3363" s="16" t="str">
        <f aca="false">IF(B3363="","",IF(AND(D3363="Formalização",E3363="Concluído"),IF(COUNTIFS($B$2:$B$5001,B3363,$E$2:$E$5001,"Em ajustes",$A$2:$A$5001,"&lt;"&amp;I3363)&gt;0,1,0),0))</f>
        <v/>
      </c>
      <c r="L3363" s="16" t="str">
        <f aca="false">IF(B3363="","",IF(A3363=_xlfn.MAXIFS($A$2:$A$5001,$B$2:$B$5001,B3363,$I$2:$I$5001,I3363),1,0))</f>
        <v/>
      </c>
    </row>
    <row r="3364" customFormat="false" ht="15" hidden="false" customHeight="false" outlineLevel="0" collapsed="false">
      <c r="I3364" s="15" t="str">
        <f aca="false">IF(A3364="","",INT(A3364))</f>
        <v/>
      </c>
      <c r="J3364" s="16" t="str">
        <f aca="false">IF(B3364="","",IF(A3364=_xlfn.MINIFS($A$2:$A$5001,$B$2:$B$5001,B3364),1,0))</f>
        <v/>
      </c>
      <c r="K3364" s="16" t="str">
        <f aca="false">IF(B3364="","",IF(AND(D3364="Formalização",E3364="Concluído"),IF(COUNTIFS($B$2:$B$5001,B3364,$E$2:$E$5001,"Em ajustes",$A$2:$A$5001,"&lt;"&amp;I3364)&gt;0,1,0),0))</f>
        <v/>
      </c>
      <c r="L3364" s="16" t="str">
        <f aca="false">IF(B3364="","",IF(A3364=_xlfn.MAXIFS($A$2:$A$5001,$B$2:$B$5001,B3364,$I$2:$I$5001,I3364),1,0))</f>
        <v/>
      </c>
    </row>
    <row r="3365" customFormat="false" ht="15" hidden="false" customHeight="false" outlineLevel="0" collapsed="false">
      <c r="I3365" s="15" t="str">
        <f aca="false">IF(A3365="","",INT(A3365))</f>
        <v/>
      </c>
      <c r="J3365" s="16" t="str">
        <f aca="false">IF(B3365="","",IF(A3365=_xlfn.MINIFS($A$2:$A$5001,$B$2:$B$5001,B3365),1,0))</f>
        <v/>
      </c>
      <c r="K3365" s="16" t="str">
        <f aca="false">IF(B3365="","",IF(AND(D3365="Formalização",E3365="Concluído"),IF(COUNTIFS($B$2:$B$5001,B3365,$E$2:$E$5001,"Em ajustes",$A$2:$A$5001,"&lt;"&amp;I3365)&gt;0,1,0),0))</f>
        <v/>
      </c>
      <c r="L3365" s="16" t="str">
        <f aca="false">IF(B3365="","",IF(A3365=_xlfn.MAXIFS($A$2:$A$5001,$B$2:$B$5001,B3365,$I$2:$I$5001,I3365),1,0))</f>
        <v/>
      </c>
    </row>
    <row r="3366" customFormat="false" ht="15" hidden="false" customHeight="false" outlineLevel="0" collapsed="false">
      <c r="I3366" s="15" t="str">
        <f aca="false">IF(A3366="","",INT(A3366))</f>
        <v/>
      </c>
      <c r="J3366" s="16" t="str">
        <f aca="false">IF(B3366="","",IF(A3366=_xlfn.MINIFS($A$2:$A$5001,$B$2:$B$5001,B3366),1,0))</f>
        <v/>
      </c>
      <c r="K3366" s="16" t="str">
        <f aca="false">IF(B3366="","",IF(AND(D3366="Formalização",E3366="Concluído"),IF(COUNTIFS($B$2:$B$5001,B3366,$E$2:$E$5001,"Em ajustes",$A$2:$A$5001,"&lt;"&amp;I3366)&gt;0,1,0),0))</f>
        <v/>
      </c>
      <c r="L3366" s="16" t="str">
        <f aca="false">IF(B3366="","",IF(A3366=_xlfn.MAXIFS($A$2:$A$5001,$B$2:$B$5001,B3366,$I$2:$I$5001,I3366),1,0))</f>
        <v/>
      </c>
    </row>
    <row r="3367" customFormat="false" ht="15" hidden="false" customHeight="false" outlineLevel="0" collapsed="false">
      <c r="I3367" s="15" t="str">
        <f aca="false">IF(A3367="","",INT(A3367))</f>
        <v/>
      </c>
      <c r="J3367" s="16" t="str">
        <f aca="false">IF(B3367="","",IF(A3367=_xlfn.MINIFS($A$2:$A$5001,$B$2:$B$5001,B3367),1,0))</f>
        <v/>
      </c>
      <c r="K3367" s="16" t="str">
        <f aca="false">IF(B3367="","",IF(AND(D3367="Formalização",E3367="Concluído"),IF(COUNTIFS($B$2:$B$5001,B3367,$E$2:$E$5001,"Em ajustes",$A$2:$A$5001,"&lt;"&amp;I3367)&gt;0,1,0),0))</f>
        <v/>
      </c>
      <c r="L3367" s="16" t="str">
        <f aca="false">IF(B3367="","",IF(A3367=_xlfn.MAXIFS($A$2:$A$5001,$B$2:$B$5001,B3367,$I$2:$I$5001,I3367),1,0))</f>
        <v/>
      </c>
    </row>
    <row r="3368" customFormat="false" ht="15" hidden="false" customHeight="false" outlineLevel="0" collapsed="false">
      <c r="I3368" s="15" t="str">
        <f aca="false">IF(A3368="","",INT(A3368))</f>
        <v/>
      </c>
      <c r="J3368" s="16" t="str">
        <f aca="false">IF(B3368="","",IF(A3368=_xlfn.MINIFS($A$2:$A$5001,$B$2:$B$5001,B3368),1,0))</f>
        <v/>
      </c>
      <c r="K3368" s="16" t="str">
        <f aca="false">IF(B3368="","",IF(AND(D3368="Formalização",E3368="Concluído"),IF(COUNTIFS($B$2:$B$5001,B3368,$E$2:$E$5001,"Em ajustes",$A$2:$A$5001,"&lt;"&amp;I3368)&gt;0,1,0),0))</f>
        <v/>
      </c>
      <c r="L3368" s="16" t="str">
        <f aca="false">IF(B3368="","",IF(A3368=_xlfn.MAXIFS($A$2:$A$5001,$B$2:$B$5001,B3368,$I$2:$I$5001,I3368),1,0))</f>
        <v/>
      </c>
    </row>
    <row r="3369" customFormat="false" ht="15" hidden="false" customHeight="false" outlineLevel="0" collapsed="false">
      <c r="I3369" s="15" t="str">
        <f aca="false">IF(A3369="","",INT(A3369))</f>
        <v/>
      </c>
      <c r="J3369" s="16" t="str">
        <f aca="false">IF(B3369="","",IF(A3369=_xlfn.MINIFS($A$2:$A$5001,$B$2:$B$5001,B3369),1,0))</f>
        <v/>
      </c>
      <c r="K3369" s="16" t="str">
        <f aca="false">IF(B3369="","",IF(AND(D3369="Formalização",E3369="Concluído"),IF(COUNTIFS($B$2:$B$5001,B3369,$E$2:$E$5001,"Em ajustes",$A$2:$A$5001,"&lt;"&amp;I3369)&gt;0,1,0),0))</f>
        <v/>
      </c>
      <c r="L3369" s="16" t="str">
        <f aca="false">IF(B3369="","",IF(A3369=_xlfn.MAXIFS($A$2:$A$5001,$B$2:$B$5001,B3369,$I$2:$I$5001,I3369),1,0))</f>
        <v/>
      </c>
    </row>
    <row r="3370" customFormat="false" ht="15" hidden="false" customHeight="false" outlineLevel="0" collapsed="false">
      <c r="I3370" s="15" t="str">
        <f aca="false">IF(A3370="","",INT(A3370))</f>
        <v/>
      </c>
      <c r="J3370" s="16" t="str">
        <f aca="false">IF(B3370="","",IF(A3370=_xlfn.MINIFS($A$2:$A$5001,$B$2:$B$5001,B3370),1,0))</f>
        <v/>
      </c>
      <c r="K3370" s="16" t="str">
        <f aca="false">IF(B3370="","",IF(AND(D3370="Formalização",E3370="Concluído"),IF(COUNTIFS($B$2:$B$5001,B3370,$E$2:$E$5001,"Em ajustes",$A$2:$A$5001,"&lt;"&amp;I3370)&gt;0,1,0),0))</f>
        <v/>
      </c>
      <c r="L3370" s="16" t="str">
        <f aca="false">IF(B3370="","",IF(A3370=_xlfn.MAXIFS($A$2:$A$5001,$B$2:$B$5001,B3370,$I$2:$I$5001,I3370),1,0))</f>
        <v/>
      </c>
    </row>
    <row r="3371" customFormat="false" ht="15" hidden="false" customHeight="false" outlineLevel="0" collapsed="false">
      <c r="I3371" s="15" t="str">
        <f aca="false">IF(A3371="","",INT(A3371))</f>
        <v/>
      </c>
      <c r="J3371" s="16" t="str">
        <f aca="false">IF(B3371="","",IF(A3371=_xlfn.MINIFS($A$2:$A$5001,$B$2:$B$5001,B3371),1,0))</f>
        <v/>
      </c>
      <c r="K3371" s="16" t="str">
        <f aca="false">IF(B3371="","",IF(AND(D3371="Formalização",E3371="Concluído"),IF(COUNTIFS($B$2:$B$5001,B3371,$E$2:$E$5001,"Em ajustes",$A$2:$A$5001,"&lt;"&amp;I3371)&gt;0,1,0),0))</f>
        <v/>
      </c>
      <c r="L3371" s="16" t="str">
        <f aca="false">IF(B3371="","",IF(A3371=_xlfn.MAXIFS($A$2:$A$5001,$B$2:$B$5001,B3371,$I$2:$I$5001,I3371),1,0))</f>
        <v/>
      </c>
    </row>
    <row r="3372" customFormat="false" ht="15" hidden="false" customHeight="false" outlineLevel="0" collapsed="false">
      <c r="I3372" s="15" t="str">
        <f aca="false">IF(A3372="","",INT(A3372))</f>
        <v/>
      </c>
      <c r="J3372" s="16" t="str">
        <f aca="false">IF(B3372="","",IF(A3372=_xlfn.MINIFS($A$2:$A$5001,$B$2:$B$5001,B3372),1,0))</f>
        <v/>
      </c>
      <c r="K3372" s="16" t="str">
        <f aca="false">IF(B3372="","",IF(AND(D3372="Formalização",E3372="Concluído"),IF(COUNTIFS($B$2:$B$5001,B3372,$E$2:$E$5001,"Em ajustes",$A$2:$A$5001,"&lt;"&amp;I3372)&gt;0,1,0),0))</f>
        <v/>
      </c>
      <c r="L3372" s="16" t="str">
        <f aca="false">IF(B3372="","",IF(A3372=_xlfn.MAXIFS($A$2:$A$5001,$B$2:$B$5001,B3372,$I$2:$I$5001,I3372),1,0))</f>
        <v/>
      </c>
    </row>
    <row r="3373" customFormat="false" ht="15" hidden="false" customHeight="false" outlineLevel="0" collapsed="false">
      <c r="I3373" s="15" t="str">
        <f aca="false">IF(A3373="","",INT(A3373))</f>
        <v/>
      </c>
      <c r="J3373" s="16" t="str">
        <f aca="false">IF(B3373="","",IF(A3373=_xlfn.MINIFS($A$2:$A$5001,$B$2:$B$5001,B3373),1,0))</f>
        <v/>
      </c>
      <c r="K3373" s="16" t="str">
        <f aca="false">IF(B3373="","",IF(AND(D3373="Formalização",E3373="Concluído"),IF(COUNTIFS($B$2:$B$5001,B3373,$E$2:$E$5001,"Em ajustes",$A$2:$A$5001,"&lt;"&amp;I3373)&gt;0,1,0),0))</f>
        <v/>
      </c>
      <c r="L3373" s="16" t="str">
        <f aca="false">IF(B3373="","",IF(A3373=_xlfn.MAXIFS($A$2:$A$5001,$B$2:$B$5001,B3373,$I$2:$I$5001,I3373),1,0))</f>
        <v/>
      </c>
    </row>
    <row r="3374" customFormat="false" ht="15" hidden="false" customHeight="false" outlineLevel="0" collapsed="false">
      <c r="I3374" s="15" t="str">
        <f aca="false">IF(A3374="","",INT(A3374))</f>
        <v/>
      </c>
      <c r="J3374" s="16" t="str">
        <f aca="false">IF(B3374="","",IF(A3374=_xlfn.MINIFS($A$2:$A$5001,$B$2:$B$5001,B3374),1,0))</f>
        <v/>
      </c>
      <c r="K3374" s="16" t="str">
        <f aca="false">IF(B3374="","",IF(AND(D3374="Formalização",E3374="Concluído"),IF(COUNTIFS($B$2:$B$5001,B3374,$E$2:$E$5001,"Em ajustes",$A$2:$A$5001,"&lt;"&amp;I3374)&gt;0,1,0),0))</f>
        <v/>
      </c>
      <c r="L3374" s="16" t="str">
        <f aca="false">IF(B3374="","",IF(A3374=_xlfn.MAXIFS($A$2:$A$5001,$B$2:$B$5001,B3374,$I$2:$I$5001,I3374),1,0))</f>
        <v/>
      </c>
    </row>
    <row r="3375" customFormat="false" ht="15" hidden="false" customHeight="false" outlineLevel="0" collapsed="false">
      <c r="I3375" s="15" t="str">
        <f aca="false">IF(A3375="","",INT(A3375))</f>
        <v/>
      </c>
      <c r="J3375" s="16" t="str">
        <f aca="false">IF(B3375="","",IF(A3375=_xlfn.MINIFS($A$2:$A$5001,$B$2:$B$5001,B3375),1,0))</f>
        <v/>
      </c>
      <c r="K3375" s="16" t="str">
        <f aca="false">IF(B3375="","",IF(AND(D3375="Formalização",E3375="Concluído"),IF(COUNTIFS($B$2:$B$5001,B3375,$E$2:$E$5001,"Em ajustes",$A$2:$A$5001,"&lt;"&amp;I3375)&gt;0,1,0),0))</f>
        <v/>
      </c>
      <c r="L3375" s="16" t="str">
        <f aca="false">IF(B3375="","",IF(A3375=_xlfn.MAXIFS($A$2:$A$5001,$B$2:$B$5001,B3375,$I$2:$I$5001,I3375),1,0))</f>
        <v/>
      </c>
    </row>
    <row r="3376" customFormat="false" ht="15" hidden="false" customHeight="false" outlineLevel="0" collapsed="false">
      <c r="I3376" s="15" t="str">
        <f aca="false">IF(A3376="","",INT(A3376))</f>
        <v/>
      </c>
      <c r="J3376" s="16" t="str">
        <f aca="false">IF(B3376="","",IF(A3376=_xlfn.MINIFS($A$2:$A$5001,$B$2:$B$5001,B3376),1,0))</f>
        <v/>
      </c>
      <c r="K3376" s="16" t="str">
        <f aca="false">IF(B3376="","",IF(AND(D3376="Formalização",E3376="Concluído"),IF(COUNTIFS($B$2:$B$5001,B3376,$E$2:$E$5001,"Em ajustes",$A$2:$A$5001,"&lt;"&amp;I3376)&gt;0,1,0),0))</f>
        <v/>
      </c>
      <c r="L3376" s="16" t="str">
        <f aca="false">IF(B3376="","",IF(A3376=_xlfn.MAXIFS($A$2:$A$5001,$B$2:$B$5001,B3376,$I$2:$I$5001,I3376),1,0))</f>
        <v/>
      </c>
    </row>
    <row r="3377" customFormat="false" ht="15" hidden="false" customHeight="false" outlineLevel="0" collapsed="false">
      <c r="I3377" s="15" t="str">
        <f aca="false">IF(A3377="","",INT(A3377))</f>
        <v/>
      </c>
      <c r="J3377" s="16" t="str">
        <f aca="false">IF(B3377="","",IF(A3377=_xlfn.MINIFS($A$2:$A$5001,$B$2:$B$5001,B3377),1,0))</f>
        <v/>
      </c>
      <c r="K3377" s="16" t="str">
        <f aca="false">IF(B3377="","",IF(AND(D3377="Formalização",E3377="Concluído"),IF(COUNTIFS($B$2:$B$5001,B3377,$E$2:$E$5001,"Em ajustes",$A$2:$A$5001,"&lt;"&amp;I3377)&gt;0,1,0),0))</f>
        <v/>
      </c>
      <c r="L3377" s="16" t="str">
        <f aca="false">IF(B3377="","",IF(A3377=_xlfn.MAXIFS($A$2:$A$5001,$B$2:$B$5001,B3377,$I$2:$I$5001,I3377),1,0))</f>
        <v/>
      </c>
    </row>
    <row r="3378" customFormat="false" ht="15" hidden="false" customHeight="false" outlineLevel="0" collapsed="false">
      <c r="I3378" s="15" t="str">
        <f aca="false">IF(A3378="","",INT(A3378))</f>
        <v/>
      </c>
      <c r="J3378" s="16" t="str">
        <f aca="false">IF(B3378="","",IF(A3378=_xlfn.MINIFS($A$2:$A$5001,$B$2:$B$5001,B3378),1,0))</f>
        <v/>
      </c>
      <c r="K3378" s="16" t="str">
        <f aca="false">IF(B3378="","",IF(AND(D3378="Formalização",E3378="Concluído"),IF(COUNTIFS($B$2:$B$5001,B3378,$E$2:$E$5001,"Em ajustes",$A$2:$A$5001,"&lt;"&amp;I3378)&gt;0,1,0),0))</f>
        <v/>
      </c>
      <c r="L3378" s="16" t="str">
        <f aca="false">IF(B3378="","",IF(A3378=_xlfn.MAXIFS($A$2:$A$5001,$B$2:$B$5001,B3378,$I$2:$I$5001,I3378),1,0))</f>
        <v/>
      </c>
    </row>
    <row r="3379" customFormat="false" ht="15" hidden="false" customHeight="false" outlineLevel="0" collapsed="false">
      <c r="I3379" s="15" t="str">
        <f aca="false">IF(A3379="","",INT(A3379))</f>
        <v/>
      </c>
      <c r="J3379" s="16" t="str">
        <f aca="false">IF(B3379="","",IF(A3379=_xlfn.MINIFS($A$2:$A$5001,$B$2:$B$5001,B3379),1,0))</f>
        <v/>
      </c>
      <c r="K3379" s="16" t="str">
        <f aca="false">IF(B3379="","",IF(AND(D3379="Formalização",E3379="Concluído"),IF(COUNTIFS($B$2:$B$5001,B3379,$E$2:$E$5001,"Em ajustes",$A$2:$A$5001,"&lt;"&amp;I3379)&gt;0,1,0),0))</f>
        <v/>
      </c>
      <c r="L3379" s="16" t="str">
        <f aca="false">IF(B3379="","",IF(A3379=_xlfn.MAXIFS($A$2:$A$5001,$B$2:$B$5001,B3379,$I$2:$I$5001,I3379),1,0))</f>
        <v/>
      </c>
    </row>
    <row r="3380" customFormat="false" ht="15" hidden="false" customHeight="false" outlineLevel="0" collapsed="false">
      <c r="I3380" s="15" t="str">
        <f aca="false">IF(A3380="","",INT(A3380))</f>
        <v/>
      </c>
      <c r="J3380" s="16" t="str">
        <f aca="false">IF(B3380="","",IF(A3380=_xlfn.MINIFS($A$2:$A$5001,$B$2:$B$5001,B3380),1,0))</f>
        <v/>
      </c>
      <c r="K3380" s="16" t="str">
        <f aca="false">IF(B3380="","",IF(AND(D3380="Formalização",E3380="Concluído"),IF(COUNTIFS($B$2:$B$5001,B3380,$E$2:$E$5001,"Em ajustes",$A$2:$A$5001,"&lt;"&amp;I3380)&gt;0,1,0),0))</f>
        <v/>
      </c>
      <c r="L3380" s="16" t="str">
        <f aca="false">IF(B3380="","",IF(A3380=_xlfn.MAXIFS($A$2:$A$5001,$B$2:$B$5001,B3380,$I$2:$I$5001,I3380),1,0))</f>
        <v/>
      </c>
    </row>
    <row r="3381" customFormat="false" ht="15" hidden="false" customHeight="false" outlineLevel="0" collapsed="false">
      <c r="I3381" s="15" t="str">
        <f aca="false">IF(A3381="","",INT(A3381))</f>
        <v/>
      </c>
      <c r="J3381" s="16" t="str">
        <f aca="false">IF(B3381="","",IF(A3381=_xlfn.MINIFS($A$2:$A$5001,$B$2:$B$5001,B3381),1,0))</f>
        <v/>
      </c>
      <c r="K3381" s="16" t="str">
        <f aca="false">IF(B3381="","",IF(AND(D3381="Formalização",E3381="Concluído"),IF(COUNTIFS($B$2:$B$5001,B3381,$E$2:$E$5001,"Em ajustes",$A$2:$A$5001,"&lt;"&amp;I3381)&gt;0,1,0),0))</f>
        <v/>
      </c>
      <c r="L3381" s="16" t="str">
        <f aca="false">IF(B3381="","",IF(A3381=_xlfn.MAXIFS($A$2:$A$5001,$B$2:$B$5001,B3381,$I$2:$I$5001,I3381),1,0))</f>
        <v/>
      </c>
    </row>
    <row r="3382" customFormat="false" ht="15" hidden="false" customHeight="false" outlineLevel="0" collapsed="false">
      <c r="I3382" s="15" t="str">
        <f aca="false">IF(A3382="","",INT(A3382))</f>
        <v/>
      </c>
      <c r="J3382" s="16" t="str">
        <f aca="false">IF(B3382="","",IF(A3382=_xlfn.MINIFS($A$2:$A$5001,$B$2:$B$5001,B3382),1,0))</f>
        <v/>
      </c>
      <c r="K3382" s="16" t="str">
        <f aca="false">IF(B3382="","",IF(AND(D3382="Formalização",E3382="Concluído"),IF(COUNTIFS($B$2:$B$5001,B3382,$E$2:$E$5001,"Em ajustes",$A$2:$A$5001,"&lt;"&amp;I3382)&gt;0,1,0),0))</f>
        <v/>
      </c>
      <c r="L3382" s="16" t="str">
        <f aca="false">IF(B3382="","",IF(A3382=_xlfn.MAXIFS($A$2:$A$5001,$B$2:$B$5001,B3382,$I$2:$I$5001,I3382),1,0))</f>
        <v/>
      </c>
    </row>
    <row r="3383" customFormat="false" ht="15" hidden="false" customHeight="false" outlineLevel="0" collapsed="false">
      <c r="I3383" s="15" t="str">
        <f aca="false">IF(A3383="","",INT(A3383))</f>
        <v/>
      </c>
      <c r="J3383" s="16" t="str">
        <f aca="false">IF(B3383="","",IF(A3383=_xlfn.MINIFS($A$2:$A$5001,$B$2:$B$5001,B3383),1,0))</f>
        <v/>
      </c>
      <c r="K3383" s="16" t="str">
        <f aca="false">IF(B3383="","",IF(AND(D3383="Formalização",E3383="Concluído"),IF(COUNTIFS($B$2:$B$5001,B3383,$E$2:$E$5001,"Em ajustes",$A$2:$A$5001,"&lt;"&amp;I3383)&gt;0,1,0),0))</f>
        <v/>
      </c>
      <c r="L3383" s="16" t="str">
        <f aca="false">IF(B3383="","",IF(A3383=_xlfn.MAXIFS($A$2:$A$5001,$B$2:$B$5001,B3383,$I$2:$I$5001,I3383),1,0))</f>
        <v/>
      </c>
    </row>
    <row r="3384" customFormat="false" ht="15" hidden="false" customHeight="false" outlineLevel="0" collapsed="false">
      <c r="I3384" s="15" t="str">
        <f aca="false">IF(A3384="","",INT(A3384))</f>
        <v/>
      </c>
      <c r="J3384" s="16" t="str">
        <f aca="false">IF(B3384="","",IF(A3384=_xlfn.MINIFS($A$2:$A$5001,$B$2:$B$5001,B3384),1,0))</f>
        <v/>
      </c>
      <c r="K3384" s="16" t="str">
        <f aca="false">IF(B3384="","",IF(AND(D3384="Formalização",E3384="Concluído"),IF(COUNTIFS($B$2:$B$5001,B3384,$E$2:$E$5001,"Em ajustes",$A$2:$A$5001,"&lt;"&amp;I3384)&gt;0,1,0),0))</f>
        <v/>
      </c>
      <c r="L3384" s="16" t="str">
        <f aca="false">IF(B3384="","",IF(A3384=_xlfn.MAXIFS($A$2:$A$5001,$B$2:$B$5001,B3384,$I$2:$I$5001,I3384),1,0))</f>
        <v/>
      </c>
    </row>
    <row r="3385" customFormat="false" ht="15" hidden="false" customHeight="false" outlineLevel="0" collapsed="false">
      <c r="I3385" s="15" t="str">
        <f aca="false">IF(A3385="","",INT(A3385))</f>
        <v/>
      </c>
      <c r="J3385" s="16" t="str">
        <f aca="false">IF(B3385="","",IF(A3385=_xlfn.MINIFS($A$2:$A$5001,$B$2:$B$5001,B3385),1,0))</f>
        <v/>
      </c>
      <c r="K3385" s="16" t="str">
        <f aca="false">IF(B3385="","",IF(AND(D3385="Formalização",E3385="Concluído"),IF(COUNTIFS($B$2:$B$5001,B3385,$E$2:$E$5001,"Em ajustes",$A$2:$A$5001,"&lt;"&amp;I3385)&gt;0,1,0),0))</f>
        <v/>
      </c>
      <c r="L3385" s="16" t="str">
        <f aca="false">IF(B3385="","",IF(A3385=_xlfn.MAXIFS($A$2:$A$5001,$B$2:$B$5001,B3385,$I$2:$I$5001,I3385),1,0))</f>
        <v/>
      </c>
    </row>
    <row r="3386" customFormat="false" ht="15" hidden="false" customHeight="false" outlineLevel="0" collapsed="false">
      <c r="I3386" s="15" t="str">
        <f aca="false">IF(A3386="","",INT(A3386))</f>
        <v/>
      </c>
      <c r="J3386" s="16" t="str">
        <f aca="false">IF(B3386="","",IF(A3386=_xlfn.MINIFS($A$2:$A$5001,$B$2:$B$5001,B3386),1,0))</f>
        <v/>
      </c>
      <c r="K3386" s="16" t="str">
        <f aca="false">IF(B3386="","",IF(AND(D3386="Formalização",E3386="Concluído"),IF(COUNTIFS($B$2:$B$5001,B3386,$E$2:$E$5001,"Em ajustes",$A$2:$A$5001,"&lt;"&amp;I3386)&gt;0,1,0),0))</f>
        <v/>
      </c>
      <c r="L3386" s="16" t="str">
        <f aca="false">IF(B3386="","",IF(A3386=_xlfn.MAXIFS($A$2:$A$5001,$B$2:$B$5001,B3386,$I$2:$I$5001,I3386),1,0))</f>
        <v/>
      </c>
    </row>
    <row r="3387" customFormat="false" ht="15" hidden="false" customHeight="false" outlineLevel="0" collapsed="false">
      <c r="I3387" s="15" t="str">
        <f aca="false">IF(A3387="","",INT(A3387))</f>
        <v/>
      </c>
      <c r="J3387" s="16" t="str">
        <f aca="false">IF(B3387="","",IF(A3387=_xlfn.MINIFS($A$2:$A$5001,$B$2:$B$5001,B3387),1,0))</f>
        <v/>
      </c>
      <c r="K3387" s="16" t="str">
        <f aca="false">IF(B3387="","",IF(AND(D3387="Formalização",E3387="Concluído"),IF(COUNTIFS($B$2:$B$5001,B3387,$E$2:$E$5001,"Em ajustes",$A$2:$A$5001,"&lt;"&amp;I3387)&gt;0,1,0),0))</f>
        <v/>
      </c>
      <c r="L3387" s="16" t="str">
        <f aca="false">IF(B3387="","",IF(A3387=_xlfn.MAXIFS($A$2:$A$5001,$B$2:$B$5001,B3387,$I$2:$I$5001,I3387),1,0))</f>
        <v/>
      </c>
    </row>
    <row r="3388" customFormat="false" ht="15" hidden="false" customHeight="false" outlineLevel="0" collapsed="false">
      <c r="I3388" s="15" t="str">
        <f aca="false">IF(A3388="","",INT(A3388))</f>
        <v/>
      </c>
      <c r="J3388" s="16" t="str">
        <f aca="false">IF(B3388="","",IF(A3388=_xlfn.MINIFS($A$2:$A$5001,$B$2:$B$5001,B3388),1,0))</f>
        <v/>
      </c>
      <c r="K3388" s="16" t="str">
        <f aca="false">IF(B3388="","",IF(AND(D3388="Formalização",E3388="Concluído"),IF(COUNTIFS($B$2:$B$5001,B3388,$E$2:$E$5001,"Em ajustes",$A$2:$A$5001,"&lt;"&amp;I3388)&gt;0,1,0),0))</f>
        <v/>
      </c>
      <c r="L3388" s="16" t="str">
        <f aca="false">IF(B3388="","",IF(A3388=_xlfn.MAXIFS($A$2:$A$5001,$B$2:$B$5001,B3388,$I$2:$I$5001,I3388),1,0))</f>
        <v/>
      </c>
    </row>
    <row r="3389" customFormat="false" ht="15" hidden="false" customHeight="false" outlineLevel="0" collapsed="false">
      <c r="I3389" s="15" t="str">
        <f aca="false">IF(A3389="","",INT(A3389))</f>
        <v/>
      </c>
      <c r="J3389" s="16" t="str">
        <f aca="false">IF(B3389="","",IF(A3389=_xlfn.MINIFS($A$2:$A$5001,$B$2:$B$5001,B3389),1,0))</f>
        <v/>
      </c>
      <c r="K3389" s="16" t="str">
        <f aca="false">IF(B3389="","",IF(AND(D3389="Formalização",E3389="Concluído"),IF(COUNTIFS($B$2:$B$5001,B3389,$E$2:$E$5001,"Em ajustes",$A$2:$A$5001,"&lt;"&amp;I3389)&gt;0,1,0),0))</f>
        <v/>
      </c>
      <c r="L3389" s="16" t="str">
        <f aca="false">IF(B3389="","",IF(A3389=_xlfn.MAXIFS($A$2:$A$5001,$B$2:$B$5001,B3389,$I$2:$I$5001,I3389),1,0))</f>
        <v/>
      </c>
    </row>
    <row r="3390" customFormat="false" ht="15" hidden="false" customHeight="false" outlineLevel="0" collapsed="false">
      <c r="I3390" s="15" t="str">
        <f aca="false">IF(A3390="","",INT(A3390))</f>
        <v/>
      </c>
      <c r="J3390" s="16" t="str">
        <f aca="false">IF(B3390="","",IF(A3390=_xlfn.MINIFS($A$2:$A$5001,$B$2:$B$5001,B3390),1,0))</f>
        <v/>
      </c>
      <c r="K3390" s="16" t="str">
        <f aca="false">IF(B3390="","",IF(AND(D3390="Formalização",E3390="Concluído"),IF(COUNTIFS($B$2:$B$5001,B3390,$E$2:$E$5001,"Em ajustes",$A$2:$A$5001,"&lt;"&amp;I3390)&gt;0,1,0),0))</f>
        <v/>
      </c>
      <c r="L3390" s="16" t="str">
        <f aca="false">IF(B3390="","",IF(A3390=_xlfn.MAXIFS($A$2:$A$5001,$B$2:$B$5001,B3390,$I$2:$I$5001,I3390),1,0))</f>
        <v/>
      </c>
    </row>
    <row r="3391" customFormat="false" ht="15" hidden="false" customHeight="false" outlineLevel="0" collapsed="false">
      <c r="I3391" s="15" t="str">
        <f aca="false">IF(A3391="","",INT(A3391))</f>
        <v/>
      </c>
      <c r="J3391" s="16" t="str">
        <f aca="false">IF(B3391="","",IF(A3391=_xlfn.MINIFS($A$2:$A$5001,$B$2:$B$5001,B3391),1,0))</f>
        <v/>
      </c>
      <c r="K3391" s="16" t="str">
        <f aca="false">IF(B3391="","",IF(AND(D3391="Formalização",E3391="Concluído"),IF(COUNTIFS($B$2:$B$5001,B3391,$E$2:$E$5001,"Em ajustes",$A$2:$A$5001,"&lt;"&amp;I3391)&gt;0,1,0),0))</f>
        <v/>
      </c>
      <c r="L3391" s="16" t="str">
        <f aca="false">IF(B3391="","",IF(A3391=_xlfn.MAXIFS($A$2:$A$5001,$B$2:$B$5001,B3391,$I$2:$I$5001,I3391),1,0))</f>
        <v/>
      </c>
    </row>
    <row r="3392" customFormat="false" ht="15" hidden="false" customHeight="false" outlineLevel="0" collapsed="false">
      <c r="I3392" s="15" t="str">
        <f aca="false">IF(A3392="","",INT(A3392))</f>
        <v/>
      </c>
      <c r="J3392" s="16" t="str">
        <f aca="false">IF(B3392="","",IF(A3392=_xlfn.MINIFS($A$2:$A$5001,$B$2:$B$5001,B3392),1,0))</f>
        <v/>
      </c>
      <c r="K3392" s="16" t="str">
        <f aca="false">IF(B3392="","",IF(AND(D3392="Formalização",E3392="Concluído"),IF(COUNTIFS($B$2:$B$5001,B3392,$E$2:$E$5001,"Em ajustes",$A$2:$A$5001,"&lt;"&amp;I3392)&gt;0,1,0),0))</f>
        <v/>
      </c>
      <c r="L3392" s="16" t="str">
        <f aca="false">IF(B3392="","",IF(A3392=_xlfn.MAXIFS($A$2:$A$5001,$B$2:$B$5001,B3392,$I$2:$I$5001,I3392),1,0))</f>
        <v/>
      </c>
    </row>
    <row r="3393" customFormat="false" ht="15" hidden="false" customHeight="false" outlineLevel="0" collapsed="false">
      <c r="I3393" s="15" t="str">
        <f aca="false">IF(A3393="","",INT(A3393))</f>
        <v/>
      </c>
      <c r="J3393" s="16" t="str">
        <f aca="false">IF(B3393="","",IF(A3393=_xlfn.MINIFS($A$2:$A$5001,$B$2:$B$5001,B3393),1,0))</f>
        <v/>
      </c>
      <c r="K3393" s="16" t="str">
        <f aca="false">IF(B3393="","",IF(AND(D3393="Formalização",E3393="Concluído"),IF(COUNTIFS($B$2:$B$5001,B3393,$E$2:$E$5001,"Em ajustes",$A$2:$A$5001,"&lt;"&amp;I3393)&gt;0,1,0),0))</f>
        <v/>
      </c>
      <c r="L3393" s="16" t="str">
        <f aca="false">IF(B3393="","",IF(A3393=_xlfn.MAXIFS($A$2:$A$5001,$B$2:$B$5001,B3393,$I$2:$I$5001,I3393),1,0))</f>
        <v/>
      </c>
    </row>
    <row r="3394" customFormat="false" ht="15" hidden="false" customHeight="false" outlineLevel="0" collapsed="false">
      <c r="I3394" s="15" t="str">
        <f aca="false">IF(A3394="","",INT(A3394))</f>
        <v/>
      </c>
      <c r="J3394" s="16" t="str">
        <f aca="false">IF(B3394="","",IF(A3394=_xlfn.MINIFS($A$2:$A$5001,$B$2:$B$5001,B3394),1,0))</f>
        <v/>
      </c>
      <c r="K3394" s="16" t="str">
        <f aca="false">IF(B3394="","",IF(AND(D3394="Formalização",E3394="Concluído"),IF(COUNTIFS($B$2:$B$5001,B3394,$E$2:$E$5001,"Em ajustes",$A$2:$A$5001,"&lt;"&amp;I3394)&gt;0,1,0),0))</f>
        <v/>
      </c>
      <c r="L3394" s="16" t="str">
        <f aca="false">IF(B3394="","",IF(A3394=_xlfn.MAXIFS($A$2:$A$5001,$B$2:$B$5001,B3394,$I$2:$I$5001,I3394),1,0))</f>
        <v/>
      </c>
    </row>
    <row r="3395" customFormat="false" ht="15" hidden="false" customHeight="false" outlineLevel="0" collapsed="false">
      <c r="I3395" s="15" t="str">
        <f aca="false">IF(A3395="","",INT(A3395))</f>
        <v/>
      </c>
      <c r="J3395" s="16" t="str">
        <f aca="false">IF(B3395="","",IF(A3395=_xlfn.MINIFS($A$2:$A$5001,$B$2:$B$5001,B3395),1,0))</f>
        <v/>
      </c>
      <c r="K3395" s="16" t="str">
        <f aca="false">IF(B3395="","",IF(AND(D3395="Formalização",E3395="Concluído"),IF(COUNTIFS($B$2:$B$5001,B3395,$E$2:$E$5001,"Em ajustes",$A$2:$A$5001,"&lt;"&amp;I3395)&gt;0,1,0),0))</f>
        <v/>
      </c>
      <c r="L3395" s="16" t="str">
        <f aca="false">IF(B3395="","",IF(A3395=_xlfn.MAXIFS($A$2:$A$5001,$B$2:$B$5001,B3395,$I$2:$I$5001,I3395),1,0))</f>
        <v/>
      </c>
    </row>
    <row r="3396" customFormat="false" ht="15" hidden="false" customHeight="false" outlineLevel="0" collapsed="false">
      <c r="I3396" s="15" t="str">
        <f aca="false">IF(A3396="","",INT(A3396))</f>
        <v/>
      </c>
      <c r="J3396" s="16" t="str">
        <f aca="false">IF(B3396="","",IF(A3396=_xlfn.MINIFS($A$2:$A$5001,$B$2:$B$5001,B3396),1,0))</f>
        <v/>
      </c>
      <c r="K3396" s="16" t="str">
        <f aca="false">IF(B3396="","",IF(AND(D3396="Formalização",E3396="Concluído"),IF(COUNTIFS($B$2:$B$5001,B3396,$E$2:$E$5001,"Em ajustes",$A$2:$A$5001,"&lt;"&amp;I3396)&gt;0,1,0),0))</f>
        <v/>
      </c>
      <c r="L3396" s="16" t="str">
        <f aca="false">IF(B3396="","",IF(A3396=_xlfn.MAXIFS($A$2:$A$5001,$B$2:$B$5001,B3396,$I$2:$I$5001,I3396),1,0))</f>
        <v/>
      </c>
    </row>
    <row r="3397" customFormat="false" ht="15" hidden="false" customHeight="false" outlineLevel="0" collapsed="false">
      <c r="I3397" s="15" t="str">
        <f aca="false">IF(A3397="","",INT(A3397))</f>
        <v/>
      </c>
      <c r="J3397" s="16" t="str">
        <f aca="false">IF(B3397="","",IF(A3397=_xlfn.MINIFS($A$2:$A$5001,$B$2:$B$5001,B3397),1,0))</f>
        <v/>
      </c>
      <c r="K3397" s="16" t="str">
        <f aca="false">IF(B3397="","",IF(AND(D3397="Formalização",E3397="Concluído"),IF(COUNTIFS($B$2:$B$5001,B3397,$E$2:$E$5001,"Em ajustes",$A$2:$A$5001,"&lt;"&amp;I3397)&gt;0,1,0),0))</f>
        <v/>
      </c>
      <c r="L3397" s="16" t="str">
        <f aca="false">IF(B3397="","",IF(A3397=_xlfn.MAXIFS($A$2:$A$5001,$B$2:$B$5001,B3397,$I$2:$I$5001,I3397),1,0))</f>
        <v/>
      </c>
    </row>
    <row r="3398" customFormat="false" ht="15" hidden="false" customHeight="false" outlineLevel="0" collapsed="false">
      <c r="I3398" s="15" t="str">
        <f aca="false">IF(A3398="","",INT(A3398))</f>
        <v/>
      </c>
      <c r="J3398" s="16" t="str">
        <f aca="false">IF(B3398="","",IF(A3398=_xlfn.MINIFS($A$2:$A$5001,$B$2:$B$5001,B3398),1,0))</f>
        <v/>
      </c>
      <c r="K3398" s="16" t="str">
        <f aca="false">IF(B3398="","",IF(AND(D3398="Formalização",E3398="Concluído"),IF(COUNTIFS($B$2:$B$5001,B3398,$E$2:$E$5001,"Em ajustes",$A$2:$A$5001,"&lt;"&amp;I3398)&gt;0,1,0),0))</f>
        <v/>
      </c>
      <c r="L3398" s="16" t="str">
        <f aca="false">IF(B3398="","",IF(A3398=_xlfn.MAXIFS($A$2:$A$5001,$B$2:$B$5001,B3398,$I$2:$I$5001,I3398),1,0))</f>
        <v/>
      </c>
    </row>
    <row r="3399" customFormat="false" ht="15" hidden="false" customHeight="false" outlineLevel="0" collapsed="false">
      <c r="I3399" s="15" t="str">
        <f aca="false">IF(A3399="","",INT(A3399))</f>
        <v/>
      </c>
      <c r="J3399" s="16" t="str">
        <f aca="false">IF(B3399="","",IF(A3399=_xlfn.MINIFS($A$2:$A$5001,$B$2:$B$5001,B3399),1,0))</f>
        <v/>
      </c>
      <c r="K3399" s="16" t="str">
        <f aca="false">IF(B3399="","",IF(AND(D3399="Formalização",E3399="Concluído"),IF(COUNTIFS($B$2:$B$5001,B3399,$E$2:$E$5001,"Em ajustes",$A$2:$A$5001,"&lt;"&amp;I3399)&gt;0,1,0),0))</f>
        <v/>
      </c>
      <c r="L3399" s="16" t="str">
        <f aca="false">IF(B3399="","",IF(A3399=_xlfn.MAXIFS($A$2:$A$5001,$B$2:$B$5001,B3399,$I$2:$I$5001,I3399),1,0))</f>
        <v/>
      </c>
    </row>
    <row r="3400" customFormat="false" ht="15" hidden="false" customHeight="false" outlineLevel="0" collapsed="false">
      <c r="I3400" s="15" t="str">
        <f aca="false">IF(A3400="","",INT(A3400))</f>
        <v/>
      </c>
      <c r="J3400" s="16" t="str">
        <f aca="false">IF(B3400="","",IF(A3400=_xlfn.MINIFS($A$2:$A$5001,$B$2:$B$5001,B3400),1,0))</f>
        <v/>
      </c>
      <c r="K3400" s="16" t="str">
        <f aca="false">IF(B3400="","",IF(AND(D3400="Formalização",E3400="Concluído"),IF(COUNTIFS($B$2:$B$5001,B3400,$E$2:$E$5001,"Em ajustes",$A$2:$A$5001,"&lt;"&amp;I3400)&gt;0,1,0),0))</f>
        <v/>
      </c>
      <c r="L3400" s="16" t="str">
        <f aca="false">IF(B3400="","",IF(A3400=_xlfn.MAXIFS($A$2:$A$5001,$B$2:$B$5001,B3400,$I$2:$I$5001,I3400),1,0))</f>
        <v/>
      </c>
    </row>
    <row r="3401" customFormat="false" ht="15" hidden="false" customHeight="false" outlineLevel="0" collapsed="false">
      <c r="I3401" s="15" t="str">
        <f aca="false">IF(A3401="","",INT(A3401))</f>
        <v/>
      </c>
      <c r="J3401" s="16" t="str">
        <f aca="false">IF(B3401="","",IF(A3401=_xlfn.MINIFS($A$2:$A$5001,$B$2:$B$5001,B3401),1,0))</f>
        <v/>
      </c>
      <c r="K3401" s="16" t="str">
        <f aca="false">IF(B3401="","",IF(AND(D3401="Formalização",E3401="Concluído"),IF(COUNTIFS($B$2:$B$5001,B3401,$E$2:$E$5001,"Em ajustes",$A$2:$A$5001,"&lt;"&amp;I3401)&gt;0,1,0),0))</f>
        <v/>
      </c>
      <c r="L3401" s="16" t="str">
        <f aca="false">IF(B3401="","",IF(A3401=_xlfn.MAXIFS($A$2:$A$5001,$B$2:$B$5001,B3401,$I$2:$I$5001,I3401),1,0))</f>
        <v/>
      </c>
    </row>
    <row r="3402" customFormat="false" ht="15" hidden="false" customHeight="false" outlineLevel="0" collapsed="false">
      <c r="I3402" s="15" t="str">
        <f aca="false">IF(A3402="","",INT(A3402))</f>
        <v/>
      </c>
      <c r="J3402" s="16" t="str">
        <f aca="false">IF(B3402="","",IF(A3402=_xlfn.MINIFS($A$2:$A$5001,$B$2:$B$5001,B3402),1,0))</f>
        <v/>
      </c>
      <c r="K3402" s="16" t="str">
        <f aca="false">IF(B3402="","",IF(AND(D3402="Formalização",E3402="Concluído"),IF(COUNTIFS($B$2:$B$5001,B3402,$E$2:$E$5001,"Em ajustes",$A$2:$A$5001,"&lt;"&amp;I3402)&gt;0,1,0),0))</f>
        <v/>
      </c>
      <c r="L3402" s="16" t="str">
        <f aca="false">IF(B3402="","",IF(A3402=_xlfn.MAXIFS($A$2:$A$5001,$B$2:$B$5001,B3402,$I$2:$I$5001,I3402),1,0))</f>
        <v/>
      </c>
    </row>
    <row r="3403" customFormat="false" ht="15" hidden="false" customHeight="false" outlineLevel="0" collapsed="false">
      <c r="I3403" s="15" t="str">
        <f aca="false">IF(A3403="","",INT(A3403))</f>
        <v/>
      </c>
      <c r="J3403" s="16" t="str">
        <f aca="false">IF(B3403="","",IF(A3403=_xlfn.MINIFS($A$2:$A$5001,$B$2:$B$5001,B3403),1,0))</f>
        <v/>
      </c>
      <c r="K3403" s="16" t="str">
        <f aca="false">IF(B3403="","",IF(AND(D3403="Formalização",E3403="Concluído"),IF(COUNTIFS($B$2:$B$5001,B3403,$E$2:$E$5001,"Em ajustes",$A$2:$A$5001,"&lt;"&amp;I3403)&gt;0,1,0),0))</f>
        <v/>
      </c>
      <c r="L3403" s="16" t="str">
        <f aca="false">IF(B3403="","",IF(A3403=_xlfn.MAXIFS($A$2:$A$5001,$B$2:$B$5001,B3403,$I$2:$I$5001,I3403),1,0))</f>
        <v/>
      </c>
    </row>
    <row r="3404" customFormat="false" ht="15" hidden="false" customHeight="false" outlineLevel="0" collapsed="false">
      <c r="I3404" s="15" t="str">
        <f aca="false">IF(A3404="","",INT(A3404))</f>
        <v/>
      </c>
      <c r="J3404" s="16" t="str">
        <f aca="false">IF(B3404="","",IF(A3404=_xlfn.MINIFS($A$2:$A$5001,$B$2:$B$5001,B3404),1,0))</f>
        <v/>
      </c>
      <c r="K3404" s="16" t="str">
        <f aca="false">IF(B3404="","",IF(AND(D3404="Formalização",E3404="Concluído"),IF(COUNTIFS($B$2:$B$5001,B3404,$E$2:$E$5001,"Em ajustes",$A$2:$A$5001,"&lt;"&amp;I3404)&gt;0,1,0),0))</f>
        <v/>
      </c>
      <c r="L3404" s="16" t="str">
        <f aca="false">IF(B3404="","",IF(A3404=_xlfn.MAXIFS($A$2:$A$5001,$B$2:$B$5001,B3404,$I$2:$I$5001,I3404),1,0))</f>
        <v/>
      </c>
    </row>
    <row r="3405" customFormat="false" ht="15" hidden="false" customHeight="false" outlineLevel="0" collapsed="false">
      <c r="I3405" s="15" t="str">
        <f aca="false">IF(A3405="","",INT(A3405))</f>
        <v/>
      </c>
      <c r="J3405" s="16" t="str">
        <f aca="false">IF(B3405="","",IF(A3405=_xlfn.MINIFS($A$2:$A$5001,$B$2:$B$5001,B3405),1,0))</f>
        <v/>
      </c>
      <c r="K3405" s="16" t="str">
        <f aca="false">IF(B3405="","",IF(AND(D3405="Formalização",E3405="Concluído"),IF(COUNTIFS($B$2:$B$5001,B3405,$E$2:$E$5001,"Em ajustes",$A$2:$A$5001,"&lt;"&amp;I3405)&gt;0,1,0),0))</f>
        <v/>
      </c>
      <c r="L3405" s="16" t="str">
        <f aca="false">IF(B3405="","",IF(A3405=_xlfn.MAXIFS($A$2:$A$5001,$B$2:$B$5001,B3405,$I$2:$I$5001,I3405),1,0))</f>
        <v/>
      </c>
    </row>
    <row r="3406" customFormat="false" ht="15" hidden="false" customHeight="false" outlineLevel="0" collapsed="false">
      <c r="I3406" s="15" t="str">
        <f aca="false">IF(A3406="","",INT(A3406))</f>
        <v/>
      </c>
      <c r="J3406" s="16" t="str">
        <f aca="false">IF(B3406="","",IF(A3406=_xlfn.MINIFS($A$2:$A$5001,$B$2:$B$5001,B3406),1,0))</f>
        <v/>
      </c>
      <c r="K3406" s="16" t="str">
        <f aca="false">IF(B3406="","",IF(AND(D3406="Formalização",E3406="Concluído"),IF(COUNTIFS($B$2:$B$5001,B3406,$E$2:$E$5001,"Em ajustes",$A$2:$A$5001,"&lt;"&amp;I3406)&gt;0,1,0),0))</f>
        <v/>
      </c>
      <c r="L3406" s="16" t="str">
        <f aca="false">IF(B3406="","",IF(A3406=_xlfn.MAXIFS($A$2:$A$5001,$B$2:$B$5001,B3406,$I$2:$I$5001,I3406),1,0))</f>
        <v/>
      </c>
    </row>
    <row r="3407" customFormat="false" ht="15" hidden="false" customHeight="false" outlineLevel="0" collapsed="false">
      <c r="I3407" s="15" t="str">
        <f aca="false">IF(A3407="","",INT(A3407))</f>
        <v/>
      </c>
      <c r="J3407" s="16" t="str">
        <f aca="false">IF(B3407="","",IF(A3407=_xlfn.MINIFS($A$2:$A$5001,$B$2:$B$5001,B3407),1,0))</f>
        <v/>
      </c>
      <c r="K3407" s="16" t="str">
        <f aca="false">IF(B3407="","",IF(AND(D3407="Formalização",E3407="Concluído"),IF(COUNTIFS($B$2:$B$5001,B3407,$E$2:$E$5001,"Em ajustes",$A$2:$A$5001,"&lt;"&amp;I3407)&gt;0,1,0),0))</f>
        <v/>
      </c>
      <c r="L3407" s="16" t="str">
        <f aca="false">IF(B3407="","",IF(A3407=_xlfn.MAXIFS($A$2:$A$5001,$B$2:$B$5001,B3407,$I$2:$I$5001,I3407),1,0))</f>
        <v/>
      </c>
    </row>
    <row r="3408" customFormat="false" ht="15" hidden="false" customHeight="false" outlineLevel="0" collapsed="false">
      <c r="I3408" s="15" t="str">
        <f aca="false">IF(A3408="","",INT(A3408))</f>
        <v/>
      </c>
      <c r="J3408" s="16" t="str">
        <f aca="false">IF(B3408="","",IF(A3408=_xlfn.MINIFS($A$2:$A$5001,$B$2:$B$5001,B3408),1,0))</f>
        <v/>
      </c>
      <c r="K3408" s="16" t="str">
        <f aca="false">IF(B3408="","",IF(AND(D3408="Formalização",E3408="Concluído"),IF(COUNTIFS($B$2:$B$5001,B3408,$E$2:$E$5001,"Em ajustes",$A$2:$A$5001,"&lt;"&amp;I3408)&gt;0,1,0),0))</f>
        <v/>
      </c>
      <c r="L3408" s="16" t="str">
        <f aca="false">IF(B3408="","",IF(A3408=_xlfn.MAXIFS($A$2:$A$5001,$B$2:$B$5001,B3408,$I$2:$I$5001,I3408),1,0))</f>
        <v/>
      </c>
    </row>
    <row r="3409" customFormat="false" ht="15" hidden="false" customHeight="false" outlineLevel="0" collapsed="false">
      <c r="I3409" s="15" t="str">
        <f aca="false">IF(A3409="","",INT(A3409))</f>
        <v/>
      </c>
      <c r="J3409" s="16" t="str">
        <f aca="false">IF(B3409="","",IF(A3409=_xlfn.MINIFS($A$2:$A$5001,$B$2:$B$5001,B3409),1,0))</f>
        <v/>
      </c>
      <c r="K3409" s="16" t="str">
        <f aca="false">IF(B3409="","",IF(AND(D3409="Formalização",E3409="Concluído"),IF(COUNTIFS($B$2:$B$5001,B3409,$E$2:$E$5001,"Em ajustes",$A$2:$A$5001,"&lt;"&amp;I3409)&gt;0,1,0),0))</f>
        <v/>
      </c>
      <c r="L3409" s="16" t="str">
        <f aca="false">IF(B3409="","",IF(A3409=_xlfn.MAXIFS($A$2:$A$5001,$B$2:$B$5001,B3409,$I$2:$I$5001,I3409),1,0))</f>
        <v/>
      </c>
    </row>
    <row r="3410" customFormat="false" ht="15" hidden="false" customHeight="false" outlineLevel="0" collapsed="false">
      <c r="I3410" s="15" t="str">
        <f aca="false">IF(A3410="","",INT(A3410))</f>
        <v/>
      </c>
      <c r="J3410" s="16" t="str">
        <f aca="false">IF(B3410="","",IF(A3410=_xlfn.MINIFS($A$2:$A$5001,$B$2:$B$5001,B3410),1,0))</f>
        <v/>
      </c>
      <c r="K3410" s="16" t="str">
        <f aca="false">IF(B3410="","",IF(AND(D3410="Formalização",E3410="Concluído"),IF(COUNTIFS($B$2:$B$5001,B3410,$E$2:$E$5001,"Em ajustes",$A$2:$A$5001,"&lt;"&amp;I3410)&gt;0,1,0),0))</f>
        <v/>
      </c>
      <c r="L3410" s="16" t="str">
        <f aca="false">IF(B3410="","",IF(A3410=_xlfn.MAXIFS($A$2:$A$5001,$B$2:$B$5001,B3410,$I$2:$I$5001,I3410),1,0))</f>
        <v/>
      </c>
    </row>
    <row r="3411" customFormat="false" ht="15" hidden="false" customHeight="false" outlineLevel="0" collapsed="false">
      <c r="I3411" s="15" t="str">
        <f aca="false">IF(A3411="","",INT(A3411))</f>
        <v/>
      </c>
      <c r="J3411" s="16" t="str">
        <f aca="false">IF(B3411="","",IF(A3411=_xlfn.MINIFS($A$2:$A$5001,$B$2:$B$5001,B3411),1,0))</f>
        <v/>
      </c>
      <c r="K3411" s="16" t="str">
        <f aca="false">IF(B3411="","",IF(AND(D3411="Formalização",E3411="Concluído"),IF(COUNTIFS($B$2:$B$5001,B3411,$E$2:$E$5001,"Em ajustes",$A$2:$A$5001,"&lt;"&amp;I3411)&gt;0,1,0),0))</f>
        <v/>
      </c>
      <c r="L3411" s="16" t="str">
        <f aca="false">IF(B3411="","",IF(A3411=_xlfn.MAXIFS($A$2:$A$5001,$B$2:$B$5001,B3411,$I$2:$I$5001,I3411),1,0))</f>
        <v/>
      </c>
    </row>
    <row r="3412" customFormat="false" ht="15" hidden="false" customHeight="false" outlineLevel="0" collapsed="false">
      <c r="I3412" s="15" t="str">
        <f aca="false">IF(A3412="","",INT(A3412))</f>
        <v/>
      </c>
      <c r="J3412" s="16" t="str">
        <f aca="false">IF(B3412="","",IF(A3412=_xlfn.MINIFS($A$2:$A$5001,$B$2:$B$5001,B3412),1,0))</f>
        <v/>
      </c>
      <c r="K3412" s="16" t="str">
        <f aca="false">IF(B3412="","",IF(AND(D3412="Formalização",E3412="Concluído"),IF(COUNTIFS($B$2:$B$5001,B3412,$E$2:$E$5001,"Em ajustes",$A$2:$A$5001,"&lt;"&amp;I3412)&gt;0,1,0),0))</f>
        <v/>
      </c>
      <c r="L3412" s="16" t="str">
        <f aca="false">IF(B3412="","",IF(A3412=_xlfn.MAXIFS($A$2:$A$5001,$B$2:$B$5001,B3412,$I$2:$I$5001,I3412),1,0))</f>
        <v/>
      </c>
    </row>
    <row r="3413" customFormat="false" ht="15" hidden="false" customHeight="false" outlineLevel="0" collapsed="false">
      <c r="I3413" s="15" t="str">
        <f aca="false">IF(A3413="","",INT(A3413))</f>
        <v/>
      </c>
      <c r="J3413" s="16" t="str">
        <f aca="false">IF(B3413="","",IF(A3413=_xlfn.MINIFS($A$2:$A$5001,$B$2:$B$5001,B3413),1,0))</f>
        <v/>
      </c>
      <c r="K3413" s="16" t="str">
        <f aca="false">IF(B3413="","",IF(AND(D3413="Formalização",E3413="Concluído"),IF(COUNTIFS($B$2:$B$5001,B3413,$E$2:$E$5001,"Em ajustes",$A$2:$A$5001,"&lt;"&amp;I3413)&gt;0,1,0),0))</f>
        <v/>
      </c>
      <c r="L3413" s="16" t="str">
        <f aca="false">IF(B3413="","",IF(A3413=_xlfn.MAXIFS($A$2:$A$5001,$B$2:$B$5001,B3413,$I$2:$I$5001,I3413),1,0))</f>
        <v/>
      </c>
    </row>
    <row r="3414" customFormat="false" ht="15" hidden="false" customHeight="false" outlineLevel="0" collapsed="false">
      <c r="I3414" s="15" t="str">
        <f aca="false">IF(A3414="","",INT(A3414))</f>
        <v/>
      </c>
      <c r="J3414" s="16" t="str">
        <f aca="false">IF(B3414="","",IF(A3414=_xlfn.MINIFS($A$2:$A$5001,$B$2:$B$5001,B3414),1,0))</f>
        <v/>
      </c>
      <c r="K3414" s="16" t="str">
        <f aca="false">IF(B3414="","",IF(AND(D3414="Formalização",E3414="Concluído"),IF(COUNTIFS($B$2:$B$5001,B3414,$E$2:$E$5001,"Em ajustes",$A$2:$A$5001,"&lt;"&amp;I3414)&gt;0,1,0),0))</f>
        <v/>
      </c>
      <c r="L3414" s="16" t="str">
        <f aca="false">IF(B3414="","",IF(A3414=_xlfn.MAXIFS($A$2:$A$5001,$B$2:$B$5001,B3414,$I$2:$I$5001,I3414),1,0))</f>
        <v/>
      </c>
    </row>
    <row r="3415" customFormat="false" ht="15" hidden="false" customHeight="false" outlineLevel="0" collapsed="false">
      <c r="I3415" s="15" t="str">
        <f aca="false">IF(A3415="","",INT(A3415))</f>
        <v/>
      </c>
      <c r="J3415" s="16" t="str">
        <f aca="false">IF(B3415="","",IF(A3415=_xlfn.MINIFS($A$2:$A$5001,$B$2:$B$5001,B3415),1,0))</f>
        <v/>
      </c>
      <c r="K3415" s="16" t="str">
        <f aca="false">IF(B3415="","",IF(AND(D3415="Formalização",E3415="Concluído"),IF(COUNTIFS($B$2:$B$5001,B3415,$E$2:$E$5001,"Em ajustes",$A$2:$A$5001,"&lt;"&amp;I3415)&gt;0,1,0),0))</f>
        <v/>
      </c>
      <c r="L3415" s="16" t="str">
        <f aca="false">IF(B3415="","",IF(A3415=_xlfn.MAXIFS($A$2:$A$5001,$B$2:$B$5001,B3415,$I$2:$I$5001,I3415),1,0))</f>
        <v/>
      </c>
    </row>
    <row r="3416" customFormat="false" ht="15" hidden="false" customHeight="false" outlineLevel="0" collapsed="false">
      <c r="I3416" s="15" t="str">
        <f aca="false">IF(A3416="","",INT(A3416))</f>
        <v/>
      </c>
      <c r="J3416" s="16" t="str">
        <f aca="false">IF(B3416="","",IF(A3416=_xlfn.MINIFS($A$2:$A$5001,$B$2:$B$5001,B3416),1,0))</f>
        <v/>
      </c>
      <c r="K3416" s="16" t="str">
        <f aca="false">IF(B3416="","",IF(AND(D3416="Formalização",E3416="Concluído"),IF(COUNTIFS($B$2:$B$5001,B3416,$E$2:$E$5001,"Em ajustes",$A$2:$A$5001,"&lt;"&amp;I3416)&gt;0,1,0),0))</f>
        <v/>
      </c>
      <c r="L3416" s="16" t="str">
        <f aca="false">IF(B3416="","",IF(A3416=_xlfn.MAXIFS($A$2:$A$5001,$B$2:$B$5001,B3416,$I$2:$I$5001,I3416),1,0))</f>
        <v/>
      </c>
    </row>
    <row r="3417" customFormat="false" ht="15" hidden="false" customHeight="false" outlineLevel="0" collapsed="false">
      <c r="I3417" s="15" t="str">
        <f aca="false">IF(A3417="","",INT(A3417))</f>
        <v/>
      </c>
      <c r="J3417" s="16" t="str">
        <f aca="false">IF(B3417="","",IF(A3417=_xlfn.MINIFS($A$2:$A$5001,$B$2:$B$5001,B3417),1,0))</f>
        <v/>
      </c>
      <c r="K3417" s="16" t="str">
        <f aca="false">IF(B3417="","",IF(AND(D3417="Formalização",E3417="Concluído"),IF(COUNTIFS($B$2:$B$5001,B3417,$E$2:$E$5001,"Em ajustes",$A$2:$A$5001,"&lt;"&amp;I3417)&gt;0,1,0),0))</f>
        <v/>
      </c>
      <c r="L3417" s="16" t="str">
        <f aca="false">IF(B3417="","",IF(A3417=_xlfn.MAXIFS($A$2:$A$5001,$B$2:$B$5001,B3417,$I$2:$I$5001,I3417),1,0))</f>
        <v/>
      </c>
    </row>
    <row r="3418" customFormat="false" ht="15" hidden="false" customHeight="false" outlineLevel="0" collapsed="false">
      <c r="I3418" s="15" t="str">
        <f aca="false">IF(A3418="","",INT(A3418))</f>
        <v/>
      </c>
      <c r="J3418" s="16" t="str">
        <f aca="false">IF(B3418="","",IF(A3418=_xlfn.MINIFS($A$2:$A$5001,$B$2:$B$5001,B3418),1,0))</f>
        <v/>
      </c>
      <c r="K3418" s="16" t="str">
        <f aca="false">IF(B3418="","",IF(AND(D3418="Formalização",E3418="Concluído"),IF(COUNTIFS($B$2:$B$5001,B3418,$E$2:$E$5001,"Em ajustes",$A$2:$A$5001,"&lt;"&amp;I3418)&gt;0,1,0),0))</f>
        <v/>
      </c>
      <c r="L3418" s="16" t="str">
        <f aca="false">IF(B3418="","",IF(A3418=_xlfn.MAXIFS($A$2:$A$5001,$B$2:$B$5001,B3418,$I$2:$I$5001,I3418),1,0))</f>
        <v/>
      </c>
    </row>
    <row r="3419" customFormat="false" ht="15" hidden="false" customHeight="false" outlineLevel="0" collapsed="false">
      <c r="I3419" s="15" t="str">
        <f aca="false">IF(A3419="","",INT(A3419))</f>
        <v/>
      </c>
      <c r="J3419" s="16" t="str">
        <f aca="false">IF(B3419="","",IF(A3419=_xlfn.MINIFS($A$2:$A$5001,$B$2:$B$5001,B3419),1,0))</f>
        <v/>
      </c>
      <c r="K3419" s="16" t="str">
        <f aca="false">IF(B3419="","",IF(AND(D3419="Formalização",E3419="Concluído"),IF(COUNTIFS($B$2:$B$5001,B3419,$E$2:$E$5001,"Em ajustes",$A$2:$A$5001,"&lt;"&amp;I3419)&gt;0,1,0),0))</f>
        <v/>
      </c>
      <c r="L3419" s="16" t="str">
        <f aca="false">IF(B3419="","",IF(A3419=_xlfn.MAXIFS($A$2:$A$5001,$B$2:$B$5001,B3419,$I$2:$I$5001,I3419),1,0))</f>
        <v/>
      </c>
    </row>
    <row r="3420" customFormat="false" ht="15" hidden="false" customHeight="false" outlineLevel="0" collapsed="false">
      <c r="I3420" s="15" t="str">
        <f aca="false">IF(A3420="","",INT(A3420))</f>
        <v/>
      </c>
      <c r="J3420" s="16" t="str">
        <f aca="false">IF(B3420="","",IF(A3420=_xlfn.MINIFS($A$2:$A$5001,$B$2:$B$5001,B3420),1,0))</f>
        <v/>
      </c>
      <c r="K3420" s="16" t="str">
        <f aca="false">IF(B3420="","",IF(AND(D3420="Formalização",E3420="Concluído"),IF(COUNTIFS($B$2:$B$5001,B3420,$E$2:$E$5001,"Em ajustes",$A$2:$A$5001,"&lt;"&amp;I3420)&gt;0,1,0),0))</f>
        <v/>
      </c>
      <c r="L3420" s="16" t="str">
        <f aca="false">IF(B3420="","",IF(A3420=_xlfn.MAXIFS($A$2:$A$5001,$B$2:$B$5001,B3420,$I$2:$I$5001,I3420),1,0))</f>
        <v/>
      </c>
    </row>
    <row r="3421" customFormat="false" ht="15" hidden="false" customHeight="false" outlineLevel="0" collapsed="false">
      <c r="I3421" s="15" t="str">
        <f aca="false">IF(A3421="","",INT(A3421))</f>
        <v/>
      </c>
      <c r="J3421" s="16" t="str">
        <f aca="false">IF(B3421="","",IF(A3421=_xlfn.MINIFS($A$2:$A$5001,$B$2:$B$5001,B3421),1,0))</f>
        <v/>
      </c>
      <c r="K3421" s="16" t="str">
        <f aca="false">IF(B3421="","",IF(AND(D3421="Formalização",E3421="Concluído"),IF(COUNTIFS($B$2:$B$5001,B3421,$E$2:$E$5001,"Em ajustes",$A$2:$A$5001,"&lt;"&amp;I3421)&gt;0,1,0),0))</f>
        <v/>
      </c>
      <c r="L3421" s="16" t="str">
        <f aca="false">IF(B3421="","",IF(A3421=_xlfn.MAXIFS($A$2:$A$5001,$B$2:$B$5001,B3421,$I$2:$I$5001,I3421),1,0))</f>
        <v/>
      </c>
    </row>
    <row r="3422" customFormat="false" ht="15" hidden="false" customHeight="false" outlineLevel="0" collapsed="false">
      <c r="I3422" s="15" t="str">
        <f aca="false">IF(A3422="","",INT(A3422))</f>
        <v/>
      </c>
      <c r="J3422" s="16" t="str">
        <f aca="false">IF(B3422="","",IF(A3422=_xlfn.MINIFS($A$2:$A$5001,$B$2:$B$5001,B3422),1,0))</f>
        <v/>
      </c>
      <c r="K3422" s="16" t="str">
        <f aca="false">IF(B3422="","",IF(AND(D3422="Formalização",E3422="Concluído"),IF(COUNTIFS($B$2:$B$5001,B3422,$E$2:$E$5001,"Em ajustes",$A$2:$A$5001,"&lt;"&amp;I3422)&gt;0,1,0),0))</f>
        <v/>
      </c>
      <c r="L3422" s="16" t="str">
        <f aca="false">IF(B3422="","",IF(A3422=_xlfn.MAXIFS($A$2:$A$5001,$B$2:$B$5001,B3422,$I$2:$I$5001,I3422),1,0))</f>
        <v/>
      </c>
    </row>
    <row r="3423" customFormat="false" ht="15" hidden="false" customHeight="false" outlineLevel="0" collapsed="false">
      <c r="I3423" s="15" t="str">
        <f aca="false">IF(A3423="","",INT(A3423))</f>
        <v/>
      </c>
      <c r="J3423" s="16" t="str">
        <f aca="false">IF(B3423="","",IF(A3423=_xlfn.MINIFS($A$2:$A$5001,$B$2:$B$5001,B3423),1,0))</f>
        <v/>
      </c>
      <c r="K3423" s="16" t="str">
        <f aca="false">IF(B3423="","",IF(AND(D3423="Formalização",E3423="Concluído"),IF(COUNTIFS($B$2:$B$5001,B3423,$E$2:$E$5001,"Em ajustes",$A$2:$A$5001,"&lt;"&amp;I3423)&gt;0,1,0),0))</f>
        <v/>
      </c>
      <c r="L3423" s="16" t="str">
        <f aca="false">IF(B3423="","",IF(A3423=_xlfn.MAXIFS($A$2:$A$5001,$B$2:$B$5001,B3423,$I$2:$I$5001,I3423),1,0))</f>
        <v/>
      </c>
    </row>
    <row r="3424" customFormat="false" ht="15" hidden="false" customHeight="false" outlineLevel="0" collapsed="false">
      <c r="I3424" s="15" t="str">
        <f aca="false">IF(A3424="","",INT(A3424))</f>
        <v/>
      </c>
      <c r="J3424" s="16" t="str">
        <f aca="false">IF(B3424="","",IF(A3424=_xlfn.MINIFS($A$2:$A$5001,$B$2:$B$5001,B3424),1,0))</f>
        <v/>
      </c>
      <c r="K3424" s="16" t="str">
        <f aca="false">IF(B3424="","",IF(AND(D3424="Formalização",E3424="Concluído"),IF(COUNTIFS($B$2:$B$5001,B3424,$E$2:$E$5001,"Em ajustes",$A$2:$A$5001,"&lt;"&amp;I3424)&gt;0,1,0),0))</f>
        <v/>
      </c>
      <c r="L3424" s="16" t="str">
        <f aca="false">IF(B3424="","",IF(A3424=_xlfn.MAXIFS($A$2:$A$5001,$B$2:$B$5001,B3424,$I$2:$I$5001,I3424),1,0))</f>
        <v/>
      </c>
    </row>
    <row r="3425" customFormat="false" ht="15" hidden="false" customHeight="false" outlineLevel="0" collapsed="false">
      <c r="I3425" s="15" t="str">
        <f aca="false">IF(A3425="","",INT(A3425))</f>
        <v/>
      </c>
      <c r="J3425" s="16" t="str">
        <f aca="false">IF(B3425="","",IF(A3425=_xlfn.MINIFS($A$2:$A$5001,$B$2:$B$5001,B3425),1,0))</f>
        <v/>
      </c>
      <c r="K3425" s="16" t="str">
        <f aca="false">IF(B3425="","",IF(AND(D3425="Formalização",E3425="Concluído"),IF(COUNTIFS($B$2:$B$5001,B3425,$E$2:$E$5001,"Em ajustes",$A$2:$A$5001,"&lt;"&amp;I3425)&gt;0,1,0),0))</f>
        <v/>
      </c>
      <c r="L3425" s="16" t="str">
        <f aca="false">IF(B3425="","",IF(A3425=_xlfn.MAXIFS($A$2:$A$5001,$B$2:$B$5001,B3425,$I$2:$I$5001,I3425),1,0))</f>
        <v/>
      </c>
    </row>
    <row r="3426" customFormat="false" ht="15" hidden="false" customHeight="false" outlineLevel="0" collapsed="false">
      <c r="I3426" s="15" t="str">
        <f aca="false">IF(A3426="","",INT(A3426))</f>
        <v/>
      </c>
      <c r="J3426" s="16" t="str">
        <f aca="false">IF(B3426="","",IF(A3426=_xlfn.MINIFS($A$2:$A$5001,$B$2:$B$5001,B3426),1,0))</f>
        <v/>
      </c>
      <c r="K3426" s="16" t="str">
        <f aca="false">IF(B3426="","",IF(AND(D3426="Formalização",E3426="Concluído"),IF(COUNTIFS($B$2:$B$5001,B3426,$E$2:$E$5001,"Em ajustes",$A$2:$A$5001,"&lt;"&amp;I3426)&gt;0,1,0),0))</f>
        <v/>
      </c>
      <c r="L3426" s="16" t="str">
        <f aca="false">IF(B3426="","",IF(A3426=_xlfn.MAXIFS($A$2:$A$5001,$B$2:$B$5001,B3426,$I$2:$I$5001,I3426),1,0))</f>
        <v/>
      </c>
    </row>
    <row r="3427" customFormat="false" ht="15" hidden="false" customHeight="false" outlineLevel="0" collapsed="false">
      <c r="I3427" s="15" t="str">
        <f aca="false">IF(A3427="","",INT(A3427))</f>
        <v/>
      </c>
      <c r="J3427" s="16" t="str">
        <f aca="false">IF(B3427="","",IF(A3427=_xlfn.MINIFS($A$2:$A$5001,$B$2:$B$5001,B3427),1,0))</f>
        <v/>
      </c>
      <c r="K3427" s="16" t="str">
        <f aca="false">IF(B3427="","",IF(AND(D3427="Formalização",E3427="Concluído"),IF(COUNTIFS($B$2:$B$5001,B3427,$E$2:$E$5001,"Em ajustes",$A$2:$A$5001,"&lt;"&amp;I3427)&gt;0,1,0),0))</f>
        <v/>
      </c>
      <c r="L3427" s="16" t="str">
        <f aca="false">IF(B3427="","",IF(A3427=_xlfn.MAXIFS($A$2:$A$5001,$B$2:$B$5001,B3427,$I$2:$I$5001,I3427),1,0))</f>
        <v/>
      </c>
    </row>
    <row r="3428" customFormat="false" ht="15" hidden="false" customHeight="false" outlineLevel="0" collapsed="false">
      <c r="I3428" s="15" t="str">
        <f aca="false">IF(A3428="","",INT(A3428))</f>
        <v/>
      </c>
      <c r="J3428" s="16" t="str">
        <f aca="false">IF(B3428="","",IF(A3428=_xlfn.MINIFS($A$2:$A$5001,$B$2:$B$5001,B3428),1,0))</f>
        <v/>
      </c>
      <c r="K3428" s="16" t="str">
        <f aca="false">IF(B3428="","",IF(AND(D3428="Formalização",E3428="Concluído"),IF(COUNTIFS($B$2:$B$5001,B3428,$E$2:$E$5001,"Em ajustes",$A$2:$A$5001,"&lt;"&amp;I3428)&gt;0,1,0),0))</f>
        <v/>
      </c>
      <c r="L3428" s="16" t="str">
        <f aca="false">IF(B3428="","",IF(A3428=_xlfn.MAXIFS($A$2:$A$5001,$B$2:$B$5001,B3428,$I$2:$I$5001,I3428),1,0))</f>
        <v/>
      </c>
    </row>
    <row r="3429" customFormat="false" ht="15" hidden="false" customHeight="false" outlineLevel="0" collapsed="false">
      <c r="I3429" s="15" t="str">
        <f aca="false">IF(A3429="","",INT(A3429))</f>
        <v/>
      </c>
      <c r="J3429" s="16" t="str">
        <f aca="false">IF(B3429="","",IF(A3429=_xlfn.MINIFS($A$2:$A$5001,$B$2:$B$5001,B3429),1,0))</f>
        <v/>
      </c>
      <c r="K3429" s="16" t="str">
        <f aca="false">IF(B3429="","",IF(AND(D3429="Formalização",E3429="Concluído"),IF(COUNTIFS($B$2:$B$5001,B3429,$E$2:$E$5001,"Em ajustes",$A$2:$A$5001,"&lt;"&amp;I3429)&gt;0,1,0),0))</f>
        <v/>
      </c>
      <c r="L3429" s="16" t="str">
        <f aca="false">IF(B3429="","",IF(A3429=_xlfn.MAXIFS($A$2:$A$5001,$B$2:$B$5001,B3429,$I$2:$I$5001,I3429),1,0))</f>
        <v/>
      </c>
    </row>
    <row r="3430" customFormat="false" ht="15" hidden="false" customHeight="false" outlineLevel="0" collapsed="false">
      <c r="I3430" s="15" t="str">
        <f aca="false">IF(A3430="","",INT(A3430))</f>
        <v/>
      </c>
      <c r="J3430" s="16" t="str">
        <f aca="false">IF(B3430="","",IF(A3430=_xlfn.MINIFS($A$2:$A$5001,$B$2:$B$5001,B3430),1,0))</f>
        <v/>
      </c>
      <c r="K3430" s="16" t="str">
        <f aca="false">IF(B3430="","",IF(AND(D3430="Formalização",E3430="Concluído"),IF(COUNTIFS($B$2:$B$5001,B3430,$E$2:$E$5001,"Em ajustes",$A$2:$A$5001,"&lt;"&amp;I3430)&gt;0,1,0),0))</f>
        <v/>
      </c>
      <c r="L3430" s="16" t="str">
        <f aca="false">IF(B3430="","",IF(A3430=_xlfn.MAXIFS($A$2:$A$5001,$B$2:$B$5001,B3430,$I$2:$I$5001,I3430),1,0))</f>
        <v/>
      </c>
    </row>
    <row r="3431" customFormat="false" ht="15" hidden="false" customHeight="false" outlineLevel="0" collapsed="false">
      <c r="I3431" s="15" t="str">
        <f aca="false">IF(A3431="","",INT(A3431))</f>
        <v/>
      </c>
      <c r="J3431" s="16" t="str">
        <f aca="false">IF(B3431="","",IF(A3431=_xlfn.MINIFS($A$2:$A$5001,$B$2:$B$5001,B3431),1,0))</f>
        <v/>
      </c>
      <c r="K3431" s="16" t="str">
        <f aca="false">IF(B3431="","",IF(AND(D3431="Formalização",E3431="Concluído"),IF(COUNTIFS($B$2:$B$5001,B3431,$E$2:$E$5001,"Em ajustes",$A$2:$A$5001,"&lt;"&amp;I3431)&gt;0,1,0),0))</f>
        <v/>
      </c>
      <c r="L3431" s="16" t="str">
        <f aca="false">IF(B3431="","",IF(A3431=_xlfn.MAXIFS($A$2:$A$5001,$B$2:$B$5001,B3431,$I$2:$I$5001,I3431),1,0))</f>
        <v/>
      </c>
    </row>
    <row r="3432" customFormat="false" ht="15" hidden="false" customHeight="false" outlineLevel="0" collapsed="false">
      <c r="I3432" s="15" t="str">
        <f aca="false">IF(A3432="","",INT(A3432))</f>
        <v/>
      </c>
      <c r="J3432" s="16" t="str">
        <f aca="false">IF(B3432="","",IF(A3432=_xlfn.MINIFS($A$2:$A$5001,$B$2:$B$5001,B3432),1,0))</f>
        <v/>
      </c>
      <c r="K3432" s="16" t="str">
        <f aca="false">IF(B3432="","",IF(AND(D3432="Formalização",E3432="Concluído"),IF(COUNTIFS($B$2:$B$5001,B3432,$E$2:$E$5001,"Em ajustes",$A$2:$A$5001,"&lt;"&amp;I3432)&gt;0,1,0),0))</f>
        <v/>
      </c>
      <c r="L3432" s="16" t="str">
        <f aca="false">IF(B3432="","",IF(A3432=_xlfn.MAXIFS($A$2:$A$5001,$B$2:$B$5001,B3432,$I$2:$I$5001,I3432),1,0))</f>
        <v/>
      </c>
    </row>
    <row r="3433" customFormat="false" ht="15" hidden="false" customHeight="false" outlineLevel="0" collapsed="false">
      <c r="I3433" s="15" t="str">
        <f aca="false">IF(A3433="","",INT(A3433))</f>
        <v/>
      </c>
      <c r="J3433" s="16" t="str">
        <f aca="false">IF(B3433="","",IF(A3433=_xlfn.MINIFS($A$2:$A$5001,$B$2:$B$5001,B3433),1,0))</f>
        <v/>
      </c>
      <c r="K3433" s="16" t="str">
        <f aca="false">IF(B3433="","",IF(AND(D3433="Formalização",E3433="Concluído"),IF(COUNTIFS($B$2:$B$5001,B3433,$E$2:$E$5001,"Em ajustes",$A$2:$A$5001,"&lt;"&amp;I3433)&gt;0,1,0),0))</f>
        <v/>
      </c>
      <c r="L3433" s="16" t="str">
        <f aca="false">IF(B3433="","",IF(A3433=_xlfn.MAXIFS($A$2:$A$5001,$B$2:$B$5001,B3433,$I$2:$I$5001,I3433),1,0))</f>
        <v/>
      </c>
    </row>
    <row r="3434" customFormat="false" ht="15" hidden="false" customHeight="false" outlineLevel="0" collapsed="false">
      <c r="I3434" s="15" t="str">
        <f aca="false">IF(A3434="","",INT(A3434))</f>
        <v/>
      </c>
      <c r="J3434" s="16" t="str">
        <f aca="false">IF(B3434="","",IF(A3434=_xlfn.MINIFS($A$2:$A$5001,$B$2:$B$5001,B3434),1,0))</f>
        <v/>
      </c>
      <c r="K3434" s="16" t="str">
        <f aca="false">IF(B3434="","",IF(AND(D3434="Formalização",E3434="Concluído"),IF(COUNTIFS($B$2:$B$5001,B3434,$E$2:$E$5001,"Em ajustes",$A$2:$A$5001,"&lt;"&amp;I3434)&gt;0,1,0),0))</f>
        <v/>
      </c>
      <c r="L3434" s="16" t="str">
        <f aca="false">IF(B3434="","",IF(A3434=_xlfn.MAXIFS($A$2:$A$5001,$B$2:$B$5001,B3434,$I$2:$I$5001,I3434),1,0))</f>
        <v/>
      </c>
    </row>
    <row r="3435" customFormat="false" ht="15" hidden="false" customHeight="false" outlineLevel="0" collapsed="false">
      <c r="I3435" s="15" t="str">
        <f aca="false">IF(A3435="","",INT(A3435))</f>
        <v/>
      </c>
      <c r="J3435" s="16" t="str">
        <f aca="false">IF(B3435="","",IF(A3435=_xlfn.MINIFS($A$2:$A$5001,$B$2:$B$5001,B3435),1,0))</f>
        <v/>
      </c>
      <c r="K3435" s="16" t="str">
        <f aca="false">IF(B3435="","",IF(AND(D3435="Formalização",E3435="Concluído"),IF(COUNTIFS($B$2:$B$5001,B3435,$E$2:$E$5001,"Em ajustes",$A$2:$A$5001,"&lt;"&amp;I3435)&gt;0,1,0),0))</f>
        <v/>
      </c>
      <c r="L3435" s="16" t="str">
        <f aca="false">IF(B3435="","",IF(A3435=_xlfn.MAXIFS($A$2:$A$5001,$B$2:$B$5001,B3435,$I$2:$I$5001,I3435),1,0))</f>
        <v/>
      </c>
    </row>
    <row r="3436" customFormat="false" ht="15" hidden="false" customHeight="false" outlineLevel="0" collapsed="false">
      <c r="I3436" s="15" t="str">
        <f aca="false">IF(A3436="","",INT(A3436))</f>
        <v/>
      </c>
      <c r="J3436" s="16" t="str">
        <f aca="false">IF(B3436="","",IF(A3436=_xlfn.MINIFS($A$2:$A$5001,$B$2:$B$5001,B3436),1,0))</f>
        <v/>
      </c>
      <c r="K3436" s="16" t="str">
        <f aca="false">IF(B3436="","",IF(AND(D3436="Formalização",E3436="Concluído"),IF(COUNTIFS($B$2:$B$5001,B3436,$E$2:$E$5001,"Em ajustes",$A$2:$A$5001,"&lt;"&amp;I3436)&gt;0,1,0),0))</f>
        <v/>
      </c>
      <c r="L3436" s="16" t="str">
        <f aca="false">IF(B3436="","",IF(A3436=_xlfn.MAXIFS($A$2:$A$5001,$B$2:$B$5001,B3436,$I$2:$I$5001,I3436),1,0))</f>
        <v/>
      </c>
    </row>
    <row r="3437" customFormat="false" ht="15" hidden="false" customHeight="false" outlineLevel="0" collapsed="false">
      <c r="I3437" s="15" t="str">
        <f aca="false">IF(A3437="","",INT(A3437))</f>
        <v/>
      </c>
      <c r="J3437" s="16" t="str">
        <f aca="false">IF(B3437="","",IF(A3437=_xlfn.MINIFS($A$2:$A$5001,$B$2:$B$5001,B3437),1,0))</f>
        <v/>
      </c>
      <c r="K3437" s="16" t="str">
        <f aca="false">IF(B3437="","",IF(AND(D3437="Formalização",E3437="Concluído"),IF(COUNTIFS($B$2:$B$5001,B3437,$E$2:$E$5001,"Em ajustes",$A$2:$A$5001,"&lt;"&amp;I3437)&gt;0,1,0),0))</f>
        <v/>
      </c>
      <c r="L3437" s="16" t="str">
        <f aca="false">IF(B3437="","",IF(A3437=_xlfn.MAXIFS($A$2:$A$5001,$B$2:$B$5001,B3437,$I$2:$I$5001,I3437),1,0))</f>
        <v/>
      </c>
    </row>
    <row r="3438" customFormat="false" ht="15" hidden="false" customHeight="false" outlineLevel="0" collapsed="false">
      <c r="I3438" s="15" t="str">
        <f aca="false">IF(A3438="","",INT(A3438))</f>
        <v/>
      </c>
      <c r="J3438" s="16" t="str">
        <f aca="false">IF(B3438="","",IF(A3438=_xlfn.MINIFS($A$2:$A$5001,$B$2:$B$5001,B3438),1,0))</f>
        <v/>
      </c>
      <c r="K3438" s="16" t="str">
        <f aca="false">IF(B3438="","",IF(AND(D3438="Formalização",E3438="Concluído"),IF(COUNTIFS($B$2:$B$5001,B3438,$E$2:$E$5001,"Em ajustes",$A$2:$A$5001,"&lt;"&amp;I3438)&gt;0,1,0),0))</f>
        <v/>
      </c>
      <c r="L3438" s="16" t="str">
        <f aca="false">IF(B3438="","",IF(A3438=_xlfn.MAXIFS($A$2:$A$5001,$B$2:$B$5001,B3438,$I$2:$I$5001,I3438),1,0))</f>
        <v/>
      </c>
    </row>
    <row r="3439" customFormat="false" ht="15" hidden="false" customHeight="false" outlineLevel="0" collapsed="false">
      <c r="I3439" s="15" t="str">
        <f aca="false">IF(A3439="","",INT(A3439))</f>
        <v/>
      </c>
      <c r="J3439" s="16" t="str">
        <f aca="false">IF(B3439="","",IF(A3439=_xlfn.MINIFS($A$2:$A$5001,$B$2:$B$5001,B3439),1,0))</f>
        <v/>
      </c>
      <c r="K3439" s="16" t="str">
        <f aca="false">IF(B3439="","",IF(AND(D3439="Formalização",E3439="Concluído"),IF(COUNTIFS($B$2:$B$5001,B3439,$E$2:$E$5001,"Em ajustes",$A$2:$A$5001,"&lt;"&amp;I3439)&gt;0,1,0),0))</f>
        <v/>
      </c>
      <c r="L3439" s="16" t="str">
        <f aca="false">IF(B3439="","",IF(A3439=_xlfn.MAXIFS($A$2:$A$5001,$B$2:$B$5001,B3439,$I$2:$I$5001,I3439),1,0))</f>
        <v/>
      </c>
    </row>
    <row r="3440" customFormat="false" ht="15" hidden="false" customHeight="false" outlineLevel="0" collapsed="false">
      <c r="I3440" s="15" t="str">
        <f aca="false">IF(A3440="","",INT(A3440))</f>
        <v/>
      </c>
      <c r="J3440" s="16" t="str">
        <f aca="false">IF(B3440="","",IF(A3440=_xlfn.MINIFS($A$2:$A$5001,$B$2:$B$5001,B3440),1,0))</f>
        <v/>
      </c>
      <c r="K3440" s="16" t="str">
        <f aca="false">IF(B3440="","",IF(AND(D3440="Formalização",E3440="Concluído"),IF(COUNTIFS($B$2:$B$5001,B3440,$E$2:$E$5001,"Em ajustes",$A$2:$A$5001,"&lt;"&amp;I3440)&gt;0,1,0),0))</f>
        <v/>
      </c>
      <c r="L3440" s="16" t="str">
        <f aca="false">IF(B3440="","",IF(A3440=_xlfn.MAXIFS($A$2:$A$5001,$B$2:$B$5001,B3440,$I$2:$I$5001,I3440),1,0))</f>
        <v/>
      </c>
    </row>
    <row r="3441" customFormat="false" ht="15" hidden="false" customHeight="false" outlineLevel="0" collapsed="false">
      <c r="I3441" s="15" t="str">
        <f aca="false">IF(A3441="","",INT(A3441))</f>
        <v/>
      </c>
      <c r="J3441" s="16" t="str">
        <f aca="false">IF(B3441="","",IF(A3441=_xlfn.MINIFS($A$2:$A$5001,$B$2:$B$5001,B3441),1,0))</f>
        <v/>
      </c>
      <c r="K3441" s="16" t="str">
        <f aca="false">IF(B3441="","",IF(AND(D3441="Formalização",E3441="Concluído"),IF(COUNTIFS($B$2:$B$5001,B3441,$E$2:$E$5001,"Em ajustes",$A$2:$A$5001,"&lt;"&amp;I3441)&gt;0,1,0),0))</f>
        <v/>
      </c>
      <c r="L3441" s="16" t="str">
        <f aca="false">IF(B3441="","",IF(A3441=_xlfn.MAXIFS($A$2:$A$5001,$B$2:$B$5001,B3441,$I$2:$I$5001,I3441),1,0))</f>
        <v/>
      </c>
    </row>
    <row r="3442" customFormat="false" ht="15" hidden="false" customHeight="false" outlineLevel="0" collapsed="false">
      <c r="I3442" s="15" t="str">
        <f aca="false">IF(A3442="","",INT(A3442))</f>
        <v/>
      </c>
      <c r="J3442" s="16" t="str">
        <f aca="false">IF(B3442="","",IF(A3442=_xlfn.MINIFS($A$2:$A$5001,$B$2:$B$5001,B3442),1,0))</f>
        <v/>
      </c>
      <c r="K3442" s="16" t="str">
        <f aca="false">IF(B3442="","",IF(AND(D3442="Formalização",E3442="Concluído"),IF(COUNTIFS($B$2:$B$5001,B3442,$E$2:$E$5001,"Em ajustes",$A$2:$A$5001,"&lt;"&amp;I3442)&gt;0,1,0),0))</f>
        <v/>
      </c>
      <c r="L3442" s="16" t="str">
        <f aca="false">IF(B3442="","",IF(A3442=_xlfn.MAXIFS($A$2:$A$5001,$B$2:$B$5001,B3442,$I$2:$I$5001,I3442),1,0))</f>
        <v/>
      </c>
    </row>
    <row r="3443" customFormat="false" ht="15" hidden="false" customHeight="false" outlineLevel="0" collapsed="false">
      <c r="I3443" s="15" t="str">
        <f aca="false">IF(A3443="","",INT(A3443))</f>
        <v/>
      </c>
      <c r="J3443" s="16" t="str">
        <f aca="false">IF(B3443="","",IF(A3443=_xlfn.MINIFS($A$2:$A$5001,$B$2:$B$5001,B3443),1,0))</f>
        <v/>
      </c>
      <c r="K3443" s="16" t="str">
        <f aca="false">IF(B3443="","",IF(AND(D3443="Formalização",E3443="Concluído"),IF(COUNTIFS($B$2:$B$5001,B3443,$E$2:$E$5001,"Em ajustes",$A$2:$A$5001,"&lt;"&amp;I3443)&gt;0,1,0),0))</f>
        <v/>
      </c>
      <c r="L3443" s="16" t="str">
        <f aca="false">IF(B3443="","",IF(A3443=_xlfn.MAXIFS($A$2:$A$5001,$B$2:$B$5001,B3443,$I$2:$I$5001,I3443),1,0))</f>
        <v/>
      </c>
    </row>
    <row r="3444" customFormat="false" ht="15" hidden="false" customHeight="false" outlineLevel="0" collapsed="false">
      <c r="I3444" s="15" t="str">
        <f aca="false">IF(A3444="","",INT(A3444))</f>
        <v/>
      </c>
      <c r="J3444" s="16" t="str">
        <f aca="false">IF(B3444="","",IF(A3444=_xlfn.MINIFS($A$2:$A$5001,$B$2:$B$5001,B3444),1,0))</f>
        <v/>
      </c>
      <c r="K3444" s="16" t="str">
        <f aca="false">IF(B3444="","",IF(AND(D3444="Formalização",E3444="Concluído"),IF(COUNTIFS($B$2:$B$5001,B3444,$E$2:$E$5001,"Em ajustes",$A$2:$A$5001,"&lt;"&amp;I3444)&gt;0,1,0),0))</f>
        <v/>
      </c>
      <c r="L3444" s="16" t="str">
        <f aca="false">IF(B3444="","",IF(A3444=_xlfn.MAXIFS($A$2:$A$5001,$B$2:$B$5001,B3444,$I$2:$I$5001,I3444),1,0))</f>
        <v/>
      </c>
    </row>
    <row r="3445" customFormat="false" ht="15" hidden="false" customHeight="false" outlineLevel="0" collapsed="false">
      <c r="I3445" s="15" t="str">
        <f aca="false">IF(A3445="","",INT(A3445))</f>
        <v/>
      </c>
      <c r="J3445" s="16" t="str">
        <f aca="false">IF(B3445="","",IF(A3445=_xlfn.MINIFS($A$2:$A$5001,$B$2:$B$5001,B3445),1,0))</f>
        <v/>
      </c>
      <c r="K3445" s="16" t="str">
        <f aca="false">IF(B3445="","",IF(AND(D3445="Formalização",E3445="Concluído"),IF(COUNTIFS($B$2:$B$5001,B3445,$E$2:$E$5001,"Em ajustes",$A$2:$A$5001,"&lt;"&amp;I3445)&gt;0,1,0),0))</f>
        <v/>
      </c>
      <c r="L3445" s="16" t="str">
        <f aca="false">IF(B3445="","",IF(A3445=_xlfn.MAXIFS($A$2:$A$5001,$B$2:$B$5001,B3445,$I$2:$I$5001,I3445),1,0))</f>
        <v/>
      </c>
    </row>
    <row r="3446" customFormat="false" ht="15" hidden="false" customHeight="false" outlineLevel="0" collapsed="false">
      <c r="I3446" s="15" t="str">
        <f aca="false">IF(A3446="","",INT(A3446))</f>
        <v/>
      </c>
      <c r="J3446" s="16" t="str">
        <f aca="false">IF(B3446="","",IF(A3446=_xlfn.MINIFS($A$2:$A$5001,$B$2:$B$5001,B3446),1,0))</f>
        <v/>
      </c>
      <c r="K3446" s="16" t="str">
        <f aca="false">IF(B3446="","",IF(AND(D3446="Formalização",E3446="Concluído"),IF(COUNTIFS($B$2:$B$5001,B3446,$E$2:$E$5001,"Em ajustes",$A$2:$A$5001,"&lt;"&amp;I3446)&gt;0,1,0),0))</f>
        <v/>
      </c>
      <c r="L3446" s="16" t="str">
        <f aca="false">IF(B3446="","",IF(A3446=_xlfn.MAXIFS($A$2:$A$5001,$B$2:$B$5001,B3446,$I$2:$I$5001,I3446),1,0))</f>
        <v/>
      </c>
    </row>
    <row r="3447" customFormat="false" ht="15" hidden="false" customHeight="false" outlineLevel="0" collapsed="false">
      <c r="I3447" s="15" t="str">
        <f aca="false">IF(A3447="","",INT(A3447))</f>
        <v/>
      </c>
      <c r="J3447" s="16" t="str">
        <f aca="false">IF(B3447="","",IF(A3447=_xlfn.MINIFS($A$2:$A$5001,$B$2:$B$5001,B3447),1,0))</f>
        <v/>
      </c>
      <c r="K3447" s="16" t="str">
        <f aca="false">IF(B3447="","",IF(AND(D3447="Formalização",E3447="Concluído"),IF(COUNTIFS($B$2:$B$5001,B3447,$E$2:$E$5001,"Em ajustes",$A$2:$A$5001,"&lt;"&amp;I3447)&gt;0,1,0),0))</f>
        <v/>
      </c>
      <c r="L3447" s="16" t="str">
        <f aca="false">IF(B3447="","",IF(A3447=_xlfn.MAXIFS($A$2:$A$5001,$B$2:$B$5001,B3447,$I$2:$I$5001,I3447),1,0))</f>
        <v/>
      </c>
    </row>
    <row r="3448" customFormat="false" ht="15" hidden="false" customHeight="false" outlineLevel="0" collapsed="false">
      <c r="I3448" s="15" t="str">
        <f aca="false">IF(A3448="","",INT(A3448))</f>
        <v/>
      </c>
      <c r="J3448" s="16" t="str">
        <f aca="false">IF(B3448="","",IF(A3448=_xlfn.MINIFS($A$2:$A$5001,$B$2:$B$5001,B3448),1,0))</f>
        <v/>
      </c>
      <c r="K3448" s="16" t="str">
        <f aca="false">IF(B3448="","",IF(AND(D3448="Formalização",E3448="Concluído"),IF(COUNTIFS($B$2:$B$5001,B3448,$E$2:$E$5001,"Em ajustes",$A$2:$A$5001,"&lt;"&amp;I3448)&gt;0,1,0),0))</f>
        <v/>
      </c>
      <c r="L3448" s="16" t="str">
        <f aca="false">IF(B3448="","",IF(A3448=_xlfn.MAXIFS($A$2:$A$5001,$B$2:$B$5001,B3448,$I$2:$I$5001,I3448),1,0))</f>
        <v/>
      </c>
    </row>
    <row r="3449" customFormat="false" ht="15" hidden="false" customHeight="false" outlineLevel="0" collapsed="false">
      <c r="I3449" s="15" t="str">
        <f aca="false">IF(A3449="","",INT(A3449))</f>
        <v/>
      </c>
      <c r="J3449" s="16" t="str">
        <f aca="false">IF(B3449="","",IF(A3449=_xlfn.MINIFS($A$2:$A$5001,$B$2:$B$5001,B3449),1,0))</f>
        <v/>
      </c>
      <c r="K3449" s="16" t="str">
        <f aca="false">IF(B3449="","",IF(AND(D3449="Formalização",E3449="Concluído"),IF(COUNTIFS($B$2:$B$5001,B3449,$E$2:$E$5001,"Em ajustes",$A$2:$A$5001,"&lt;"&amp;I3449)&gt;0,1,0),0))</f>
        <v/>
      </c>
      <c r="L3449" s="16" t="str">
        <f aca="false">IF(B3449="","",IF(A3449=_xlfn.MAXIFS($A$2:$A$5001,$B$2:$B$5001,B3449,$I$2:$I$5001,I3449),1,0))</f>
        <v/>
      </c>
    </row>
    <row r="3450" customFormat="false" ht="15" hidden="false" customHeight="false" outlineLevel="0" collapsed="false">
      <c r="I3450" s="15" t="str">
        <f aca="false">IF(A3450="","",INT(A3450))</f>
        <v/>
      </c>
      <c r="J3450" s="16" t="str">
        <f aca="false">IF(B3450="","",IF(A3450=_xlfn.MINIFS($A$2:$A$5001,$B$2:$B$5001,B3450),1,0))</f>
        <v/>
      </c>
      <c r="K3450" s="16" t="str">
        <f aca="false">IF(B3450="","",IF(AND(D3450="Formalização",E3450="Concluído"),IF(COUNTIFS($B$2:$B$5001,B3450,$E$2:$E$5001,"Em ajustes",$A$2:$A$5001,"&lt;"&amp;I3450)&gt;0,1,0),0))</f>
        <v/>
      </c>
      <c r="L3450" s="16" t="str">
        <f aca="false">IF(B3450="","",IF(A3450=_xlfn.MAXIFS($A$2:$A$5001,$B$2:$B$5001,B3450,$I$2:$I$5001,I3450),1,0))</f>
        <v/>
      </c>
    </row>
    <row r="3451" customFormat="false" ht="15" hidden="false" customHeight="false" outlineLevel="0" collapsed="false">
      <c r="I3451" s="15" t="str">
        <f aca="false">IF(A3451="","",INT(A3451))</f>
        <v/>
      </c>
      <c r="J3451" s="16" t="str">
        <f aca="false">IF(B3451="","",IF(A3451=_xlfn.MINIFS($A$2:$A$5001,$B$2:$B$5001,B3451),1,0))</f>
        <v/>
      </c>
      <c r="K3451" s="16" t="str">
        <f aca="false">IF(B3451="","",IF(AND(D3451="Formalização",E3451="Concluído"),IF(COUNTIFS($B$2:$B$5001,B3451,$E$2:$E$5001,"Em ajustes",$A$2:$A$5001,"&lt;"&amp;I3451)&gt;0,1,0),0))</f>
        <v/>
      </c>
      <c r="L3451" s="16" t="str">
        <f aca="false">IF(B3451="","",IF(A3451=_xlfn.MAXIFS($A$2:$A$5001,$B$2:$B$5001,B3451,$I$2:$I$5001,I3451),1,0))</f>
        <v/>
      </c>
    </row>
    <row r="3452" customFormat="false" ht="15" hidden="false" customHeight="false" outlineLevel="0" collapsed="false">
      <c r="I3452" s="15" t="str">
        <f aca="false">IF(A3452="","",INT(A3452))</f>
        <v/>
      </c>
      <c r="J3452" s="16" t="str">
        <f aca="false">IF(B3452="","",IF(A3452=_xlfn.MINIFS($A$2:$A$5001,$B$2:$B$5001,B3452),1,0))</f>
        <v/>
      </c>
      <c r="K3452" s="16" t="str">
        <f aca="false">IF(B3452="","",IF(AND(D3452="Formalização",E3452="Concluído"),IF(COUNTIFS($B$2:$B$5001,B3452,$E$2:$E$5001,"Em ajustes",$A$2:$A$5001,"&lt;"&amp;I3452)&gt;0,1,0),0))</f>
        <v/>
      </c>
      <c r="L3452" s="16" t="str">
        <f aca="false">IF(B3452="","",IF(A3452=_xlfn.MAXIFS($A$2:$A$5001,$B$2:$B$5001,B3452,$I$2:$I$5001,I3452),1,0))</f>
        <v/>
      </c>
    </row>
    <row r="3453" customFormat="false" ht="15" hidden="false" customHeight="false" outlineLevel="0" collapsed="false">
      <c r="I3453" s="15" t="str">
        <f aca="false">IF(A3453="","",INT(A3453))</f>
        <v/>
      </c>
      <c r="J3453" s="16" t="str">
        <f aca="false">IF(B3453="","",IF(A3453=_xlfn.MINIFS($A$2:$A$5001,$B$2:$B$5001,B3453),1,0))</f>
        <v/>
      </c>
      <c r="K3453" s="16" t="str">
        <f aca="false">IF(B3453="","",IF(AND(D3453="Formalização",E3453="Concluído"),IF(COUNTIFS($B$2:$B$5001,B3453,$E$2:$E$5001,"Em ajustes",$A$2:$A$5001,"&lt;"&amp;I3453)&gt;0,1,0),0))</f>
        <v/>
      </c>
      <c r="L3453" s="16" t="str">
        <f aca="false">IF(B3453="","",IF(A3453=_xlfn.MAXIFS($A$2:$A$5001,$B$2:$B$5001,B3453,$I$2:$I$5001,I3453),1,0))</f>
        <v/>
      </c>
    </row>
    <row r="3454" customFormat="false" ht="15" hidden="false" customHeight="false" outlineLevel="0" collapsed="false">
      <c r="I3454" s="15" t="str">
        <f aca="false">IF(A3454="","",INT(A3454))</f>
        <v/>
      </c>
      <c r="J3454" s="16" t="str">
        <f aca="false">IF(B3454="","",IF(A3454=_xlfn.MINIFS($A$2:$A$5001,$B$2:$B$5001,B3454),1,0))</f>
        <v/>
      </c>
      <c r="K3454" s="16" t="str">
        <f aca="false">IF(B3454="","",IF(AND(D3454="Formalização",E3454="Concluído"),IF(COUNTIFS($B$2:$B$5001,B3454,$E$2:$E$5001,"Em ajustes",$A$2:$A$5001,"&lt;"&amp;I3454)&gt;0,1,0),0))</f>
        <v/>
      </c>
      <c r="L3454" s="16" t="str">
        <f aca="false">IF(B3454="","",IF(A3454=_xlfn.MAXIFS($A$2:$A$5001,$B$2:$B$5001,B3454,$I$2:$I$5001,I3454),1,0))</f>
        <v/>
      </c>
    </row>
    <row r="3455" customFormat="false" ht="15" hidden="false" customHeight="false" outlineLevel="0" collapsed="false">
      <c r="I3455" s="15" t="str">
        <f aca="false">IF(A3455="","",INT(A3455))</f>
        <v/>
      </c>
      <c r="J3455" s="16" t="str">
        <f aca="false">IF(B3455="","",IF(A3455=_xlfn.MINIFS($A$2:$A$5001,$B$2:$B$5001,B3455),1,0))</f>
        <v/>
      </c>
      <c r="K3455" s="16" t="str">
        <f aca="false">IF(B3455="","",IF(AND(D3455="Formalização",E3455="Concluído"),IF(COUNTIFS($B$2:$B$5001,B3455,$E$2:$E$5001,"Em ajustes",$A$2:$A$5001,"&lt;"&amp;I3455)&gt;0,1,0),0))</f>
        <v/>
      </c>
      <c r="L3455" s="16" t="str">
        <f aca="false">IF(B3455="","",IF(A3455=_xlfn.MAXIFS($A$2:$A$5001,$B$2:$B$5001,B3455,$I$2:$I$5001,I3455),1,0))</f>
        <v/>
      </c>
    </row>
    <row r="3456" customFormat="false" ht="15" hidden="false" customHeight="false" outlineLevel="0" collapsed="false">
      <c r="I3456" s="15" t="str">
        <f aca="false">IF(A3456="","",INT(A3456))</f>
        <v/>
      </c>
      <c r="J3456" s="16" t="str">
        <f aca="false">IF(B3456="","",IF(A3456=_xlfn.MINIFS($A$2:$A$5001,$B$2:$B$5001,B3456),1,0))</f>
        <v/>
      </c>
      <c r="K3456" s="16" t="str">
        <f aca="false">IF(B3456="","",IF(AND(D3456="Formalização",E3456="Concluído"),IF(COUNTIFS($B$2:$B$5001,B3456,$E$2:$E$5001,"Em ajustes",$A$2:$A$5001,"&lt;"&amp;I3456)&gt;0,1,0),0))</f>
        <v/>
      </c>
      <c r="L3456" s="16" t="str">
        <f aca="false">IF(B3456="","",IF(A3456=_xlfn.MAXIFS($A$2:$A$5001,$B$2:$B$5001,B3456,$I$2:$I$5001,I3456),1,0))</f>
        <v/>
      </c>
    </row>
    <row r="3457" customFormat="false" ht="15" hidden="false" customHeight="false" outlineLevel="0" collapsed="false">
      <c r="I3457" s="15" t="str">
        <f aca="false">IF(A3457="","",INT(A3457))</f>
        <v/>
      </c>
      <c r="J3457" s="16" t="str">
        <f aca="false">IF(B3457="","",IF(A3457=_xlfn.MINIFS($A$2:$A$5001,$B$2:$B$5001,B3457),1,0))</f>
        <v/>
      </c>
      <c r="K3457" s="16" t="str">
        <f aca="false">IF(B3457="","",IF(AND(D3457="Formalização",E3457="Concluído"),IF(COUNTIFS($B$2:$B$5001,B3457,$E$2:$E$5001,"Em ajustes",$A$2:$A$5001,"&lt;"&amp;I3457)&gt;0,1,0),0))</f>
        <v/>
      </c>
      <c r="L3457" s="16" t="str">
        <f aca="false">IF(B3457="","",IF(A3457=_xlfn.MAXIFS($A$2:$A$5001,$B$2:$B$5001,B3457,$I$2:$I$5001,I3457),1,0))</f>
        <v/>
      </c>
    </row>
    <row r="3458" customFormat="false" ht="15" hidden="false" customHeight="false" outlineLevel="0" collapsed="false">
      <c r="I3458" s="15" t="str">
        <f aca="false">IF(A3458="","",INT(A3458))</f>
        <v/>
      </c>
      <c r="J3458" s="16" t="str">
        <f aca="false">IF(B3458="","",IF(A3458=_xlfn.MINIFS($A$2:$A$5001,$B$2:$B$5001,B3458),1,0))</f>
        <v/>
      </c>
      <c r="K3458" s="16" t="str">
        <f aca="false">IF(B3458="","",IF(AND(D3458="Formalização",E3458="Concluído"),IF(COUNTIFS($B$2:$B$5001,B3458,$E$2:$E$5001,"Em ajustes",$A$2:$A$5001,"&lt;"&amp;I3458)&gt;0,1,0),0))</f>
        <v/>
      </c>
      <c r="L3458" s="16" t="str">
        <f aca="false">IF(B3458="","",IF(A3458=_xlfn.MAXIFS($A$2:$A$5001,$B$2:$B$5001,B3458,$I$2:$I$5001,I3458),1,0))</f>
        <v/>
      </c>
    </row>
    <row r="3459" customFormat="false" ht="15" hidden="false" customHeight="false" outlineLevel="0" collapsed="false">
      <c r="I3459" s="15" t="str">
        <f aca="false">IF(A3459="","",INT(A3459))</f>
        <v/>
      </c>
      <c r="J3459" s="16" t="str">
        <f aca="false">IF(B3459="","",IF(A3459=_xlfn.MINIFS($A$2:$A$5001,$B$2:$B$5001,B3459),1,0))</f>
        <v/>
      </c>
      <c r="K3459" s="16" t="str">
        <f aca="false">IF(B3459="","",IF(AND(D3459="Formalização",E3459="Concluído"),IF(COUNTIFS($B$2:$B$5001,B3459,$E$2:$E$5001,"Em ajustes",$A$2:$A$5001,"&lt;"&amp;I3459)&gt;0,1,0),0))</f>
        <v/>
      </c>
      <c r="L3459" s="16" t="str">
        <f aca="false">IF(B3459="","",IF(A3459=_xlfn.MAXIFS($A$2:$A$5001,$B$2:$B$5001,B3459,$I$2:$I$5001,I3459),1,0))</f>
        <v/>
      </c>
    </row>
    <row r="3460" customFormat="false" ht="15" hidden="false" customHeight="false" outlineLevel="0" collapsed="false">
      <c r="I3460" s="15" t="str">
        <f aca="false">IF(A3460="","",INT(A3460))</f>
        <v/>
      </c>
      <c r="J3460" s="16" t="str">
        <f aca="false">IF(B3460="","",IF(A3460=_xlfn.MINIFS($A$2:$A$5001,$B$2:$B$5001,B3460),1,0))</f>
        <v/>
      </c>
      <c r="K3460" s="16" t="str">
        <f aca="false">IF(B3460="","",IF(AND(D3460="Formalização",E3460="Concluído"),IF(COUNTIFS($B$2:$B$5001,B3460,$E$2:$E$5001,"Em ajustes",$A$2:$A$5001,"&lt;"&amp;I3460)&gt;0,1,0),0))</f>
        <v/>
      </c>
      <c r="L3460" s="16" t="str">
        <f aca="false">IF(B3460="","",IF(A3460=_xlfn.MAXIFS($A$2:$A$5001,$B$2:$B$5001,B3460,$I$2:$I$5001,I3460),1,0))</f>
        <v/>
      </c>
    </row>
    <row r="3461" customFormat="false" ht="15" hidden="false" customHeight="false" outlineLevel="0" collapsed="false">
      <c r="I3461" s="15" t="str">
        <f aca="false">IF(A3461="","",INT(A3461))</f>
        <v/>
      </c>
      <c r="J3461" s="16" t="str">
        <f aca="false">IF(B3461="","",IF(A3461=_xlfn.MINIFS($A$2:$A$5001,$B$2:$B$5001,B3461),1,0))</f>
        <v/>
      </c>
      <c r="K3461" s="16" t="str">
        <f aca="false">IF(B3461="","",IF(AND(D3461="Formalização",E3461="Concluído"),IF(COUNTIFS($B$2:$B$5001,B3461,$E$2:$E$5001,"Em ajustes",$A$2:$A$5001,"&lt;"&amp;I3461)&gt;0,1,0),0))</f>
        <v/>
      </c>
      <c r="L3461" s="16" t="str">
        <f aca="false">IF(B3461="","",IF(A3461=_xlfn.MAXIFS($A$2:$A$5001,$B$2:$B$5001,B3461,$I$2:$I$5001,I3461),1,0))</f>
        <v/>
      </c>
    </row>
    <row r="3462" customFormat="false" ht="15" hidden="false" customHeight="false" outlineLevel="0" collapsed="false">
      <c r="I3462" s="15" t="str">
        <f aca="false">IF(A3462="","",INT(A3462))</f>
        <v/>
      </c>
      <c r="J3462" s="16" t="str">
        <f aca="false">IF(B3462="","",IF(A3462=_xlfn.MINIFS($A$2:$A$5001,$B$2:$B$5001,B3462),1,0))</f>
        <v/>
      </c>
      <c r="K3462" s="16" t="str">
        <f aca="false">IF(B3462="","",IF(AND(D3462="Formalização",E3462="Concluído"),IF(COUNTIFS($B$2:$B$5001,B3462,$E$2:$E$5001,"Em ajustes",$A$2:$A$5001,"&lt;"&amp;I3462)&gt;0,1,0),0))</f>
        <v/>
      </c>
      <c r="L3462" s="16" t="str">
        <f aca="false">IF(B3462="","",IF(A3462=_xlfn.MAXIFS($A$2:$A$5001,$B$2:$B$5001,B3462,$I$2:$I$5001,I3462),1,0))</f>
        <v/>
      </c>
    </row>
    <row r="3463" customFormat="false" ht="15" hidden="false" customHeight="false" outlineLevel="0" collapsed="false">
      <c r="I3463" s="15" t="str">
        <f aca="false">IF(A3463="","",INT(A3463))</f>
        <v/>
      </c>
      <c r="J3463" s="16" t="str">
        <f aca="false">IF(B3463="","",IF(A3463=_xlfn.MINIFS($A$2:$A$5001,$B$2:$B$5001,B3463),1,0))</f>
        <v/>
      </c>
      <c r="K3463" s="16" t="str">
        <f aca="false">IF(B3463="","",IF(AND(D3463="Formalização",E3463="Concluído"),IF(COUNTIFS($B$2:$B$5001,B3463,$E$2:$E$5001,"Em ajustes",$A$2:$A$5001,"&lt;"&amp;I3463)&gt;0,1,0),0))</f>
        <v/>
      </c>
      <c r="L3463" s="16" t="str">
        <f aca="false">IF(B3463="","",IF(A3463=_xlfn.MAXIFS($A$2:$A$5001,$B$2:$B$5001,B3463,$I$2:$I$5001,I3463),1,0))</f>
        <v/>
      </c>
    </row>
    <row r="3464" customFormat="false" ht="15" hidden="false" customHeight="false" outlineLevel="0" collapsed="false">
      <c r="I3464" s="15" t="str">
        <f aca="false">IF(A3464="","",INT(A3464))</f>
        <v/>
      </c>
      <c r="J3464" s="16" t="str">
        <f aca="false">IF(B3464="","",IF(A3464=_xlfn.MINIFS($A$2:$A$5001,$B$2:$B$5001,B3464),1,0))</f>
        <v/>
      </c>
      <c r="K3464" s="16" t="str">
        <f aca="false">IF(B3464="","",IF(AND(D3464="Formalização",E3464="Concluído"),IF(COUNTIFS($B$2:$B$5001,B3464,$E$2:$E$5001,"Em ajustes",$A$2:$A$5001,"&lt;"&amp;I3464)&gt;0,1,0),0))</f>
        <v/>
      </c>
      <c r="L3464" s="16" t="str">
        <f aca="false">IF(B3464="","",IF(A3464=_xlfn.MAXIFS($A$2:$A$5001,$B$2:$B$5001,B3464,$I$2:$I$5001,I3464),1,0))</f>
        <v/>
      </c>
    </row>
    <row r="3465" customFormat="false" ht="15" hidden="false" customHeight="false" outlineLevel="0" collapsed="false">
      <c r="I3465" s="15" t="str">
        <f aca="false">IF(A3465="","",INT(A3465))</f>
        <v/>
      </c>
      <c r="J3465" s="16" t="str">
        <f aca="false">IF(B3465="","",IF(A3465=_xlfn.MINIFS($A$2:$A$5001,$B$2:$B$5001,B3465),1,0))</f>
        <v/>
      </c>
      <c r="K3465" s="16" t="str">
        <f aca="false">IF(B3465="","",IF(AND(D3465="Formalização",E3465="Concluído"),IF(COUNTIFS($B$2:$B$5001,B3465,$E$2:$E$5001,"Em ajustes",$A$2:$A$5001,"&lt;"&amp;I3465)&gt;0,1,0),0))</f>
        <v/>
      </c>
      <c r="L3465" s="16" t="str">
        <f aca="false">IF(B3465="","",IF(A3465=_xlfn.MAXIFS($A$2:$A$5001,$B$2:$B$5001,B3465,$I$2:$I$5001,I3465),1,0))</f>
        <v/>
      </c>
    </row>
    <row r="3466" customFormat="false" ht="15" hidden="false" customHeight="false" outlineLevel="0" collapsed="false">
      <c r="I3466" s="15" t="str">
        <f aca="false">IF(A3466="","",INT(A3466))</f>
        <v/>
      </c>
      <c r="J3466" s="16" t="str">
        <f aca="false">IF(B3466="","",IF(A3466=_xlfn.MINIFS($A$2:$A$5001,$B$2:$B$5001,B3466),1,0))</f>
        <v/>
      </c>
      <c r="K3466" s="16" t="str">
        <f aca="false">IF(B3466="","",IF(AND(D3466="Formalização",E3466="Concluído"),IF(COUNTIFS($B$2:$B$5001,B3466,$E$2:$E$5001,"Em ajustes",$A$2:$A$5001,"&lt;"&amp;I3466)&gt;0,1,0),0))</f>
        <v/>
      </c>
      <c r="L3466" s="16" t="str">
        <f aca="false">IF(B3466="","",IF(A3466=_xlfn.MAXIFS($A$2:$A$5001,$B$2:$B$5001,B3466,$I$2:$I$5001,I3466),1,0))</f>
        <v/>
      </c>
    </row>
    <row r="3467" customFormat="false" ht="15" hidden="false" customHeight="false" outlineLevel="0" collapsed="false">
      <c r="I3467" s="15" t="str">
        <f aca="false">IF(A3467="","",INT(A3467))</f>
        <v/>
      </c>
      <c r="J3467" s="16" t="str">
        <f aca="false">IF(B3467="","",IF(A3467=_xlfn.MINIFS($A$2:$A$5001,$B$2:$B$5001,B3467),1,0))</f>
        <v/>
      </c>
      <c r="K3467" s="16" t="str">
        <f aca="false">IF(B3467="","",IF(AND(D3467="Formalização",E3467="Concluído"),IF(COUNTIFS($B$2:$B$5001,B3467,$E$2:$E$5001,"Em ajustes",$A$2:$A$5001,"&lt;"&amp;I3467)&gt;0,1,0),0))</f>
        <v/>
      </c>
      <c r="L3467" s="16" t="str">
        <f aca="false">IF(B3467="","",IF(A3467=_xlfn.MAXIFS($A$2:$A$5001,$B$2:$B$5001,B3467,$I$2:$I$5001,I3467),1,0))</f>
        <v/>
      </c>
    </row>
    <row r="3468" customFormat="false" ht="15" hidden="false" customHeight="false" outlineLevel="0" collapsed="false">
      <c r="I3468" s="15" t="str">
        <f aca="false">IF(A3468="","",INT(A3468))</f>
        <v/>
      </c>
      <c r="J3468" s="16" t="str">
        <f aca="false">IF(B3468="","",IF(A3468=_xlfn.MINIFS($A$2:$A$5001,$B$2:$B$5001,B3468),1,0))</f>
        <v/>
      </c>
      <c r="K3468" s="16" t="str">
        <f aca="false">IF(B3468="","",IF(AND(D3468="Formalização",E3468="Concluído"),IF(COUNTIFS($B$2:$B$5001,B3468,$E$2:$E$5001,"Em ajustes",$A$2:$A$5001,"&lt;"&amp;I3468)&gt;0,1,0),0))</f>
        <v/>
      </c>
      <c r="L3468" s="16" t="str">
        <f aca="false">IF(B3468="","",IF(A3468=_xlfn.MAXIFS($A$2:$A$5001,$B$2:$B$5001,B3468,$I$2:$I$5001,I3468),1,0))</f>
        <v/>
      </c>
    </row>
    <row r="3469" customFormat="false" ht="15" hidden="false" customHeight="false" outlineLevel="0" collapsed="false">
      <c r="I3469" s="15" t="str">
        <f aca="false">IF(A3469="","",INT(A3469))</f>
        <v/>
      </c>
      <c r="J3469" s="16" t="str">
        <f aca="false">IF(B3469="","",IF(A3469=_xlfn.MINIFS($A$2:$A$5001,$B$2:$B$5001,B3469),1,0))</f>
        <v/>
      </c>
      <c r="K3469" s="16" t="str">
        <f aca="false">IF(B3469="","",IF(AND(D3469="Formalização",E3469="Concluído"),IF(COUNTIFS($B$2:$B$5001,B3469,$E$2:$E$5001,"Em ajustes",$A$2:$A$5001,"&lt;"&amp;I3469)&gt;0,1,0),0))</f>
        <v/>
      </c>
      <c r="L3469" s="16" t="str">
        <f aca="false">IF(B3469="","",IF(A3469=_xlfn.MAXIFS($A$2:$A$5001,$B$2:$B$5001,B3469,$I$2:$I$5001,I3469),1,0))</f>
        <v/>
      </c>
    </row>
    <row r="3470" customFormat="false" ht="15" hidden="false" customHeight="false" outlineLevel="0" collapsed="false">
      <c r="I3470" s="15" t="str">
        <f aca="false">IF(A3470="","",INT(A3470))</f>
        <v/>
      </c>
      <c r="J3470" s="16" t="str">
        <f aca="false">IF(B3470="","",IF(A3470=_xlfn.MINIFS($A$2:$A$5001,$B$2:$B$5001,B3470),1,0))</f>
        <v/>
      </c>
      <c r="K3470" s="16" t="str">
        <f aca="false">IF(B3470="","",IF(AND(D3470="Formalização",E3470="Concluído"),IF(COUNTIFS($B$2:$B$5001,B3470,$E$2:$E$5001,"Em ajustes",$A$2:$A$5001,"&lt;"&amp;I3470)&gt;0,1,0),0))</f>
        <v/>
      </c>
      <c r="L3470" s="16" t="str">
        <f aca="false">IF(B3470="","",IF(A3470=_xlfn.MAXIFS($A$2:$A$5001,$B$2:$B$5001,B3470,$I$2:$I$5001,I3470),1,0))</f>
        <v/>
      </c>
    </row>
    <row r="3471" customFormat="false" ht="15" hidden="false" customHeight="false" outlineLevel="0" collapsed="false">
      <c r="I3471" s="15" t="str">
        <f aca="false">IF(A3471="","",INT(A3471))</f>
        <v/>
      </c>
      <c r="J3471" s="16" t="str">
        <f aca="false">IF(B3471="","",IF(A3471=_xlfn.MINIFS($A$2:$A$5001,$B$2:$B$5001,B3471),1,0))</f>
        <v/>
      </c>
      <c r="K3471" s="16" t="str">
        <f aca="false">IF(B3471="","",IF(AND(D3471="Formalização",E3471="Concluído"),IF(COUNTIFS($B$2:$B$5001,B3471,$E$2:$E$5001,"Em ajustes",$A$2:$A$5001,"&lt;"&amp;I3471)&gt;0,1,0),0))</f>
        <v/>
      </c>
      <c r="L3471" s="16" t="str">
        <f aca="false">IF(B3471="","",IF(A3471=_xlfn.MAXIFS($A$2:$A$5001,$B$2:$B$5001,B3471,$I$2:$I$5001,I3471),1,0))</f>
        <v/>
      </c>
    </row>
    <row r="3472" customFormat="false" ht="15" hidden="false" customHeight="false" outlineLevel="0" collapsed="false">
      <c r="I3472" s="15" t="str">
        <f aca="false">IF(A3472="","",INT(A3472))</f>
        <v/>
      </c>
      <c r="J3472" s="16" t="str">
        <f aca="false">IF(B3472="","",IF(A3472=_xlfn.MINIFS($A$2:$A$5001,$B$2:$B$5001,B3472),1,0))</f>
        <v/>
      </c>
      <c r="K3472" s="16" t="str">
        <f aca="false">IF(B3472="","",IF(AND(D3472="Formalização",E3472="Concluído"),IF(COUNTIFS($B$2:$B$5001,B3472,$E$2:$E$5001,"Em ajustes",$A$2:$A$5001,"&lt;"&amp;I3472)&gt;0,1,0),0))</f>
        <v/>
      </c>
      <c r="L3472" s="16" t="str">
        <f aca="false">IF(B3472="","",IF(A3472=_xlfn.MAXIFS($A$2:$A$5001,$B$2:$B$5001,B3472,$I$2:$I$5001,I3472),1,0))</f>
        <v/>
      </c>
    </row>
    <row r="3473" customFormat="false" ht="15" hidden="false" customHeight="false" outlineLevel="0" collapsed="false">
      <c r="I3473" s="15" t="str">
        <f aca="false">IF(A3473="","",INT(A3473))</f>
        <v/>
      </c>
      <c r="J3473" s="16" t="str">
        <f aca="false">IF(B3473="","",IF(A3473=_xlfn.MINIFS($A$2:$A$5001,$B$2:$B$5001,B3473),1,0))</f>
        <v/>
      </c>
      <c r="K3473" s="16" t="str">
        <f aca="false">IF(B3473="","",IF(AND(D3473="Formalização",E3473="Concluído"),IF(COUNTIFS($B$2:$B$5001,B3473,$E$2:$E$5001,"Em ajustes",$A$2:$A$5001,"&lt;"&amp;I3473)&gt;0,1,0),0))</f>
        <v/>
      </c>
      <c r="L3473" s="16" t="str">
        <f aca="false">IF(B3473="","",IF(A3473=_xlfn.MAXIFS($A$2:$A$5001,$B$2:$B$5001,B3473,$I$2:$I$5001,I3473),1,0))</f>
        <v/>
      </c>
    </row>
    <row r="3474" customFormat="false" ht="15" hidden="false" customHeight="false" outlineLevel="0" collapsed="false">
      <c r="I3474" s="15" t="str">
        <f aca="false">IF(A3474="","",INT(A3474))</f>
        <v/>
      </c>
      <c r="J3474" s="16" t="str">
        <f aca="false">IF(B3474="","",IF(A3474=_xlfn.MINIFS($A$2:$A$5001,$B$2:$B$5001,B3474),1,0))</f>
        <v/>
      </c>
      <c r="K3474" s="16" t="str">
        <f aca="false">IF(B3474="","",IF(AND(D3474="Formalização",E3474="Concluído"),IF(COUNTIFS($B$2:$B$5001,B3474,$E$2:$E$5001,"Em ajustes",$A$2:$A$5001,"&lt;"&amp;I3474)&gt;0,1,0),0))</f>
        <v/>
      </c>
      <c r="L3474" s="16" t="str">
        <f aca="false">IF(B3474="","",IF(A3474=_xlfn.MAXIFS($A$2:$A$5001,$B$2:$B$5001,B3474,$I$2:$I$5001,I3474),1,0))</f>
        <v/>
      </c>
    </row>
    <row r="3475" customFormat="false" ht="15" hidden="false" customHeight="false" outlineLevel="0" collapsed="false">
      <c r="I3475" s="15" t="str">
        <f aca="false">IF(A3475="","",INT(A3475))</f>
        <v/>
      </c>
      <c r="J3475" s="16" t="str">
        <f aca="false">IF(B3475="","",IF(A3475=_xlfn.MINIFS($A$2:$A$5001,$B$2:$B$5001,B3475),1,0))</f>
        <v/>
      </c>
      <c r="K3475" s="16" t="str">
        <f aca="false">IF(B3475="","",IF(AND(D3475="Formalização",E3475="Concluído"),IF(COUNTIFS($B$2:$B$5001,B3475,$E$2:$E$5001,"Em ajustes",$A$2:$A$5001,"&lt;"&amp;I3475)&gt;0,1,0),0))</f>
        <v/>
      </c>
      <c r="L3475" s="16" t="str">
        <f aca="false">IF(B3475="","",IF(A3475=_xlfn.MAXIFS($A$2:$A$5001,$B$2:$B$5001,B3475,$I$2:$I$5001,I3475),1,0))</f>
        <v/>
      </c>
    </row>
    <row r="3476" customFormat="false" ht="15" hidden="false" customHeight="false" outlineLevel="0" collapsed="false">
      <c r="I3476" s="15" t="str">
        <f aca="false">IF(A3476="","",INT(A3476))</f>
        <v/>
      </c>
      <c r="J3476" s="16" t="str">
        <f aca="false">IF(B3476="","",IF(A3476=_xlfn.MINIFS($A$2:$A$5001,$B$2:$B$5001,B3476),1,0))</f>
        <v/>
      </c>
      <c r="K3476" s="16" t="str">
        <f aca="false">IF(B3476="","",IF(AND(D3476="Formalização",E3476="Concluído"),IF(COUNTIFS($B$2:$B$5001,B3476,$E$2:$E$5001,"Em ajustes",$A$2:$A$5001,"&lt;"&amp;I3476)&gt;0,1,0),0))</f>
        <v/>
      </c>
      <c r="L3476" s="16" t="str">
        <f aca="false">IF(B3476="","",IF(A3476=_xlfn.MAXIFS($A$2:$A$5001,$B$2:$B$5001,B3476,$I$2:$I$5001,I3476),1,0))</f>
        <v/>
      </c>
    </row>
    <row r="3477" customFormat="false" ht="15" hidden="false" customHeight="false" outlineLevel="0" collapsed="false">
      <c r="I3477" s="15" t="str">
        <f aca="false">IF(A3477="","",INT(A3477))</f>
        <v/>
      </c>
      <c r="J3477" s="16" t="str">
        <f aca="false">IF(B3477="","",IF(A3477=_xlfn.MINIFS($A$2:$A$5001,$B$2:$B$5001,B3477),1,0))</f>
        <v/>
      </c>
      <c r="K3477" s="16" t="str">
        <f aca="false">IF(B3477="","",IF(AND(D3477="Formalização",E3477="Concluído"),IF(COUNTIFS($B$2:$B$5001,B3477,$E$2:$E$5001,"Em ajustes",$A$2:$A$5001,"&lt;"&amp;I3477)&gt;0,1,0),0))</f>
        <v/>
      </c>
      <c r="L3477" s="16" t="str">
        <f aca="false">IF(B3477="","",IF(A3477=_xlfn.MAXIFS($A$2:$A$5001,$B$2:$B$5001,B3477,$I$2:$I$5001,I3477),1,0))</f>
        <v/>
      </c>
    </row>
    <row r="3478" customFormat="false" ht="15" hidden="false" customHeight="false" outlineLevel="0" collapsed="false">
      <c r="I3478" s="15" t="str">
        <f aca="false">IF(A3478="","",INT(A3478))</f>
        <v/>
      </c>
      <c r="J3478" s="16" t="str">
        <f aca="false">IF(B3478="","",IF(A3478=_xlfn.MINIFS($A$2:$A$5001,$B$2:$B$5001,B3478),1,0))</f>
        <v/>
      </c>
      <c r="K3478" s="16" t="str">
        <f aca="false">IF(B3478="","",IF(AND(D3478="Formalização",E3478="Concluído"),IF(COUNTIFS($B$2:$B$5001,B3478,$E$2:$E$5001,"Em ajustes",$A$2:$A$5001,"&lt;"&amp;I3478)&gt;0,1,0),0))</f>
        <v/>
      </c>
      <c r="L3478" s="16" t="str">
        <f aca="false">IF(B3478="","",IF(A3478=_xlfn.MAXIFS($A$2:$A$5001,$B$2:$B$5001,B3478,$I$2:$I$5001,I3478),1,0))</f>
        <v/>
      </c>
    </row>
    <row r="3479" customFormat="false" ht="15" hidden="false" customHeight="false" outlineLevel="0" collapsed="false">
      <c r="I3479" s="15" t="str">
        <f aca="false">IF(A3479="","",INT(A3479))</f>
        <v/>
      </c>
      <c r="J3479" s="16" t="str">
        <f aca="false">IF(B3479="","",IF(A3479=_xlfn.MINIFS($A$2:$A$5001,$B$2:$B$5001,B3479),1,0))</f>
        <v/>
      </c>
      <c r="K3479" s="16" t="str">
        <f aca="false">IF(B3479="","",IF(AND(D3479="Formalização",E3479="Concluído"),IF(COUNTIFS($B$2:$B$5001,B3479,$E$2:$E$5001,"Em ajustes",$A$2:$A$5001,"&lt;"&amp;I3479)&gt;0,1,0),0))</f>
        <v/>
      </c>
      <c r="L3479" s="16" t="str">
        <f aca="false">IF(B3479="","",IF(A3479=_xlfn.MAXIFS($A$2:$A$5001,$B$2:$B$5001,B3479,$I$2:$I$5001,I3479),1,0))</f>
        <v/>
      </c>
    </row>
    <row r="3480" customFormat="false" ht="15" hidden="false" customHeight="false" outlineLevel="0" collapsed="false">
      <c r="I3480" s="15" t="str">
        <f aca="false">IF(A3480="","",INT(A3480))</f>
        <v/>
      </c>
      <c r="J3480" s="16" t="str">
        <f aca="false">IF(B3480="","",IF(A3480=_xlfn.MINIFS($A$2:$A$5001,$B$2:$B$5001,B3480),1,0))</f>
        <v/>
      </c>
      <c r="K3480" s="16" t="str">
        <f aca="false">IF(B3480="","",IF(AND(D3480="Formalização",E3480="Concluído"),IF(COUNTIFS($B$2:$B$5001,B3480,$E$2:$E$5001,"Em ajustes",$A$2:$A$5001,"&lt;"&amp;I3480)&gt;0,1,0),0))</f>
        <v/>
      </c>
      <c r="L3480" s="16" t="str">
        <f aca="false">IF(B3480="","",IF(A3480=_xlfn.MAXIFS($A$2:$A$5001,$B$2:$B$5001,B3480,$I$2:$I$5001,I3480),1,0))</f>
        <v/>
      </c>
    </row>
    <row r="3481" customFormat="false" ht="15" hidden="false" customHeight="false" outlineLevel="0" collapsed="false">
      <c r="I3481" s="15" t="str">
        <f aca="false">IF(A3481="","",INT(A3481))</f>
        <v/>
      </c>
      <c r="J3481" s="16" t="str">
        <f aca="false">IF(B3481="","",IF(A3481=_xlfn.MINIFS($A$2:$A$5001,$B$2:$B$5001,B3481),1,0))</f>
        <v/>
      </c>
      <c r="K3481" s="16" t="str">
        <f aca="false">IF(B3481="","",IF(AND(D3481="Formalização",E3481="Concluído"),IF(COUNTIFS($B$2:$B$5001,B3481,$E$2:$E$5001,"Em ajustes",$A$2:$A$5001,"&lt;"&amp;I3481)&gt;0,1,0),0))</f>
        <v/>
      </c>
      <c r="L3481" s="16" t="str">
        <f aca="false">IF(B3481="","",IF(A3481=_xlfn.MAXIFS($A$2:$A$5001,$B$2:$B$5001,B3481,$I$2:$I$5001,I3481),1,0))</f>
        <v/>
      </c>
    </row>
    <row r="3482" customFormat="false" ht="15" hidden="false" customHeight="false" outlineLevel="0" collapsed="false">
      <c r="I3482" s="15" t="str">
        <f aca="false">IF(A3482="","",INT(A3482))</f>
        <v/>
      </c>
      <c r="J3482" s="16" t="str">
        <f aca="false">IF(B3482="","",IF(A3482=_xlfn.MINIFS($A$2:$A$5001,$B$2:$B$5001,B3482),1,0))</f>
        <v/>
      </c>
      <c r="K3482" s="16" t="str">
        <f aca="false">IF(B3482="","",IF(AND(D3482="Formalização",E3482="Concluído"),IF(COUNTIFS($B$2:$B$5001,B3482,$E$2:$E$5001,"Em ajustes",$A$2:$A$5001,"&lt;"&amp;I3482)&gt;0,1,0),0))</f>
        <v/>
      </c>
      <c r="L3482" s="16" t="str">
        <f aca="false">IF(B3482="","",IF(A3482=_xlfn.MAXIFS($A$2:$A$5001,$B$2:$B$5001,B3482,$I$2:$I$5001,I3482),1,0))</f>
        <v/>
      </c>
    </row>
    <row r="3483" customFormat="false" ht="15" hidden="false" customHeight="false" outlineLevel="0" collapsed="false">
      <c r="I3483" s="15" t="str">
        <f aca="false">IF(A3483="","",INT(A3483))</f>
        <v/>
      </c>
      <c r="J3483" s="16" t="str">
        <f aca="false">IF(B3483="","",IF(A3483=_xlfn.MINIFS($A$2:$A$5001,$B$2:$B$5001,B3483),1,0))</f>
        <v/>
      </c>
      <c r="K3483" s="16" t="str">
        <f aca="false">IF(B3483="","",IF(AND(D3483="Formalização",E3483="Concluído"),IF(COUNTIFS($B$2:$B$5001,B3483,$E$2:$E$5001,"Em ajustes",$A$2:$A$5001,"&lt;"&amp;I3483)&gt;0,1,0),0))</f>
        <v/>
      </c>
      <c r="L3483" s="16" t="str">
        <f aca="false">IF(B3483="","",IF(A3483=_xlfn.MAXIFS($A$2:$A$5001,$B$2:$B$5001,B3483,$I$2:$I$5001,I3483),1,0))</f>
        <v/>
      </c>
    </row>
    <row r="3484" customFormat="false" ht="15" hidden="false" customHeight="false" outlineLevel="0" collapsed="false">
      <c r="I3484" s="15" t="str">
        <f aca="false">IF(A3484="","",INT(A3484))</f>
        <v/>
      </c>
      <c r="J3484" s="16" t="str">
        <f aca="false">IF(B3484="","",IF(A3484=_xlfn.MINIFS($A$2:$A$5001,$B$2:$B$5001,B3484),1,0))</f>
        <v/>
      </c>
      <c r="K3484" s="16" t="str">
        <f aca="false">IF(B3484="","",IF(AND(D3484="Formalização",E3484="Concluído"),IF(COUNTIFS($B$2:$B$5001,B3484,$E$2:$E$5001,"Em ajustes",$A$2:$A$5001,"&lt;"&amp;I3484)&gt;0,1,0),0))</f>
        <v/>
      </c>
      <c r="L3484" s="16" t="str">
        <f aca="false">IF(B3484="","",IF(A3484=_xlfn.MAXIFS($A$2:$A$5001,$B$2:$B$5001,B3484,$I$2:$I$5001,I3484),1,0))</f>
        <v/>
      </c>
    </row>
    <row r="3485" customFormat="false" ht="15" hidden="false" customHeight="false" outlineLevel="0" collapsed="false">
      <c r="I3485" s="15" t="str">
        <f aca="false">IF(A3485="","",INT(A3485))</f>
        <v/>
      </c>
      <c r="J3485" s="16" t="str">
        <f aca="false">IF(B3485="","",IF(A3485=_xlfn.MINIFS($A$2:$A$5001,$B$2:$B$5001,B3485),1,0))</f>
        <v/>
      </c>
      <c r="K3485" s="16" t="str">
        <f aca="false">IF(B3485="","",IF(AND(D3485="Formalização",E3485="Concluído"),IF(COUNTIFS($B$2:$B$5001,B3485,$E$2:$E$5001,"Em ajustes",$A$2:$A$5001,"&lt;"&amp;I3485)&gt;0,1,0),0))</f>
        <v/>
      </c>
      <c r="L3485" s="16" t="str">
        <f aca="false">IF(B3485="","",IF(A3485=_xlfn.MAXIFS($A$2:$A$5001,$B$2:$B$5001,B3485,$I$2:$I$5001,I3485),1,0))</f>
        <v/>
      </c>
    </row>
    <row r="3486" customFormat="false" ht="15" hidden="false" customHeight="false" outlineLevel="0" collapsed="false">
      <c r="I3486" s="15" t="str">
        <f aca="false">IF(A3486="","",INT(A3486))</f>
        <v/>
      </c>
      <c r="J3486" s="16" t="str">
        <f aca="false">IF(B3486="","",IF(A3486=_xlfn.MINIFS($A$2:$A$5001,$B$2:$B$5001,B3486),1,0))</f>
        <v/>
      </c>
      <c r="K3486" s="16" t="str">
        <f aca="false">IF(B3486="","",IF(AND(D3486="Formalização",E3486="Concluído"),IF(COUNTIFS($B$2:$B$5001,B3486,$E$2:$E$5001,"Em ajustes",$A$2:$A$5001,"&lt;"&amp;I3486)&gt;0,1,0),0))</f>
        <v/>
      </c>
      <c r="L3486" s="16" t="str">
        <f aca="false">IF(B3486="","",IF(A3486=_xlfn.MAXIFS($A$2:$A$5001,$B$2:$B$5001,B3486,$I$2:$I$5001,I3486),1,0))</f>
        <v/>
      </c>
    </row>
    <row r="3487" customFormat="false" ht="15" hidden="false" customHeight="false" outlineLevel="0" collapsed="false">
      <c r="I3487" s="15" t="str">
        <f aca="false">IF(A3487="","",INT(A3487))</f>
        <v/>
      </c>
      <c r="J3487" s="16" t="str">
        <f aca="false">IF(B3487="","",IF(A3487=_xlfn.MINIFS($A$2:$A$5001,$B$2:$B$5001,B3487),1,0))</f>
        <v/>
      </c>
      <c r="K3487" s="16" t="str">
        <f aca="false">IF(B3487="","",IF(AND(D3487="Formalização",E3487="Concluído"),IF(COUNTIFS($B$2:$B$5001,B3487,$E$2:$E$5001,"Em ajustes",$A$2:$A$5001,"&lt;"&amp;I3487)&gt;0,1,0),0))</f>
        <v/>
      </c>
      <c r="L3487" s="16" t="str">
        <f aca="false">IF(B3487="","",IF(A3487=_xlfn.MAXIFS($A$2:$A$5001,$B$2:$B$5001,B3487,$I$2:$I$5001,I3487),1,0))</f>
        <v/>
      </c>
    </row>
    <row r="3488" customFormat="false" ht="15" hidden="false" customHeight="false" outlineLevel="0" collapsed="false">
      <c r="I3488" s="15" t="str">
        <f aca="false">IF(A3488="","",INT(A3488))</f>
        <v/>
      </c>
      <c r="J3488" s="16" t="str">
        <f aca="false">IF(B3488="","",IF(A3488=_xlfn.MINIFS($A$2:$A$5001,$B$2:$B$5001,B3488),1,0))</f>
        <v/>
      </c>
      <c r="K3488" s="16" t="str">
        <f aca="false">IF(B3488="","",IF(AND(D3488="Formalização",E3488="Concluído"),IF(COUNTIFS($B$2:$B$5001,B3488,$E$2:$E$5001,"Em ajustes",$A$2:$A$5001,"&lt;"&amp;I3488)&gt;0,1,0),0))</f>
        <v/>
      </c>
      <c r="L3488" s="16" t="str">
        <f aca="false">IF(B3488="","",IF(A3488=_xlfn.MAXIFS($A$2:$A$5001,$B$2:$B$5001,B3488,$I$2:$I$5001,I3488),1,0))</f>
        <v/>
      </c>
    </row>
    <row r="3489" customFormat="false" ht="15" hidden="false" customHeight="false" outlineLevel="0" collapsed="false">
      <c r="I3489" s="15" t="str">
        <f aca="false">IF(A3489="","",INT(A3489))</f>
        <v/>
      </c>
      <c r="J3489" s="16" t="str">
        <f aca="false">IF(B3489="","",IF(A3489=_xlfn.MINIFS($A$2:$A$5001,$B$2:$B$5001,B3489),1,0))</f>
        <v/>
      </c>
      <c r="K3489" s="16" t="str">
        <f aca="false">IF(B3489="","",IF(AND(D3489="Formalização",E3489="Concluído"),IF(COUNTIFS($B$2:$B$5001,B3489,$E$2:$E$5001,"Em ajustes",$A$2:$A$5001,"&lt;"&amp;I3489)&gt;0,1,0),0))</f>
        <v/>
      </c>
      <c r="L3489" s="16" t="str">
        <f aca="false">IF(B3489="","",IF(A3489=_xlfn.MAXIFS($A$2:$A$5001,$B$2:$B$5001,B3489,$I$2:$I$5001,I3489),1,0))</f>
        <v/>
      </c>
    </row>
    <row r="3490" customFormat="false" ht="15" hidden="false" customHeight="false" outlineLevel="0" collapsed="false">
      <c r="I3490" s="15" t="str">
        <f aca="false">IF(A3490="","",INT(A3490))</f>
        <v/>
      </c>
      <c r="J3490" s="16" t="str">
        <f aca="false">IF(B3490="","",IF(A3490=_xlfn.MINIFS($A$2:$A$5001,$B$2:$B$5001,B3490),1,0))</f>
        <v/>
      </c>
      <c r="K3490" s="16" t="str">
        <f aca="false">IF(B3490="","",IF(AND(D3490="Formalização",E3490="Concluído"),IF(COUNTIFS($B$2:$B$5001,B3490,$E$2:$E$5001,"Em ajustes",$A$2:$A$5001,"&lt;"&amp;I3490)&gt;0,1,0),0))</f>
        <v/>
      </c>
      <c r="L3490" s="16" t="str">
        <f aca="false">IF(B3490="","",IF(A3490=_xlfn.MAXIFS($A$2:$A$5001,$B$2:$B$5001,B3490,$I$2:$I$5001,I3490),1,0))</f>
        <v/>
      </c>
    </row>
    <row r="3491" customFormat="false" ht="15" hidden="false" customHeight="false" outlineLevel="0" collapsed="false">
      <c r="I3491" s="15" t="str">
        <f aca="false">IF(A3491="","",INT(A3491))</f>
        <v/>
      </c>
      <c r="J3491" s="16" t="str">
        <f aca="false">IF(B3491="","",IF(A3491=_xlfn.MINIFS($A$2:$A$5001,$B$2:$B$5001,B3491),1,0))</f>
        <v/>
      </c>
      <c r="K3491" s="16" t="str">
        <f aca="false">IF(B3491="","",IF(AND(D3491="Formalização",E3491="Concluído"),IF(COUNTIFS($B$2:$B$5001,B3491,$E$2:$E$5001,"Em ajustes",$A$2:$A$5001,"&lt;"&amp;I3491)&gt;0,1,0),0))</f>
        <v/>
      </c>
      <c r="L3491" s="16" t="str">
        <f aca="false">IF(B3491="","",IF(A3491=_xlfn.MAXIFS($A$2:$A$5001,$B$2:$B$5001,B3491,$I$2:$I$5001,I3491),1,0))</f>
        <v/>
      </c>
    </row>
    <row r="3492" customFormat="false" ht="15" hidden="false" customHeight="false" outlineLevel="0" collapsed="false">
      <c r="I3492" s="15" t="str">
        <f aca="false">IF(A3492="","",INT(A3492))</f>
        <v/>
      </c>
      <c r="J3492" s="16" t="str">
        <f aca="false">IF(B3492="","",IF(A3492=_xlfn.MINIFS($A$2:$A$5001,$B$2:$B$5001,B3492),1,0))</f>
        <v/>
      </c>
      <c r="K3492" s="16" t="str">
        <f aca="false">IF(B3492="","",IF(AND(D3492="Formalização",E3492="Concluído"),IF(COUNTIFS($B$2:$B$5001,B3492,$E$2:$E$5001,"Em ajustes",$A$2:$A$5001,"&lt;"&amp;I3492)&gt;0,1,0),0))</f>
        <v/>
      </c>
      <c r="L3492" s="16" t="str">
        <f aca="false">IF(B3492="","",IF(A3492=_xlfn.MAXIFS($A$2:$A$5001,$B$2:$B$5001,B3492,$I$2:$I$5001,I3492),1,0))</f>
        <v/>
      </c>
    </row>
    <row r="3493" customFormat="false" ht="15" hidden="false" customHeight="false" outlineLevel="0" collapsed="false">
      <c r="I3493" s="15" t="str">
        <f aca="false">IF(A3493="","",INT(A3493))</f>
        <v/>
      </c>
      <c r="J3493" s="16" t="str">
        <f aca="false">IF(B3493="","",IF(A3493=_xlfn.MINIFS($A$2:$A$5001,$B$2:$B$5001,B3493),1,0))</f>
        <v/>
      </c>
      <c r="K3493" s="16" t="str">
        <f aca="false">IF(B3493="","",IF(AND(D3493="Formalização",E3493="Concluído"),IF(COUNTIFS($B$2:$B$5001,B3493,$E$2:$E$5001,"Em ajustes",$A$2:$A$5001,"&lt;"&amp;I3493)&gt;0,1,0),0))</f>
        <v/>
      </c>
      <c r="L3493" s="16" t="str">
        <f aca="false">IF(B3493="","",IF(A3493=_xlfn.MAXIFS($A$2:$A$5001,$B$2:$B$5001,B3493,$I$2:$I$5001,I3493),1,0))</f>
        <v/>
      </c>
    </row>
    <row r="3494" customFormat="false" ht="15" hidden="false" customHeight="false" outlineLevel="0" collapsed="false">
      <c r="I3494" s="15" t="str">
        <f aca="false">IF(A3494="","",INT(A3494))</f>
        <v/>
      </c>
      <c r="J3494" s="16" t="str">
        <f aca="false">IF(B3494="","",IF(A3494=_xlfn.MINIFS($A$2:$A$5001,$B$2:$B$5001,B3494),1,0))</f>
        <v/>
      </c>
      <c r="K3494" s="16" t="str">
        <f aca="false">IF(B3494="","",IF(AND(D3494="Formalização",E3494="Concluído"),IF(COUNTIFS($B$2:$B$5001,B3494,$E$2:$E$5001,"Em ajustes",$A$2:$A$5001,"&lt;"&amp;I3494)&gt;0,1,0),0))</f>
        <v/>
      </c>
      <c r="L3494" s="16" t="str">
        <f aca="false">IF(B3494="","",IF(A3494=_xlfn.MAXIFS($A$2:$A$5001,$B$2:$B$5001,B3494,$I$2:$I$5001,I3494),1,0))</f>
        <v/>
      </c>
    </row>
    <row r="3495" customFormat="false" ht="15" hidden="false" customHeight="false" outlineLevel="0" collapsed="false">
      <c r="I3495" s="15" t="str">
        <f aca="false">IF(A3495="","",INT(A3495))</f>
        <v/>
      </c>
      <c r="J3495" s="16" t="str">
        <f aca="false">IF(B3495="","",IF(A3495=_xlfn.MINIFS($A$2:$A$5001,$B$2:$B$5001,B3495),1,0))</f>
        <v/>
      </c>
      <c r="K3495" s="16" t="str">
        <f aca="false">IF(B3495="","",IF(AND(D3495="Formalização",E3495="Concluído"),IF(COUNTIFS($B$2:$B$5001,B3495,$E$2:$E$5001,"Em ajustes",$A$2:$A$5001,"&lt;"&amp;I3495)&gt;0,1,0),0))</f>
        <v/>
      </c>
      <c r="L3495" s="16" t="str">
        <f aca="false">IF(B3495="","",IF(A3495=_xlfn.MAXIFS($A$2:$A$5001,$B$2:$B$5001,B3495,$I$2:$I$5001,I3495),1,0))</f>
        <v/>
      </c>
    </row>
    <row r="3496" customFormat="false" ht="15" hidden="false" customHeight="false" outlineLevel="0" collapsed="false">
      <c r="I3496" s="15" t="str">
        <f aca="false">IF(A3496="","",INT(A3496))</f>
        <v/>
      </c>
      <c r="J3496" s="16" t="str">
        <f aca="false">IF(B3496="","",IF(A3496=_xlfn.MINIFS($A$2:$A$5001,$B$2:$B$5001,B3496),1,0))</f>
        <v/>
      </c>
      <c r="K3496" s="16" t="str">
        <f aca="false">IF(B3496="","",IF(AND(D3496="Formalização",E3496="Concluído"),IF(COUNTIFS($B$2:$B$5001,B3496,$E$2:$E$5001,"Em ajustes",$A$2:$A$5001,"&lt;"&amp;I3496)&gt;0,1,0),0))</f>
        <v/>
      </c>
      <c r="L3496" s="16" t="str">
        <f aca="false">IF(B3496="","",IF(A3496=_xlfn.MAXIFS($A$2:$A$5001,$B$2:$B$5001,B3496,$I$2:$I$5001,I3496),1,0))</f>
        <v/>
      </c>
    </row>
    <row r="3497" customFormat="false" ht="15" hidden="false" customHeight="false" outlineLevel="0" collapsed="false">
      <c r="I3497" s="15" t="str">
        <f aca="false">IF(A3497="","",INT(A3497))</f>
        <v/>
      </c>
      <c r="J3497" s="16" t="str">
        <f aca="false">IF(B3497="","",IF(A3497=_xlfn.MINIFS($A$2:$A$5001,$B$2:$B$5001,B3497),1,0))</f>
        <v/>
      </c>
      <c r="K3497" s="16" t="str">
        <f aca="false">IF(B3497="","",IF(AND(D3497="Formalização",E3497="Concluído"),IF(COUNTIFS($B$2:$B$5001,B3497,$E$2:$E$5001,"Em ajustes",$A$2:$A$5001,"&lt;"&amp;I3497)&gt;0,1,0),0))</f>
        <v/>
      </c>
      <c r="L3497" s="16" t="str">
        <f aca="false">IF(B3497="","",IF(A3497=_xlfn.MAXIFS($A$2:$A$5001,$B$2:$B$5001,B3497,$I$2:$I$5001,I3497),1,0))</f>
        <v/>
      </c>
    </row>
    <row r="3498" customFormat="false" ht="15" hidden="false" customHeight="false" outlineLevel="0" collapsed="false">
      <c r="I3498" s="15" t="str">
        <f aca="false">IF(A3498="","",INT(A3498))</f>
        <v/>
      </c>
      <c r="J3498" s="16" t="str">
        <f aca="false">IF(B3498="","",IF(A3498=_xlfn.MINIFS($A$2:$A$5001,$B$2:$B$5001,B3498),1,0))</f>
        <v/>
      </c>
      <c r="K3498" s="16" t="str">
        <f aca="false">IF(B3498="","",IF(AND(D3498="Formalização",E3498="Concluído"),IF(COUNTIFS($B$2:$B$5001,B3498,$E$2:$E$5001,"Em ajustes",$A$2:$A$5001,"&lt;"&amp;I3498)&gt;0,1,0),0))</f>
        <v/>
      </c>
      <c r="L3498" s="16" t="str">
        <f aca="false">IF(B3498="","",IF(A3498=_xlfn.MAXIFS($A$2:$A$5001,$B$2:$B$5001,B3498,$I$2:$I$5001,I3498),1,0))</f>
        <v/>
      </c>
    </row>
    <row r="3499" customFormat="false" ht="15" hidden="false" customHeight="false" outlineLevel="0" collapsed="false">
      <c r="I3499" s="15" t="str">
        <f aca="false">IF(A3499="","",INT(A3499))</f>
        <v/>
      </c>
      <c r="J3499" s="16" t="str">
        <f aca="false">IF(B3499="","",IF(A3499=_xlfn.MINIFS($A$2:$A$5001,$B$2:$B$5001,B3499),1,0))</f>
        <v/>
      </c>
      <c r="K3499" s="16" t="str">
        <f aca="false">IF(B3499="","",IF(AND(D3499="Formalização",E3499="Concluído"),IF(COUNTIFS($B$2:$B$5001,B3499,$E$2:$E$5001,"Em ajustes",$A$2:$A$5001,"&lt;"&amp;I3499)&gt;0,1,0),0))</f>
        <v/>
      </c>
      <c r="L3499" s="16" t="str">
        <f aca="false">IF(B3499="","",IF(A3499=_xlfn.MAXIFS($A$2:$A$5001,$B$2:$B$5001,B3499,$I$2:$I$5001,I3499),1,0))</f>
        <v/>
      </c>
    </row>
    <row r="3500" customFormat="false" ht="15" hidden="false" customHeight="false" outlineLevel="0" collapsed="false">
      <c r="I3500" s="15" t="str">
        <f aca="false">IF(A3500="","",INT(A3500))</f>
        <v/>
      </c>
      <c r="J3500" s="16" t="str">
        <f aca="false">IF(B3500="","",IF(A3500=_xlfn.MINIFS($A$2:$A$5001,$B$2:$B$5001,B3500),1,0))</f>
        <v/>
      </c>
      <c r="K3500" s="16" t="str">
        <f aca="false">IF(B3500="","",IF(AND(D3500="Formalização",E3500="Concluído"),IF(COUNTIFS($B$2:$B$5001,B3500,$E$2:$E$5001,"Em ajustes",$A$2:$A$5001,"&lt;"&amp;I3500)&gt;0,1,0),0))</f>
        <v/>
      </c>
      <c r="L3500" s="16" t="str">
        <f aca="false">IF(B3500="","",IF(A3500=_xlfn.MAXIFS($A$2:$A$5001,$B$2:$B$5001,B3500,$I$2:$I$5001,I3500),1,0))</f>
        <v/>
      </c>
    </row>
    <row r="3501" customFormat="false" ht="15" hidden="false" customHeight="false" outlineLevel="0" collapsed="false">
      <c r="I3501" s="15" t="str">
        <f aca="false">IF(A3501="","",INT(A3501))</f>
        <v/>
      </c>
      <c r="J3501" s="16" t="str">
        <f aca="false">IF(B3501="","",IF(A3501=_xlfn.MINIFS($A$2:$A$5001,$B$2:$B$5001,B3501),1,0))</f>
        <v/>
      </c>
      <c r="K3501" s="16" t="str">
        <f aca="false">IF(B3501="","",IF(AND(D3501="Formalização",E3501="Concluído"),IF(COUNTIFS($B$2:$B$5001,B3501,$E$2:$E$5001,"Em ajustes",$A$2:$A$5001,"&lt;"&amp;I3501)&gt;0,1,0),0))</f>
        <v/>
      </c>
      <c r="L3501" s="16" t="str">
        <f aca="false">IF(B3501="","",IF(A3501=_xlfn.MAXIFS($A$2:$A$5001,$B$2:$B$5001,B3501,$I$2:$I$5001,I3501),1,0))</f>
        <v/>
      </c>
    </row>
    <row r="3502" customFormat="false" ht="15" hidden="false" customHeight="false" outlineLevel="0" collapsed="false">
      <c r="I3502" s="15" t="str">
        <f aca="false">IF(A3502="","",INT(A3502))</f>
        <v/>
      </c>
      <c r="J3502" s="16" t="str">
        <f aca="false">IF(B3502="","",IF(A3502=_xlfn.MINIFS($A$2:$A$5001,$B$2:$B$5001,B3502),1,0))</f>
        <v/>
      </c>
      <c r="K3502" s="16" t="str">
        <f aca="false">IF(B3502="","",IF(AND(D3502="Formalização",E3502="Concluído"),IF(COUNTIFS($B$2:$B$5001,B3502,$E$2:$E$5001,"Em ajustes",$A$2:$A$5001,"&lt;"&amp;I3502)&gt;0,1,0),0))</f>
        <v/>
      </c>
      <c r="L3502" s="16" t="str">
        <f aca="false">IF(B3502="","",IF(A3502=_xlfn.MAXIFS($A$2:$A$5001,$B$2:$B$5001,B3502,$I$2:$I$5001,I3502),1,0))</f>
        <v/>
      </c>
    </row>
    <row r="3503" customFormat="false" ht="15" hidden="false" customHeight="false" outlineLevel="0" collapsed="false">
      <c r="I3503" s="15" t="str">
        <f aca="false">IF(A3503="","",INT(A3503))</f>
        <v/>
      </c>
      <c r="J3503" s="16" t="str">
        <f aca="false">IF(B3503="","",IF(A3503=_xlfn.MINIFS($A$2:$A$5001,$B$2:$B$5001,B3503),1,0))</f>
        <v/>
      </c>
      <c r="K3503" s="16" t="str">
        <f aca="false">IF(B3503="","",IF(AND(D3503="Formalização",E3503="Concluído"),IF(COUNTIFS($B$2:$B$5001,B3503,$E$2:$E$5001,"Em ajustes",$A$2:$A$5001,"&lt;"&amp;I3503)&gt;0,1,0),0))</f>
        <v/>
      </c>
      <c r="L3503" s="16" t="str">
        <f aca="false">IF(B3503="","",IF(A3503=_xlfn.MAXIFS($A$2:$A$5001,$B$2:$B$5001,B3503,$I$2:$I$5001,I3503),1,0))</f>
        <v/>
      </c>
    </row>
    <row r="3504" customFormat="false" ht="15" hidden="false" customHeight="false" outlineLevel="0" collapsed="false">
      <c r="I3504" s="15" t="str">
        <f aca="false">IF(A3504="","",INT(A3504))</f>
        <v/>
      </c>
      <c r="J3504" s="16" t="str">
        <f aca="false">IF(B3504="","",IF(A3504=_xlfn.MINIFS($A$2:$A$5001,$B$2:$B$5001,B3504),1,0))</f>
        <v/>
      </c>
      <c r="K3504" s="16" t="str">
        <f aca="false">IF(B3504="","",IF(AND(D3504="Formalização",E3504="Concluído"),IF(COUNTIFS($B$2:$B$5001,B3504,$E$2:$E$5001,"Em ajustes",$A$2:$A$5001,"&lt;"&amp;I3504)&gt;0,1,0),0))</f>
        <v/>
      </c>
      <c r="L3504" s="16" t="str">
        <f aca="false">IF(B3504="","",IF(A3504=_xlfn.MAXIFS($A$2:$A$5001,$B$2:$B$5001,B3504,$I$2:$I$5001,I3504),1,0))</f>
        <v/>
      </c>
    </row>
    <row r="3505" customFormat="false" ht="15" hidden="false" customHeight="false" outlineLevel="0" collapsed="false">
      <c r="I3505" s="15" t="str">
        <f aca="false">IF(A3505="","",INT(A3505))</f>
        <v/>
      </c>
      <c r="J3505" s="16" t="str">
        <f aca="false">IF(B3505="","",IF(A3505=_xlfn.MINIFS($A$2:$A$5001,$B$2:$B$5001,B3505),1,0))</f>
        <v/>
      </c>
      <c r="K3505" s="16" t="str">
        <f aca="false">IF(B3505="","",IF(AND(D3505="Formalização",E3505="Concluído"),IF(COUNTIFS($B$2:$B$5001,B3505,$E$2:$E$5001,"Em ajustes",$A$2:$A$5001,"&lt;"&amp;I3505)&gt;0,1,0),0))</f>
        <v/>
      </c>
      <c r="L3505" s="16" t="str">
        <f aca="false">IF(B3505="","",IF(A3505=_xlfn.MAXIFS($A$2:$A$5001,$B$2:$B$5001,B3505,$I$2:$I$5001,I3505),1,0))</f>
        <v/>
      </c>
    </row>
    <row r="3506" customFormat="false" ht="15" hidden="false" customHeight="false" outlineLevel="0" collapsed="false">
      <c r="I3506" s="15" t="str">
        <f aca="false">IF(A3506="","",INT(A3506))</f>
        <v/>
      </c>
      <c r="J3506" s="16" t="str">
        <f aca="false">IF(B3506="","",IF(A3506=_xlfn.MINIFS($A$2:$A$5001,$B$2:$B$5001,B3506),1,0))</f>
        <v/>
      </c>
      <c r="K3506" s="16" t="str">
        <f aca="false">IF(B3506="","",IF(AND(D3506="Formalização",E3506="Concluído"),IF(COUNTIFS($B$2:$B$5001,B3506,$E$2:$E$5001,"Em ajustes",$A$2:$A$5001,"&lt;"&amp;I3506)&gt;0,1,0),0))</f>
        <v/>
      </c>
      <c r="L3506" s="16" t="str">
        <f aca="false">IF(B3506="","",IF(A3506=_xlfn.MAXIFS($A$2:$A$5001,$B$2:$B$5001,B3506,$I$2:$I$5001,I3506),1,0))</f>
        <v/>
      </c>
    </row>
    <row r="3507" customFormat="false" ht="15" hidden="false" customHeight="false" outlineLevel="0" collapsed="false">
      <c r="I3507" s="15" t="str">
        <f aca="false">IF(A3507="","",INT(A3507))</f>
        <v/>
      </c>
      <c r="J3507" s="16" t="str">
        <f aca="false">IF(B3507="","",IF(A3507=_xlfn.MINIFS($A$2:$A$5001,$B$2:$B$5001,B3507),1,0))</f>
        <v/>
      </c>
      <c r="K3507" s="16" t="str">
        <f aca="false">IF(B3507="","",IF(AND(D3507="Formalização",E3507="Concluído"),IF(COUNTIFS($B$2:$B$5001,B3507,$E$2:$E$5001,"Em ajustes",$A$2:$A$5001,"&lt;"&amp;I3507)&gt;0,1,0),0))</f>
        <v/>
      </c>
      <c r="L3507" s="16" t="str">
        <f aca="false">IF(B3507="","",IF(A3507=_xlfn.MAXIFS($A$2:$A$5001,$B$2:$B$5001,B3507,$I$2:$I$5001,I3507),1,0))</f>
        <v/>
      </c>
    </row>
    <row r="3508" customFormat="false" ht="15" hidden="false" customHeight="false" outlineLevel="0" collapsed="false">
      <c r="I3508" s="15" t="str">
        <f aca="false">IF(A3508="","",INT(A3508))</f>
        <v/>
      </c>
      <c r="J3508" s="16" t="str">
        <f aca="false">IF(B3508="","",IF(A3508=_xlfn.MINIFS($A$2:$A$5001,$B$2:$B$5001,B3508),1,0))</f>
        <v/>
      </c>
      <c r="K3508" s="16" t="str">
        <f aca="false">IF(B3508="","",IF(AND(D3508="Formalização",E3508="Concluído"),IF(COUNTIFS($B$2:$B$5001,B3508,$E$2:$E$5001,"Em ajustes",$A$2:$A$5001,"&lt;"&amp;I3508)&gt;0,1,0),0))</f>
        <v/>
      </c>
      <c r="L3508" s="16" t="str">
        <f aca="false">IF(B3508="","",IF(A3508=_xlfn.MAXIFS($A$2:$A$5001,$B$2:$B$5001,B3508,$I$2:$I$5001,I3508),1,0))</f>
        <v/>
      </c>
    </row>
    <row r="3509" customFormat="false" ht="15" hidden="false" customHeight="false" outlineLevel="0" collapsed="false">
      <c r="I3509" s="15" t="str">
        <f aca="false">IF(A3509="","",INT(A3509))</f>
        <v/>
      </c>
      <c r="J3509" s="16" t="str">
        <f aca="false">IF(B3509="","",IF(A3509=_xlfn.MINIFS($A$2:$A$5001,$B$2:$B$5001,B3509),1,0))</f>
        <v/>
      </c>
      <c r="K3509" s="16" t="str">
        <f aca="false">IF(B3509="","",IF(AND(D3509="Formalização",E3509="Concluído"),IF(COUNTIFS($B$2:$B$5001,B3509,$E$2:$E$5001,"Em ajustes",$A$2:$A$5001,"&lt;"&amp;I3509)&gt;0,1,0),0))</f>
        <v/>
      </c>
      <c r="L3509" s="16" t="str">
        <f aca="false">IF(B3509="","",IF(A3509=_xlfn.MAXIFS($A$2:$A$5001,$B$2:$B$5001,B3509,$I$2:$I$5001,I3509),1,0))</f>
        <v/>
      </c>
    </row>
    <row r="3510" customFormat="false" ht="15" hidden="false" customHeight="false" outlineLevel="0" collapsed="false">
      <c r="I3510" s="15" t="str">
        <f aca="false">IF(A3510="","",INT(A3510))</f>
        <v/>
      </c>
      <c r="J3510" s="16" t="str">
        <f aca="false">IF(B3510="","",IF(A3510=_xlfn.MINIFS($A$2:$A$5001,$B$2:$B$5001,B3510),1,0))</f>
        <v/>
      </c>
      <c r="K3510" s="16" t="str">
        <f aca="false">IF(B3510="","",IF(AND(D3510="Formalização",E3510="Concluído"),IF(COUNTIFS($B$2:$B$5001,B3510,$E$2:$E$5001,"Em ajustes",$A$2:$A$5001,"&lt;"&amp;I3510)&gt;0,1,0),0))</f>
        <v/>
      </c>
      <c r="L3510" s="16" t="str">
        <f aca="false">IF(B3510="","",IF(A3510=_xlfn.MAXIFS($A$2:$A$5001,$B$2:$B$5001,B3510,$I$2:$I$5001,I3510),1,0))</f>
        <v/>
      </c>
    </row>
    <row r="3511" customFormat="false" ht="15" hidden="false" customHeight="false" outlineLevel="0" collapsed="false">
      <c r="I3511" s="15" t="str">
        <f aca="false">IF(A3511="","",INT(A3511))</f>
        <v/>
      </c>
      <c r="J3511" s="16" t="str">
        <f aca="false">IF(B3511="","",IF(A3511=_xlfn.MINIFS($A$2:$A$5001,$B$2:$B$5001,B3511),1,0))</f>
        <v/>
      </c>
      <c r="K3511" s="16" t="str">
        <f aca="false">IF(B3511="","",IF(AND(D3511="Formalização",E3511="Concluído"),IF(COUNTIFS($B$2:$B$5001,B3511,$E$2:$E$5001,"Em ajustes",$A$2:$A$5001,"&lt;"&amp;I3511)&gt;0,1,0),0))</f>
        <v/>
      </c>
      <c r="L3511" s="16" t="str">
        <f aca="false">IF(B3511="","",IF(A3511=_xlfn.MAXIFS($A$2:$A$5001,$B$2:$B$5001,B3511,$I$2:$I$5001,I3511),1,0))</f>
        <v/>
      </c>
    </row>
    <row r="3512" customFormat="false" ht="15" hidden="false" customHeight="false" outlineLevel="0" collapsed="false">
      <c r="I3512" s="15" t="str">
        <f aca="false">IF(A3512="","",INT(A3512))</f>
        <v/>
      </c>
      <c r="J3512" s="16" t="str">
        <f aca="false">IF(B3512="","",IF(A3512=_xlfn.MINIFS($A$2:$A$5001,$B$2:$B$5001,B3512),1,0))</f>
        <v/>
      </c>
      <c r="K3512" s="16" t="str">
        <f aca="false">IF(B3512="","",IF(AND(D3512="Formalização",E3512="Concluído"),IF(COUNTIFS($B$2:$B$5001,B3512,$E$2:$E$5001,"Em ajustes",$A$2:$A$5001,"&lt;"&amp;I3512)&gt;0,1,0),0))</f>
        <v/>
      </c>
      <c r="L3512" s="16" t="str">
        <f aca="false">IF(B3512="","",IF(A3512=_xlfn.MAXIFS($A$2:$A$5001,$B$2:$B$5001,B3512,$I$2:$I$5001,I3512),1,0))</f>
        <v/>
      </c>
    </row>
    <row r="3513" customFormat="false" ht="15" hidden="false" customHeight="false" outlineLevel="0" collapsed="false">
      <c r="I3513" s="15" t="str">
        <f aca="false">IF(A3513="","",INT(A3513))</f>
        <v/>
      </c>
      <c r="J3513" s="16" t="str">
        <f aca="false">IF(B3513="","",IF(A3513=_xlfn.MINIFS($A$2:$A$5001,$B$2:$B$5001,B3513),1,0))</f>
        <v/>
      </c>
      <c r="K3513" s="16" t="str">
        <f aca="false">IF(B3513="","",IF(AND(D3513="Formalização",E3513="Concluído"),IF(COUNTIFS($B$2:$B$5001,B3513,$E$2:$E$5001,"Em ajustes",$A$2:$A$5001,"&lt;"&amp;I3513)&gt;0,1,0),0))</f>
        <v/>
      </c>
      <c r="L3513" s="16" t="str">
        <f aca="false">IF(B3513="","",IF(A3513=_xlfn.MAXIFS($A$2:$A$5001,$B$2:$B$5001,B3513,$I$2:$I$5001,I3513),1,0))</f>
        <v/>
      </c>
    </row>
    <row r="3514" customFormat="false" ht="15" hidden="false" customHeight="false" outlineLevel="0" collapsed="false">
      <c r="I3514" s="15" t="str">
        <f aca="false">IF(A3514="","",INT(A3514))</f>
        <v/>
      </c>
      <c r="J3514" s="16" t="str">
        <f aca="false">IF(B3514="","",IF(A3514=_xlfn.MINIFS($A$2:$A$5001,$B$2:$B$5001,B3514),1,0))</f>
        <v/>
      </c>
      <c r="K3514" s="16" t="str">
        <f aca="false">IF(B3514="","",IF(AND(D3514="Formalização",E3514="Concluído"),IF(COUNTIFS($B$2:$B$5001,B3514,$E$2:$E$5001,"Em ajustes",$A$2:$A$5001,"&lt;"&amp;I3514)&gt;0,1,0),0))</f>
        <v/>
      </c>
      <c r="L3514" s="16" t="str">
        <f aca="false">IF(B3514="","",IF(A3514=_xlfn.MAXIFS($A$2:$A$5001,$B$2:$B$5001,B3514,$I$2:$I$5001,I3514),1,0))</f>
        <v/>
      </c>
    </row>
    <row r="3515" customFormat="false" ht="15" hidden="false" customHeight="false" outlineLevel="0" collapsed="false">
      <c r="I3515" s="15" t="str">
        <f aca="false">IF(A3515="","",INT(A3515))</f>
        <v/>
      </c>
      <c r="J3515" s="16" t="str">
        <f aca="false">IF(B3515="","",IF(A3515=_xlfn.MINIFS($A$2:$A$5001,$B$2:$B$5001,B3515),1,0))</f>
        <v/>
      </c>
      <c r="K3515" s="16" t="str">
        <f aca="false">IF(B3515="","",IF(AND(D3515="Formalização",E3515="Concluído"),IF(COUNTIFS($B$2:$B$5001,B3515,$E$2:$E$5001,"Em ajustes",$A$2:$A$5001,"&lt;"&amp;I3515)&gt;0,1,0),0))</f>
        <v/>
      </c>
      <c r="L3515" s="16" t="str">
        <f aca="false">IF(B3515="","",IF(A3515=_xlfn.MAXIFS($A$2:$A$5001,$B$2:$B$5001,B3515,$I$2:$I$5001,I3515),1,0))</f>
        <v/>
      </c>
    </row>
    <row r="3516" customFormat="false" ht="15" hidden="false" customHeight="false" outlineLevel="0" collapsed="false">
      <c r="I3516" s="15" t="str">
        <f aca="false">IF(A3516="","",INT(A3516))</f>
        <v/>
      </c>
      <c r="J3516" s="16" t="str">
        <f aca="false">IF(B3516="","",IF(A3516=_xlfn.MINIFS($A$2:$A$5001,$B$2:$B$5001,B3516),1,0))</f>
        <v/>
      </c>
      <c r="K3516" s="16" t="str">
        <f aca="false">IF(B3516="","",IF(AND(D3516="Formalização",E3516="Concluído"),IF(COUNTIFS($B$2:$B$5001,B3516,$E$2:$E$5001,"Em ajustes",$A$2:$A$5001,"&lt;"&amp;I3516)&gt;0,1,0),0))</f>
        <v/>
      </c>
      <c r="L3516" s="16" t="str">
        <f aca="false">IF(B3516="","",IF(A3516=_xlfn.MAXIFS($A$2:$A$5001,$B$2:$B$5001,B3516,$I$2:$I$5001,I3516),1,0))</f>
        <v/>
      </c>
    </row>
    <row r="3517" customFormat="false" ht="15" hidden="false" customHeight="false" outlineLevel="0" collapsed="false">
      <c r="I3517" s="15" t="str">
        <f aca="false">IF(A3517="","",INT(A3517))</f>
        <v/>
      </c>
      <c r="J3517" s="16" t="str">
        <f aca="false">IF(B3517="","",IF(A3517=_xlfn.MINIFS($A$2:$A$5001,$B$2:$B$5001,B3517),1,0))</f>
        <v/>
      </c>
      <c r="K3517" s="16" t="str">
        <f aca="false">IF(B3517="","",IF(AND(D3517="Formalização",E3517="Concluído"),IF(COUNTIFS($B$2:$B$5001,B3517,$E$2:$E$5001,"Em ajustes",$A$2:$A$5001,"&lt;"&amp;I3517)&gt;0,1,0),0))</f>
        <v/>
      </c>
      <c r="L3517" s="16" t="str">
        <f aca="false">IF(B3517="","",IF(A3517=_xlfn.MAXIFS($A$2:$A$5001,$B$2:$B$5001,B3517,$I$2:$I$5001,I3517),1,0))</f>
        <v/>
      </c>
    </row>
    <row r="3518" customFormat="false" ht="15" hidden="false" customHeight="false" outlineLevel="0" collapsed="false">
      <c r="I3518" s="15" t="str">
        <f aca="false">IF(A3518="","",INT(A3518))</f>
        <v/>
      </c>
      <c r="J3518" s="16" t="str">
        <f aca="false">IF(B3518="","",IF(A3518=_xlfn.MINIFS($A$2:$A$5001,$B$2:$B$5001,B3518),1,0))</f>
        <v/>
      </c>
      <c r="K3518" s="16" t="str">
        <f aca="false">IF(B3518="","",IF(AND(D3518="Formalização",E3518="Concluído"),IF(COUNTIFS($B$2:$B$5001,B3518,$E$2:$E$5001,"Em ajustes",$A$2:$A$5001,"&lt;"&amp;I3518)&gt;0,1,0),0))</f>
        <v/>
      </c>
      <c r="L3518" s="16" t="str">
        <f aca="false">IF(B3518="","",IF(A3518=_xlfn.MAXIFS($A$2:$A$5001,$B$2:$B$5001,B3518,$I$2:$I$5001,I3518),1,0))</f>
        <v/>
      </c>
    </row>
    <row r="3519" customFormat="false" ht="15" hidden="false" customHeight="false" outlineLevel="0" collapsed="false">
      <c r="I3519" s="15" t="str">
        <f aca="false">IF(A3519="","",INT(A3519))</f>
        <v/>
      </c>
      <c r="J3519" s="16" t="str">
        <f aca="false">IF(B3519="","",IF(A3519=_xlfn.MINIFS($A$2:$A$5001,$B$2:$B$5001,B3519),1,0))</f>
        <v/>
      </c>
      <c r="K3519" s="16" t="str">
        <f aca="false">IF(B3519="","",IF(AND(D3519="Formalização",E3519="Concluído"),IF(COUNTIFS($B$2:$B$5001,B3519,$E$2:$E$5001,"Em ajustes",$A$2:$A$5001,"&lt;"&amp;I3519)&gt;0,1,0),0))</f>
        <v/>
      </c>
      <c r="L3519" s="16" t="str">
        <f aca="false">IF(B3519="","",IF(A3519=_xlfn.MAXIFS($A$2:$A$5001,$B$2:$B$5001,B3519,$I$2:$I$5001,I3519),1,0))</f>
        <v/>
      </c>
    </row>
    <row r="3520" customFormat="false" ht="15" hidden="false" customHeight="false" outlineLevel="0" collapsed="false">
      <c r="I3520" s="15" t="str">
        <f aca="false">IF(A3520="","",INT(A3520))</f>
        <v/>
      </c>
      <c r="J3520" s="16" t="str">
        <f aca="false">IF(B3520="","",IF(A3520=_xlfn.MINIFS($A$2:$A$5001,$B$2:$B$5001,B3520),1,0))</f>
        <v/>
      </c>
      <c r="K3520" s="16" t="str">
        <f aca="false">IF(B3520="","",IF(AND(D3520="Formalização",E3520="Concluído"),IF(COUNTIFS($B$2:$B$5001,B3520,$E$2:$E$5001,"Em ajustes",$A$2:$A$5001,"&lt;"&amp;I3520)&gt;0,1,0),0))</f>
        <v/>
      </c>
      <c r="L3520" s="16" t="str">
        <f aca="false">IF(B3520="","",IF(A3520=_xlfn.MAXIFS($A$2:$A$5001,$B$2:$B$5001,B3520,$I$2:$I$5001,I3520),1,0))</f>
        <v/>
      </c>
    </row>
    <row r="3521" customFormat="false" ht="15" hidden="false" customHeight="false" outlineLevel="0" collapsed="false">
      <c r="I3521" s="15" t="str">
        <f aca="false">IF(A3521="","",INT(A3521))</f>
        <v/>
      </c>
      <c r="J3521" s="16" t="str">
        <f aca="false">IF(B3521="","",IF(A3521=_xlfn.MINIFS($A$2:$A$5001,$B$2:$B$5001,B3521),1,0))</f>
        <v/>
      </c>
      <c r="K3521" s="16" t="str">
        <f aca="false">IF(B3521="","",IF(AND(D3521="Formalização",E3521="Concluído"),IF(COUNTIFS($B$2:$B$5001,B3521,$E$2:$E$5001,"Em ajustes",$A$2:$A$5001,"&lt;"&amp;I3521)&gt;0,1,0),0))</f>
        <v/>
      </c>
      <c r="L3521" s="16" t="str">
        <f aca="false">IF(B3521="","",IF(A3521=_xlfn.MAXIFS($A$2:$A$5001,$B$2:$B$5001,B3521,$I$2:$I$5001,I3521),1,0))</f>
        <v/>
      </c>
    </row>
    <row r="3522" customFormat="false" ht="15" hidden="false" customHeight="false" outlineLevel="0" collapsed="false">
      <c r="I3522" s="15" t="str">
        <f aca="false">IF(A3522="","",INT(A3522))</f>
        <v/>
      </c>
      <c r="J3522" s="16" t="str">
        <f aca="false">IF(B3522="","",IF(A3522=_xlfn.MINIFS($A$2:$A$5001,$B$2:$B$5001,B3522),1,0))</f>
        <v/>
      </c>
      <c r="K3522" s="16" t="str">
        <f aca="false">IF(B3522="","",IF(AND(D3522="Formalização",E3522="Concluído"),IF(COUNTIFS($B$2:$B$5001,B3522,$E$2:$E$5001,"Em ajustes",$A$2:$A$5001,"&lt;"&amp;I3522)&gt;0,1,0),0))</f>
        <v/>
      </c>
      <c r="L3522" s="16" t="str">
        <f aca="false">IF(B3522="","",IF(A3522=_xlfn.MAXIFS($A$2:$A$5001,$B$2:$B$5001,B3522,$I$2:$I$5001,I3522),1,0))</f>
        <v/>
      </c>
    </row>
    <row r="3523" customFormat="false" ht="15" hidden="false" customHeight="false" outlineLevel="0" collapsed="false">
      <c r="I3523" s="15" t="str">
        <f aca="false">IF(A3523="","",INT(A3523))</f>
        <v/>
      </c>
      <c r="J3523" s="16" t="str">
        <f aca="false">IF(B3523="","",IF(A3523=_xlfn.MINIFS($A$2:$A$5001,$B$2:$B$5001,B3523),1,0))</f>
        <v/>
      </c>
      <c r="K3523" s="16" t="str">
        <f aca="false">IF(B3523="","",IF(AND(D3523="Formalização",E3523="Concluído"),IF(COUNTIFS($B$2:$B$5001,B3523,$E$2:$E$5001,"Em ajustes",$A$2:$A$5001,"&lt;"&amp;I3523)&gt;0,1,0),0))</f>
        <v/>
      </c>
      <c r="L3523" s="16" t="str">
        <f aca="false">IF(B3523="","",IF(A3523=_xlfn.MAXIFS($A$2:$A$5001,$B$2:$B$5001,B3523,$I$2:$I$5001,I3523),1,0))</f>
        <v/>
      </c>
    </row>
    <row r="3524" customFormat="false" ht="15" hidden="false" customHeight="false" outlineLevel="0" collapsed="false">
      <c r="I3524" s="15" t="str">
        <f aca="false">IF(A3524="","",INT(A3524))</f>
        <v/>
      </c>
      <c r="J3524" s="16" t="str">
        <f aca="false">IF(B3524="","",IF(A3524=_xlfn.MINIFS($A$2:$A$5001,$B$2:$B$5001,B3524),1,0))</f>
        <v/>
      </c>
      <c r="K3524" s="16" t="str">
        <f aca="false">IF(B3524="","",IF(AND(D3524="Formalização",E3524="Concluído"),IF(COUNTIFS($B$2:$B$5001,B3524,$E$2:$E$5001,"Em ajustes",$A$2:$A$5001,"&lt;"&amp;I3524)&gt;0,1,0),0))</f>
        <v/>
      </c>
      <c r="L3524" s="16" t="str">
        <f aca="false">IF(B3524="","",IF(A3524=_xlfn.MAXIFS($A$2:$A$5001,$B$2:$B$5001,B3524,$I$2:$I$5001,I3524),1,0))</f>
        <v/>
      </c>
    </row>
    <row r="3525" customFormat="false" ht="15" hidden="false" customHeight="false" outlineLevel="0" collapsed="false">
      <c r="I3525" s="15" t="str">
        <f aca="false">IF(A3525="","",INT(A3525))</f>
        <v/>
      </c>
      <c r="J3525" s="16" t="str">
        <f aca="false">IF(B3525="","",IF(A3525=_xlfn.MINIFS($A$2:$A$5001,$B$2:$B$5001,B3525),1,0))</f>
        <v/>
      </c>
      <c r="K3525" s="16" t="str">
        <f aca="false">IF(B3525="","",IF(AND(D3525="Formalização",E3525="Concluído"),IF(COUNTIFS($B$2:$B$5001,B3525,$E$2:$E$5001,"Em ajustes",$A$2:$A$5001,"&lt;"&amp;I3525)&gt;0,1,0),0))</f>
        <v/>
      </c>
      <c r="L3525" s="16" t="str">
        <f aca="false">IF(B3525="","",IF(A3525=_xlfn.MAXIFS($A$2:$A$5001,$B$2:$B$5001,B3525,$I$2:$I$5001,I3525),1,0))</f>
        <v/>
      </c>
    </row>
    <row r="3526" customFormat="false" ht="15" hidden="false" customHeight="false" outlineLevel="0" collapsed="false">
      <c r="I3526" s="15" t="str">
        <f aca="false">IF(A3526="","",INT(A3526))</f>
        <v/>
      </c>
      <c r="J3526" s="16" t="str">
        <f aca="false">IF(B3526="","",IF(A3526=_xlfn.MINIFS($A$2:$A$5001,$B$2:$B$5001,B3526),1,0))</f>
        <v/>
      </c>
      <c r="K3526" s="16" t="str">
        <f aca="false">IF(B3526="","",IF(AND(D3526="Formalização",E3526="Concluído"),IF(COUNTIFS($B$2:$B$5001,B3526,$E$2:$E$5001,"Em ajustes",$A$2:$A$5001,"&lt;"&amp;I3526)&gt;0,1,0),0))</f>
        <v/>
      </c>
      <c r="L3526" s="16" t="str">
        <f aca="false">IF(B3526="","",IF(A3526=_xlfn.MAXIFS($A$2:$A$5001,$B$2:$B$5001,B3526,$I$2:$I$5001,I3526),1,0))</f>
        <v/>
      </c>
    </row>
    <row r="3527" customFormat="false" ht="15" hidden="false" customHeight="false" outlineLevel="0" collapsed="false">
      <c r="I3527" s="15" t="str">
        <f aca="false">IF(A3527="","",INT(A3527))</f>
        <v/>
      </c>
      <c r="J3527" s="16" t="str">
        <f aca="false">IF(B3527="","",IF(A3527=_xlfn.MINIFS($A$2:$A$5001,$B$2:$B$5001,B3527),1,0))</f>
        <v/>
      </c>
      <c r="K3527" s="16" t="str">
        <f aca="false">IF(B3527="","",IF(AND(D3527="Formalização",E3527="Concluído"),IF(COUNTIFS($B$2:$B$5001,B3527,$E$2:$E$5001,"Em ajustes",$A$2:$A$5001,"&lt;"&amp;I3527)&gt;0,1,0),0))</f>
        <v/>
      </c>
      <c r="L3527" s="16" t="str">
        <f aca="false">IF(B3527="","",IF(A3527=_xlfn.MAXIFS($A$2:$A$5001,$B$2:$B$5001,B3527,$I$2:$I$5001,I3527),1,0))</f>
        <v/>
      </c>
    </row>
    <row r="3528" customFormat="false" ht="15" hidden="false" customHeight="false" outlineLevel="0" collapsed="false">
      <c r="I3528" s="15" t="str">
        <f aca="false">IF(A3528="","",INT(A3528))</f>
        <v/>
      </c>
      <c r="J3528" s="16" t="str">
        <f aca="false">IF(B3528="","",IF(A3528=_xlfn.MINIFS($A$2:$A$5001,$B$2:$B$5001,B3528),1,0))</f>
        <v/>
      </c>
      <c r="K3528" s="16" t="str">
        <f aca="false">IF(B3528="","",IF(AND(D3528="Formalização",E3528="Concluído"),IF(COUNTIFS($B$2:$B$5001,B3528,$E$2:$E$5001,"Em ajustes",$A$2:$A$5001,"&lt;"&amp;I3528)&gt;0,1,0),0))</f>
        <v/>
      </c>
      <c r="L3528" s="16" t="str">
        <f aca="false">IF(B3528="","",IF(A3528=_xlfn.MAXIFS($A$2:$A$5001,$B$2:$B$5001,B3528,$I$2:$I$5001,I3528),1,0))</f>
        <v/>
      </c>
    </row>
    <row r="3529" customFormat="false" ht="15" hidden="false" customHeight="false" outlineLevel="0" collapsed="false">
      <c r="I3529" s="15" t="str">
        <f aca="false">IF(A3529="","",INT(A3529))</f>
        <v/>
      </c>
      <c r="J3529" s="16" t="str">
        <f aca="false">IF(B3529="","",IF(A3529=_xlfn.MINIFS($A$2:$A$5001,$B$2:$B$5001,B3529),1,0))</f>
        <v/>
      </c>
      <c r="K3529" s="16" t="str">
        <f aca="false">IF(B3529="","",IF(AND(D3529="Formalização",E3529="Concluído"),IF(COUNTIFS($B$2:$B$5001,B3529,$E$2:$E$5001,"Em ajustes",$A$2:$A$5001,"&lt;"&amp;I3529)&gt;0,1,0),0))</f>
        <v/>
      </c>
      <c r="L3529" s="16" t="str">
        <f aca="false">IF(B3529="","",IF(A3529=_xlfn.MAXIFS($A$2:$A$5001,$B$2:$B$5001,B3529,$I$2:$I$5001,I3529),1,0))</f>
        <v/>
      </c>
    </row>
    <row r="3530" customFormat="false" ht="15" hidden="false" customHeight="false" outlineLevel="0" collapsed="false">
      <c r="I3530" s="15" t="str">
        <f aca="false">IF(A3530="","",INT(A3530))</f>
        <v/>
      </c>
      <c r="J3530" s="16" t="str">
        <f aca="false">IF(B3530="","",IF(A3530=_xlfn.MINIFS($A$2:$A$5001,$B$2:$B$5001,B3530),1,0))</f>
        <v/>
      </c>
      <c r="K3530" s="16" t="str">
        <f aca="false">IF(B3530="","",IF(AND(D3530="Formalização",E3530="Concluído"),IF(COUNTIFS($B$2:$B$5001,B3530,$E$2:$E$5001,"Em ajustes",$A$2:$A$5001,"&lt;"&amp;I3530)&gt;0,1,0),0))</f>
        <v/>
      </c>
      <c r="L3530" s="16" t="str">
        <f aca="false">IF(B3530="","",IF(A3530=_xlfn.MAXIFS($A$2:$A$5001,$B$2:$B$5001,B3530,$I$2:$I$5001,I3530),1,0))</f>
        <v/>
      </c>
    </row>
    <row r="3531" customFormat="false" ht="15" hidden="false" customHeight="false" outlineLevel="0" collapsed="false">
      <c r="I3531" s="15" t="str">
        <f aca="false">IF(A3531="","",INT(A3531))</f>
        <v/>
      </c>
      <c r="J3531" s="16" t="str">
        <f aca="false">IF(B3531="","",IF(A3531=_xlfn.MINIFS($A$2:$A$5001,$B$2:$B$5001,B3531),1,0))</f>
        <v/>
      </c>
      <c r="K3531" s="16" t="str">
        <f aca="false">IF(B3531="","",IF(AND(D3531="Formalização",E3531="Concluído"),IF(COUNTIFS($B$2:$B$5001,B3531,$E$2:$E$5001,"Em ajustes",$A$2:$A$5001,"&lt;"&amp;I3531)&gt;0,1,0),0))</f>
        <v/>
      </c>
      <c r="L3531" s="16" t="str">
        <f aca="false">IF(B3531="","",IF(A3531=_xlfn.MAXIFS($A$2:$A$5001,$B$2:$B$5001,B3531,$I$2:$I$5001,I3531),1,0))</f>
        <v/>
      </c>
    </row>
    <row r="3532" customFormat="false" ht="15" hidden="false" customHeight="false" outlineLevel="0" collapsed="false">
      <c r="I3532" s="15" t="str">
        <f aca="false">IF(A3532="","",INT(A3532))</f>
        <v/>
      </c>
      <c r="J3532" s="16" t="str">
        <f aca="false">IF(B3532="","",IF(A3532=_xlfn.MINIFS($A$2:$A$5001,$B$2:$B$5001,B3532),1,0))</f>
        <v/>
      </c>
      <c r="K3532" s="16" t="str">
        <f aca="false">IF(B3532="","",IF(AND(D3532="Formalização",E3532="Concluído"),IF(COUNTIFS($B$2:$B$5001,B3532,$E$2:$E$5001,"Em ajustes",$A$2:$A$5001,"&lt;"&amp;I3532)&gt;0,1,0),0))</f>
        <v/>
      </c>
      <c r="L3532" s="16" t="str">
        <f aca="false">IF(B3532="","",IF(A3532=_xlfn.MAXIFS($A$2:$A$5001,$B$2:$B$5001,B3532,$I$2:$I$5001,I3532),1,0))</f>
        <v/>
      </c>
    </row>
    <row r="3533" customFormat="false" ht="15" hidden="false" customHeight="false" outlineLevel="0" collapsed="false">
      <c r="I3533" s="15" t="str">
        <f aca="false">IF(A3533="","",INT(A3533))</f>
        <v/>
      </c>
      <c r="J3533" s="16" t="str">
        <f aca="false">IF(B3533="","",IF(A3533=_xlfn.MINIFS($A$2:$A$5001,$B$2:$B$5001,B3533),1,0))</f>
        <v/>
      </c>
      <c r="K3533" s="16" t="str">
        <f aca="false">IF(B3533="","",IF(AND(D3533="Formalização",E3533="Concluído"),IF(COUNTIFS($B$2:$B$5001,B3533,$E$2:$E$5001,"Em ajustes",$A$2:$A$5001,"&lt;"&amp;I3533)&gt;0,1,0),0))</f>
        <v/>
      </c>
      <c r="L3533" s="16" t="str">
        <f aca="false">IF(B3533="","",IF(A3533=_xlfn.MAXIFS($A$2:$A$5001,$B$2:$B$5001,B3533,$I$2:$I$5001,I3533),1,0))</f>
        <v/>
      </c>
    </row>
    <row r="3534" customFormat="false" ht="15" hidden="false" customHeight="false" outlineLevel="0" collapsed="false">
      <c r="I3534" s="15" t="str">
        <f aca="false">IF(A3534="","",INT(A3534))</f>
        <v/>
      </c>
      <c r="J3534" s="16" t="str">
        <f aca="false">IF(B3534="","",IF(A3534=_xlfn.MINIFS($A$2:$A$5001,$B$2:$B$5001,B3534),1,0))</f>
        <v/>
      </c>
      <c r="K3534" s="16" t="str">
        <f aca="false">IF(B3534="","",IF(AND(D3534="Formalização",E3534="Concluído"),IF(COUNTIFS($B$2:$B$5001,B3534,$E$2:$E$5001,"Em ajustes",$A$2:$A$5001,"&lt;"&amp;I3534)&gt;0,1,0),0))</f>
        <v/>
      </c>
      <c r="L3534" s="16" t="str">
        <f aca="false">IF(B3534="","",IF(A3534=_xlfn.MAXIFS($A$2:$A$5001,$B$2:$B$5001,B3534,$I$2:$I$5001,I3534),1,0))</f>
        <v/>
      </c>
    </row>
    <row r="3535" customFormat="false" ht="15" hidden="false" customHeight="false" outlineLevel="0" collapsed="false">
      <c r="I3535" s="15" t="str">
        <f aca="false">IF(A3535="","",INT(A3535))</f>
        <v/>
      </c>
      <c r="J3535" s="16" t="str">
        <f aca="false">IF(B3535="","",IF(A3535=_xlfn.MINIFS($A$2:$A$5001,$B$2:$B$5001,B3535),1,0))</f>
        <v/>
      </c>
      <c r="K3535" s="16" t="str">
        <f aca="false">IF(B3535="","",IF(AND(D3535="Formalização",E3535="Concluído"),IF(COUNTIFS($B$2:$B$5001,B3535,$E$2:$E$5001,"Em ajustes",$A$2:$A$5001,"&lt;"&amp;I3535)&gt;0,1,0),0))</f>
        <v/>
      </c>
      <c r="L3535" s="16" t="str">
        <f aca="false">IF(B3535="","",IF(A3535=_xlfn.MAXIFS($A$2:$A$5001,$B$2:$B$5001,B3535,$I$2:$I$5001,I3535),1,0))</f>
        <v/>
      </c>
    </row>
    <row r="3536" customFormat="false" ht="15" hidden="false" customHeight="false" outlineLevel="0" collapsed="false">
      <c r="I3536" s="15" t="str">
        <f aca="false">IF(A3536="","",INT(A3536))</f>
        <v/>
      </c>
      <c r="J3536" s="16" t="str">
        <f aca="false">IF(B3536="","",IF(A3536=_xlfn.MINIFS($A$2:$A$5001,$B$2:$B$5001,B3536),1,0))</f>
        <v/>
      </c>
      <c r="K3536" s="16" t="str">
        <f aca="false">IF(B3536="","",IF(AND(D3536="Formalização",E3536="Concluído"),IF(COUNTIFS($B$2:$B$5001,B3536,$E$2:$E$5001,"Em ajustes",$A$2:$A$5001,"&lt;"&amp;I3536)&gt;0,1,0),0))</f>
        <v/>
      </c>
      <c r="L3536" s="16" t="str">
        <f aca="false">IF(B3536="","",IF(A3536=_xlfn.MAXIFS($A$2:$A$5001,$B$2:$B$5001,B3536,$I$2:$I$5001,I3536),1,0))</f>
        <v/>
      </c>
    </row>
    <row r="3537" customFormat="false" ht="15" hidden="false" customHeight="false" outlineLevel="0" collapsed="false">
      <c r="I3537" s="15" t="str">
        <f aca="false">IF(A3537="","",INT(A3537))</f>
        <v/>
      </c>
      <c r="J3537" s="16" t="str">
        <f aca="false">IF(B3537="","",IF(A3537=_xlfn.MINIFS($A$2:$A$5001,$B$2:$B$5001,B3537),1,0))</f>
        <v/>
      </c>
      <c r="K3537" s="16" t="str">
        <f aca="false">IF(B3537="","",IF(AND(D3537="Formalização",E3537="Concluído"),IF(COUNTIFS($B$2:$B$5001,B3537,$E$2:$E$5001,"Em ajustes",$A$2:$A$5001,"&lt;"&amp;I3537)&gt;0,1,0),0))</f>
        <v/>
      </c>
      <c r="L3537" s="16" t="str">
        <f aca="false">IF(B3537="","",IF(A3537=_xlfn.MAXIFS($A$2:$A$5001,$B$2:$B$5001,B3537,$I$2:$I$5001,I3537),1,0))</f>
        <v/>
      </c>
    </row>
    <row r="3538" customFormat="false" ht="15" hidden="false" customHeight="false" outlineLevel="0" collapsed="false">
      <c r="I3538" s="15" t="str">
        <f aca="false">IF(A3538="","",INT(A3538))</f>
        <v/>
      </c>
      <c r="J3538" s="16" t="str">
        <f aca="false">IF(B3538="","",IF(A3538=_xlfn.MINIFS($A$2:$A$5001,$B$2:$B$5001,B3538),1,0))</f>
        <v/>
      </c>
      <c r="K3538" s="16" t="str">
        <f aca="false">IF(B3538="","",IF(AND(D3538="Formalização",E3538="Concluído"),IF(COUNTIFS($B$2:$B$5001,B3538,$E$2:$E$5001,"Em ajustes",$A$2:$A$5001,"&lt;"&amp;I3538)&gt;0,1,0),0))</f>
        <v/>
      </c>
      <c r="L3538" s="16" t="str">
        <f aca="false">IF(B3538="","",IF(A3538=_xlfn.MAXIFS($A$2:$A$5001,$B$2:$B$5001,B3538,$I$2:$I$5001,I3538),1,0))</f>
        <v/>
      </c>
    </row>
    <row r="3539" customFormat="false" ht="15" hidden="false" customHeight="false" outlineLevel="0" collapsed="false">
      <c r="I3539" s="15" t="str">
        <f aca="false">IF(A3539="","",INT(A3539))</f>
        <v/>
      </c>
      <c r="J3539" s="16" t="str">
        <f aca="false">IF(B3539="","",IF(A3539=_xlfn.MINIFS($A$2:$A$5001,$B$2:$B$5001,B3539),1,0))</f>
        <v/>
      </c>
      <c r="K3539" s="16" t="str">
        <f aca="false">IF(B3539="","",IF(AND(D3539="Formalização",E3539="Concluído"),IF(COUNTIFS($B$2:$B$5001,B3539,$E$2:$E$5001,"Em ajustes",$A$2:$A$5001,"&lt;"&amp;I3539)&gt;0,1,0),0))</f>
        <v/>
      </c>
      <c r="L3539" s="16" t="str">
        <f aca="false">IF(B3539="","",IF(A3539=_xlfn.MAXIFS($A$2:$A$5001,$B$2:$B$5001,B3539,$I$2:$I$5001,I3539),1,0))</f>
        <v/>
      </c>
    </row>
    <row r="3540" customFormat="false" ht="15" hidden="false" customHeight="false" outlineLevel="0" collapsed="false">
      <c r="I3540" s="15" t="str">
        <f aca="false">IF(A3540="","",INT(A3540))</f>
        <v/>
      </c>
      <c r="J3540" s="16" t="str">
        <f aca="false">IF(B3540="","",IF(A3540=_xlfn.MINIFS($A$2:$A$5001,$B$2:$B$5001,B3540),1,0))</f>
        <v/>
      </c>
      <c r="K3540" s="16" t="str">
        <f aca="false">IF(B3540="","",IF(AND(D3540="Formalização",E3540="Concluído"),IF(COUNTIFS($B$2:$B$5001,B3540,$E$2:$E$5001,"Em ajustes",$A$2:$A$5001,"&lt;"&amp;I3540)&gt;0,1,0),0))</f>
        <v/>
      </c>
      <c r="L3540" s="16" t="str">
        <f aca="false">IF(B3540="","",IF(A3540=_xlfn.MAXIFS($A$2:$A$5001,$B$2:$B$5001,B3540,$I$2:$I$5001,I3540),1,0))</f>
        <v/>
      </c>
    </row>
    <row r="3541" customFormat="false" ht="15" hidden="false" customHeight="false" outlineLevel="0" collapsed="false">
      <c r="I3541" s="15" t="str">
        <f aca="false">IF(A3541="","",INT(A3541))</f>
        <v/>
      </c>
      <c r="J3541" s="16" t="str">
        <f aca="false">IF(B3541="","",IF(A3541=_xlfn.MINIFS($A$2:$A$5001,$B$2:$B$5001,B3541),1,0))</f>
        <v/>
      </c>
      <c r="K3541" s="16" t="str">
        <f aca="false">IF(B3541="","",IF(AND(D3541="Formalização",E3541="Concluído"),IF(COUNTIFS($B$2:$B$5001,B3541,$E$2:$E$5001,"Em ajustes",$A$2:$A$5001,"&lt;"&amp;I3541)&gt;0,1,0),0))</f>
        <v/>
      </c>
      <c r="L3541" s="16" t="str">
        <f aca="false">IF(B3541="","",IF(A3541=_xlfn.MAXIFS($A$2:$A$5001,$B$2:$B$5001,B3541,$I$2:$I$5001,I3541),1,0))</f>
        <v/>
      </c>
    </row>
    <row r="3542" customFormat="false" ht="15" hidden="false" customHeight="false" outlineLevel="0" collapsed="false">
      <c r="I3542" s="15" t="str">
        <f aca="false">IF(A3542="","",INT(A3542))</f>
        <v/>
      </c>
      <c r="J3542" s="16" t="str">
        <f aca="false">IF(B3542="","",IF(A3542=_xlfn.MINIFS($A$2:$A$5001,$B$2:$B$5001,B3542),1,0))</f>
        <v/>
      </c>
      <c r="K3542" s="16" t="str">
        <f aca="false">IF(B3542="","",IF(AND(D3542="Formalização",E3542="Concluído"),IF(COUNTIFS($B$2:$B$5001,B3542,$E$2:$E$5001,"Em ajustes",$A$2:$A$5001,"&lt;"&amp;I3542)&gt;0,1,0),0))</f>
        <v/>
      </c>
      <c r="L3542" s="16" t="str">
        <f aca="false">IF(B3542="","",IF(A3542=_xlfn.MAXIFS($A$2:$A$5001,$B$2:$B$5001,B3542,$I$2:$I$5001,I3542),1,0))</f>
        <v/>
      </c>
    </row>
    <row r="3543" customFormat="false" ht="15" hidden="false" customHeight="false" outlineLevel="0" collapsed="false">
      <c r="I3543" s="15" t="str">
        <f aca="false">IF(A3543="","",INT(A3543))</f>
        <v/>
      </c>
      <c r="J3543" s="16" t="str">
        <f aca="false">IF(B3543="","",IF(A3543=_xlfn.MINIFS($A$2:$A$5001,$B$2:$B$5001,B3543),1,0))</f>
        <v/>
      </c>
      <c r="K3543" s="16" t="str">
        <f aca="false">IF(B3543="","",IF(AND(D3543="Formalização",E3543="Concluído"),IF(COUNTIFS($B$2:$B$5001,B3543,$E$2:$E$5001,"Em ajustes",$A$2:$A$5001,"&lt;"&amp;I3543)&gt;0,1,0),0))</f>
        <v/>
      </c>
      <c r="L3543" s="16" t="str">
        <f aca="false">IF(B3543="","",IF(A3543=_xlfn.MAXIFS($A$2:$A$5001,$B$2:$B$5001,B3543,$I$2:$I$5001,I3543),1,0))</f>
        <v/>
      </c>
    </row>
    <row r="3544" customFormat="false" ht="15" hidden="false" customHeight="false" outlineLevel="0" collapsed="false">
      <c r="I3544" s="15" t="str">
        <f aca="false">IF(A3544="","",INT(A3544))</f>
        <v/>
      </c>
      <c r="J3544" s="16" t="str">
        <f aca="false">IF(B3544="","",IF(A3544=_xlfn.MINIFS($A$2:$A$5001,$B$2:$B$5001,B3544),1,0))</f>
        <v/>
      </c>
      <c r="K3544" s="16" t="str">
        <f aca="false">IF(B3544="","",IF(AND(D3544="Formalização",E3544="Concluído"),IF(COUNTIFS($B$2:$B$5001,B3544,$E$2:$E$5001,"Em ajustes",$A$2:$A$5001,"&lt;"&amp;I3544)&gt;0,1,0),0))</f>
        <v/>
      </c>
      <c r="L3544" s="16" t="str">
        <f aca="false">IF(B3544="","",IF(A3544=_xlfn.MAXIFS($A$2:$A$5001,$B$2:$B$5001,B3544,$I$2:$I$5001,I3544),1,0))</f>
        <v/>
      </c>
    </row>
    <row r="3545" customFormat="false" ht="15" hidden="false" customHeight="false" outlineLevel="0" collapsed="false">
      <c r="I3545" s="15" t="str">
        <f aca="false">IF(A3545="","",INT(A3545))</f>
        <v/>
      </c>
      <c r="J3545" s="16" t="str">
        <f aca="false">IF(B3545="","",IF(A3545=_xlfn.MINIFS($A$2:$A$5001,$B$2:$B$5001,B3545),1,0))</f>
        <v/>
      </c>
      <c r="K3545" s="16" t="str">
        <f aca="false">IF(B3545="","",IF(AND(D3545="Formalização",E3545="Concluído"),IF(COUNTIFS($B$2:$B$5001,B3545,$E$2:$E$5001,"Em ajustes",$A$2:$A$5001,"&lt;"&amp;I3545)&gt;0,1,0),0))</f>
        <v/>
      </c>
      <c r="L3545" s="16" t="str">
        <f aca="false">IF(B3545="","",IF(A3545=_xlfn.MAXIFS($A$2:$A$5001,$B$2:$B$5001,B3545,$I$2:$I$5001,I3545),1,0))</f>
        <v/>
      </c>
    </row>
    <row r="3546" customFormat="false" ht="15" hidden="false" customHeight="false" outlineLevel="0" collapsed="false">
      <c r="I3546" s="15" t="str">
        <f aca="false">IF(A3546="","",INT(A3546))</f>
        <v/>
      </c>
      <c r="J3546" s="16" t="str">
        <f aca="false">IF(B3546="","",IF(A3546=_xlfn.MINIFS($A$2:$A$5001,$B$2:$B$5001,B3546),1,0))</f>
        <v/>
      </c>
      <c r="K3546" s="16" t="str">
        <f aca="false">IF(B3546="","",IF(AND(D3546="Formalização",E3546="Concluído"),IF(COUNTIFS($B$2:$B$5001,B3546,$E$2:$E$5001,"Em ajustes",$A$2:$A$5001,"&lt;"&amp;I3546)&gt;0,1,0),0))</f>
        <v/>
      </c>
      <c r="L3546" s="16" t="str">
        <f aca="false">IF(B3546="","",IF(A3546=_xlfn.MAXIFS($A$2:$A$5001,$B$2:$B$5001,B3546,$I$2:$I$5001,I3546),1,0))</f>
        <v/>
      </c>
    </row>
    <row r="3547" customFormat="false" ht="15" hidden="false" customHeight="false" outlineLevel="0" collapsed="false">
      <c r="I3547" s="15" t="str">
        <f aca="false">IF(A3547="","",INT(A3547))</f>
        <v/>
      </c>
      <c r="J3547" s="16" t="str">
        <f aca="false">IF(B3547="","",IF(A3547=_xlfn.MINIFS($A$2:$A$5001,$B$2:$B$5001,B3547),1,0))</f>
        <v/>
      </c>
      <c r="K3547" s="16" t="str">
        <f aca="false">IF(B3547="","",IF(AND(D3547="Formalização",E3547="Concluído"),IF(COUNTIFS($B$2:$B$5001,B3547,$E$2:$E$5001,"Em ajustes",$A$2:$A$5001,"&lt;"&amp;I3547)&gt;0,1,0),0))</f>
        <v/>
      </c>
      <c r="L3547" s="16" t="str">
        <f aca="false">IF(B3547="","",IF(A3547=_xlfn.MAXIFS($A$2:$A$5001,$B$2:$B$5001,B3547,$I$2:$I$5001,I3547),1,0))</f>
        <v/>
      </c>
    </row>
    <row r="3548" customFormat="false" ht="15" hidden="false" customHeight="false" outlineLevel="0" collapsed="false">
      <c r="I3548" s="15" t="str">
        <f aca="false">IF(A3548="","",INT(A3548))</f>
        <v/>
      </c>
      <c r="J3548" s="16" t="str">
        <f aca="false">IF(B3548="","",IF(A3548=_xlfn.MINIFS($A$2:$A$5001,$B$2:$B$5001,B3548),1,0))</f>
        <v/>
      </c>
      <c r="K3548" s="16" t="str">
        <f aca="false">IF(B3548="","",IF(AND(D3548="Formalização",E3548="Concluído"),IF(COUNTIFS($B$2:$B$5001,B3548,$E$2:$E$5001,"Em ajustes",$A$2:$A$5001,"&lt;"&amp;I3548)&gt;0,1,0),0))</f>
        <v/>
      </c>
      <c r="L3548" s="16" t="str">
        <f aca="false">IF(B3548="","",IF(A3548=_xlfn.MAXIFS($A$2:$A$5001,$B$2:$B$5001,B3548,$I$2:$I$5001,I3548),1,0))</f>
        <v/>
      </c>
    </row>
    <row r="3549" customFormat="false" ht="15" hidden="false" customHeight="false" outlineLevel="0" collapsed="false">
      <c r="I3549" s="15" t="str">
        <f aca="false">IF(A3549="","",INT(A3549))</f>
        <v/>
      </c>
      <c r="J3549" s="16" t="str">
        <f aca="false">IF(B3549="","",IF(A3549=_xlfn.MINIFS($A$2:$A$5001,$B$2:$B$5001,B3549),1,0))</f>
        <v/>
      </c>
      <c r="K3549" s="16" t="str">
        <f aca="false">IF(B3549="","",IF(AND(D3549="Formalização",E3549="Concluído"),IF(COUNTIFS($B$2:$B$5001,B3549,$E$2:$E$5001,"Em ajustes",$A$2:$A$5001,"&lt;"&amp;I3549)&gt;0,1,0),0))</f>
        <v/>
      </c>
      <c r="L3549" s="16" t="str">
        <f aca="false">IF(B3549="","",IF(A3549=_xlfn.MAXIFS($A$2:$A$5001,$B$2:$B$5001,B3549,$I$2:$I$5001,I3549),1,0))</f>
        <v/>
      </c>
    </row>
    <row r="3550" customFormat="false" ht="15" hidden="false" customHeight="false" outlineLevel="0" collapsed="false">
      <c r="I3550" s="15" t="str">
        <f aca="false">IF(A3550="","",INT(A3550))</f>
        <v/>
      </c>
      <c r="J3550" s="16" t="str">
        <f aca="false">IF(B3550="","",IF(A3550=_xlfn.MINIFS($A$2:$A$5001,$B$2:$B$5001,B3550),1,0))</f>
        <v/>
      </c>
      <c r="K3550" s="16" t="str">
        <f aca="false">IF(B3550="","",IF(AND(D3550="Formalização",E3550="Concluído"),IF(COUNTIFS($B$2:$B$5001,B3550,$E$2:$E$5001,"Em ajustes",$A$2:$A$5001,"&lt;"&amp;I3550)&gt;0,1,0),0))</f>
        <v/>
      </c>
      <c r="L3550" s="16" t="str">
        <f aca="false">IF(B3550="","",IF(A3550=_xlfn.MAXIFS($A$2:$A$5001,$B$2:$B$5001,B3550,$I$2:$I$5001,I3550),1,0))</f>
        <v/>
      </c>
    </row>
    <row r="3551" customFormat="false" ht="15" hidden="false" customHeight="false" outlineLevel="0" collapsed="false">
      <c r="I3551" s="15" t="str">
        <f aca="false">IF(A3551="","",INT(A3551))</f>
        <v/>
      </c>
      <c r="J3551" s="16" t="str">
        <f aca="false">IF(B3551="","",IF(A3551=_xlfn.MINIFS($A$2:$A$5001,$B$2:$B$5001,B3551),1,0))</f>
        <v/>
      </c>
      <c r="K3551" s="16" t="str">
        <f aca="false">IF(B3551="","",IF(AND(D3551="Formalização",E3551="Concluído"),IF(COUNTIFS($B$2:$B$5001,B3551,$E$2:$E$5001,"Em ajustes",$A$2:$A$5001,"&lt;"&amp;I3551)&gt;0,1,0),0))</f>
        <v/>
      </c>
      <c r="L3551" s="16" t="str">
        <f aca="false">IF(B3551="","",IF(A3551=_xlfn.MAXIFS($A$2:$A$5001,$B$2:$B$5001,B3551,$I$2:$I$5001,I3551),1,0))</f>
        <v/>
      </c>
    </row>
    <row r="3552" customFormat="false" ht="15" hidden="false" customHeight="false" outlineLevel="0" collapsed="false">
      <c r="I3552" s="15" t="str">
        <f aca="false">IF(A3552="","",INT(A3552))</f>
        <v/>
      </c>
      <c r="J3552" s="16" t="str">
        <f aca="false">IF(B3552="","",IF(A3552=_xlfn.MINIFS($A$2:$A$5001,$B$2:$B$5001,B3552),1,0))</f>
        <v/>
      </c>
      <c r="K3552" s="16" t="str">
        <f aca="false">IF(B3552="","",IF(AND(D3552="Formalização",E3552="Concluído"),IF(COUNTIFS($B$2:$B$5001,B3552,$E$2:$E$5001,"Em ajustes",$A$2:$A$5001,"&lt;"&amp;I3552)&gt;0,1,0),0))</f>
        <v/>
      </c>
      <c r="L3552" s="16" t="str">
        <f aca="false">IF(B3552="","",IF(A3552=_xlfn.MAXIFS($A$2:$A$5001,$B$2:$B$5001,B3552,$I$2:$I$5001,I3552),1,0))</f>
        <v/>
      </c>
    </row>
    <row r="3553" customFormat="false" ht="15" hidden="false" customHeight="false" outlineLevel="0" collapsed="false">
      <c r="I3553" s="15" t="str">
        <f aca="false">IF(A3553="","",INT(A3553))</f>
        <v/>
      </c>
      <c r="J3553" s="16" t="str">
        <f aca="false">IF(B3553="","",IF(A3553=_xlfn.MINIFS($A$2:$A$5001,$B$2:$B$5001,B3553),1,0))</f>
        <v/>
      </c>
      <c r="K3553" s="16" t="str">
        <f aca="false">IF(B3553="","",IF(AND(D3553="Formalização",E3553="Concluído"),IF(COUNTIFS($B$2:$B$5001,B3553,$E$2:$E$5001,"Em ajustes",$A$2:$A$5001,"&lt;"&amp;I3553)&gt;0,1,0),0))</f>
        <v/>
      </c>
      <c r="L3553" s="16" t="str">
        <f aca="false">IF(B3553="","",IF(A3553=_xlfn.MAXIFS($A$2:$A$5001,$B$2:$B$5001,B3553,$I$2:$I$5001,I3553),1,0))</f>
        <v/>
      </c>
    </row>
    <row r="3554" customFormat="false" ht="15" hidden="false" customHeight="false" outlineLevel="0" collapsed="false">
      <c r="I3554" s="15" t="str">
        <f aca="false">IF(A3554="","",INT(A3554))</f>
        <v/>
      </c>
      <c r="J3554" s="16" t="str">
        <f aca="false">IF(B3554="","",IF(A3554=_xlfn.MINIFS($A$2:$A$5001,$B$2:$B$5001,B3554),1,0))</f>
        <v/>
      </c>
      <c r="K3554" s="16" t="str">
        <f aca="false">IF(B3554="","",IF(AND(D3554="Formalização",E3554="Concluído"),IF(COUNTIFS($B$2:$B$5001,B3554,$E$2:$E$5001,"Em ajustes",$A$2:$A$5001,"&lt;"&amp;I3554)&gt;0,1,0),0))</f>
        <v/>
      </c>
      <c r="L3554" s="16" t="str">
        <f aca="false">IF(B3554="","",IF(A3554=_xlfn.MAXIFS($A$2:$A$5001,$B$2:$B$5001,B3554,$I$2:$I$5001,I3554),1,0))</f>
        <v/>
      </c>
    </row>
    <row r="3555" customFormat="false" ht="15" hidden="false" customHeight="false" outlineLevel="0" collapsed="false">
      <c r="I3555" s="15" t="str">
        <f aca="false">IF(A3555="","",INT(A3555))</f>
        <v/>
      </c>
      <c r="J3555" s="16" t="str">
        <f aca="false">IF(B3555="","",IF(A3555=_xlfn.MINIFS($A$2:$A$5001,$B$2:$B$5001,B3555),1,0))</f>
        <v/>
      </c>
      <c r="K3555" s="16" t="str">
        <f aca="false">IF(B3555="","",IF(AND(D3555="Formalização",E3555="Concluído"),IF(COUNTIFS($B$2:$B$5001,B3555,$E$2:$E$5001,"Em ajustes",$A$2:$A$5001,"&lt;"&amp;I3555)&gt;0,1,0),0))</f>
        <v/>
      </c>
      <c r="L3555" s="16" t="str">
        <f aca="false">IF(B3555="","",IF(A3555=_xlfn.MAXIFS($A$2:$A$5001,$B$2:$B$5001,B3555,$I$2:$I$5001,I3555),1,0))</f>
        <v/>
      </c>
    </row>
    <row r="3556" customFormat="false" ht="15" hidden="false" customHeight="false" outlineLevel="0" collapsed="false">
      <c r="I3556" s="15" t="str">
        <f aca="false">IF(A3556="","",INT(A3556))</f>
        <v/>
      </c>
      <c r="J3556" s="16" t="str">
        <f aca="false">IF(B3556="","",IF(A3556=_xlfn.MINIFS($A$2:$A$5001,$B$2:$B$5001,B3556),1,0))</f>
        <v/>
      </c>
      <c r="K3556" s="16" t="str">
        <f aca="false">IF(B3556="","",IF(AND(D3556="Formalização",E3556="Concluído"),IF(COUNTIFS($B$2:$B$5001,B3556,$E$2:$E$5001,"Em ajustes",$A$2:$A$5001,"&lt;"&amp;I3556)&gt;0,1,0),0))</f>
        <v/>
      </c>
      <c r="L3556" s="16" t="str">
        <f aca="false">IF(B3556="","",IF(A3556=_xlfn.MAXIFS($A$2:$A$5001,$B$2:$B$5001,B3556,$I$2:$I$5001,I3556),1,0))</f>
        <v/>
      </c>
    </row>
    <row r="3557" customFormat="false" ht="15" hidden="false" customHeight="false" outlineLevel="0" collapsed="false">
      <c r="I3557" s="15" t="str">
        <f aca="false">IF(A3557="","",INT(A3557))</f>
        <v/>
      </c>
      <c r="J3557" s="16" t="str">
        <f aca="false">IF(B3557="","",IF(A3557=_xlfn.MINIFS($A$2:$A$5001,$B$2:$B$5001,B3557),1,0))</f>
        <v/>
      </c>
      <c r="K3557" s="16" t="str">
        <f aca="false">IF(B3557="","",IF(AND(D3557="Formalização",E3557="Concluído"),IF(COUNTIFS($B$2:$B$5001,B3557,$E$2:$E$5001,"Em ajustes",$A$2:$A$5001,"&lt;"&amp;I3557)&gt;0,1,0),0))</f>
        <v/>
      </c>
      <c r="L3557" s="16" t="str">
        <f aca="false">IF(B3557="","",IF(A3557=_xlfn.MAXIFS($A$2:$A$5001,$B$2:$B$5001,B3557,$I$2:$I$5001,I3557),1,0))</f>
        <v/>
      </c>
    </row>
    <row r="3558" customFormat="false" ht="15" hidden="false" customHeight="false" outlineLevel="0" collapsed="false">
      <c r="I3558" s="15" t="str">
        <f aca="false">IF(A3558="","",INT(A3558))</f>
        <v/>
      </c>
      <c r="J3558" s="16" t="str">
        <f aca="false">IF(B3558="","",IF(A3558=_xlfn.MINIFS($A$2:$A$5001,$B$2:$B$5001,B3558),1,0))</f>
        <v/>
      </c>
      <c r="K3558" s="16" t="str">
        <f aca="false">IF(B3558="","",IF(AND(D3558="Formalização",E3558="Concluído"),IF(COUNTIFS($B$2:$B$5001,B3558,$E$2:$E$5001,"Em ajustes",$A$2:$A$5001,"&lt;"&amp;I3558)&gt;0,1,0),0))</f>
        <v/>
      </c>
      <c r="L3558" s="16" t="str">
        <f aca="false">IF(B3558="","",IF(A3558=_xlfn.MAXIFS($A$2:$A$5001,$B$2:$B$5001,B3558,$I$2:$I$5001,I3558),1,0))</f>
        <v/>
      </c>
    </row>
    <row r="3559" customFormat="false" ht="15" hidden="false" customHeight="false" outlineLevel="0" collapsed="false">
      <c r="I3559" s="15" t="str">
        <f aca="false">IF(A3559="","",INT(A3559))</f>
        <v/>
      </c>
      <c r="J3559" s="16" t="str">
        <f aca="false">IF(B3559="","",IF(A3559=_xlfn.MINIFS($A$2:$A$5001,$B$2:$B$5001,B3559),1,0))</f>
        <v/>
      </c>
      <c r="K3559" s="16" t="str">
        <f aca="false">IF(B3559="","",IF(AND(D3559="Formalização",E3559="Concluído"),IF(COUNTIFS($B$2:$B$5001,B3559,$E$2:$E$5001,"Em ajustes",$A$2:$A$5001,"&lt;"&amp;I3559)&gt;0,1,0),0))</f>
        <v/>
      </c>
      <c r="L3559" s="16" t="str">
        <f aca="false">IF(B3559="","",IF(A3559=_xlfn.MAXIFS($A$2:$A$5001,$B$2:$B$5001,B3559,$I$2:$I$5001,I3559),1,0))</f>
        <v/>
      </c>
    </row>
    <row r="3560" customFormat="false" ht="15" hidden="false" customHeight="false" outlineLevel="0" collapsed="false">
      <c r="I3560" s="15" t="str">
        <f aca="false">IF(A3560="","",INT(A3560))</f>
        <v/>
      </c>
      <c r="J3560" s="16" t="str">
        <f aca="false">IF(B3560="","",IF(A3560=_xlfn.MINIFS($A$2:$A$5001,$B$2:$B$5001,B3560),1,0))</f>
        <v/>
      </c>
      <c r="K3560" s="16" t="str">
        <f aca="false">IF(B3560="","",IF(AND(D3560="Formalização",E3560="Concluído"),IF(COUNTIFS($B$2:$B$5001,B3560,$E$2:$E$5001,"Em ajustes",$A$2:$A$5001,"&lt;"&amp;I3560)&gt;0,1,0),0))</f>
        <v/>
      </c>
      <c r="L3560" s="16" t="str">
        <f aca="false">IF(B3560="","",IF(A3560=_xlfn.MAXIFS($A$2:$A$5001,$B$2:$B$5001,B3560,$I$2:$I$5001,I3560),1,0))</f>
        <v/>
      </c>
    </row>
    <row r="3561" customFormat="false" ht="15" hidden="false" customHeight="false" outlineLevel="0" collapsed="false">
      <c r="I3561" s="15" t="str">
        <f aca="false">IF(A3561="","",INT(A3561))</f>
        <v/>
      </c>
      <c r="J3561" s="16" t="str">
        <f aca="false">IF(B3561="","",IF(A3561=_xlfn.MINIFS($A$2:$A$5001,$B$2:$B$5001,B3561),1,0))</f>
        <v/>
      </c>
      <c r="K3561" s="16" t="str">
        <f aca="false">IF(B3561="","",IF(AND(D3561="Formalização",E3561="Concluído"),IF(COUNTIFS($B$2:$B$5001,B3561,$E$2:$E$5001,"Em ajustes",$A$2:$A$5001,"&lt;"&amp;I3561)&gt;0,1,0),0))</f>
        <v/>
      </c>
      <c r="L3561" s="16" t="str">
        <f aca="false">IF(B3561="","",IF(A3561=_xlfn.MAXIFS($A$2:$A$5001,$B$2:$B$5001,B3561,$I$2:$I$5001,I3561),1,0))</f>
        <v/>
      </c>
    </row>
    <row r="3562" customFormat="false" ht="15" hidden="false" customHeight="false" outlineLevel="0" collapsed="false">
      <c r="I3562" s="15" t="str">
        <f aca="false">IF(A3562="","",INT(A3562))</f>
        <v/>
      </c>
      <c r="J3562" s="16" t="str">
        <f aca="false">IF(B3562="","",IF(A3562=_xlfn.MINIFS($A$2:$A$5001,$B$2:$B$5001,B3562),1,0))</f>
        <v/>
      </c>
      <c r="K3562" s="16" t="str">
        <f aca="false">IF(B3562="","",IF(AND(D3562="Formalização",E3562="Concluído"),IF(COUNTIFS($B$2:$B$5001,B3562,$E$2:$E$5001,"Em ajustes",$A$2:$A$5001,"&lt;"&amp;I3562)&gt;0,1,0),0))</f>
        <v/>
      </c>
      <c r="L3562" s="16" t="str">
        <f aca="false">IF(B3562="","",IF(A3562=_xlfn.MAXIFS($A$2:$A$5001,$B$2:$B$5001,B3562,$I$2:$I$5001,I3562),1,0))</f>
        <v/>
      </c>
    </row>
    <row r="3563" customFormat="false" ht="15" hidden="false" customHeight="false" outlineLevel="0" collapsed="false">
      <c r="I3563" s="15" t="str">
        <f aca="false">IF(A3563="","",INT(A3563))</f>
        <v/>
      </c>
      <c r="J3563" s="16" t="str">
        <f aca="false">IF(B3563="","",IF(A3563=_xlfn.MINIFS($A$2:$A$5001,$B$2:$B$5001,B3563),1,0))</f>
        <v/>
      </c>
      <c r="K3563" s="16" t="str">
        <f aca="false">IF(B3563="","",IF(AND(D3563="Formalização",E3563="Concluído"),IF(COUNTIFS($B$2:$B$5001,B3563,$E$2:$E$5001,"Em ajustes",$A$2:$A$5001,"&lt;"&amp;I3563)&gt;0,1,0),0))</f>
        <v/>
      </c>
      <c r="L3563" s="16" t="str">
        <f aca="false">IF(B3563="","",IF(A3563=_xlfn.MAXIFS($A$2:$A$5001,$B$2:$B$5001,B3563,$I$2:$I$5001,I3563),1,0))</f>
        <v/>
      </c>
    </row>
    <row r="3564" customFormat="false" ht="15" hidden="false" customHeight="false" outlineLevel="0" collapsed="false">
      <c r="I3564" s="15" t="str">
        <f aca="false">IF(A3564="","",INT(A3564))</f>
        <v/>
      </c>
      <c r="J3564" s="16" t="str">
        <f aca="false">IF(B3564="","",IF(A3564=_xlfn.MINIFS($A$2:$A$5001,$B$2:$B$5001,B3564),1,0))</f>
        <v/>
      </c>
      <c r="K3564" s="16" t="str">
        <f aca="false">IF(B3564="","",IF(AND(D3564="Formalização",E3564="Concluído"),IF(COUNTIFS($B$2:$B$5001,B3564,$E$2:$E$5001,"Em ajustes",$A$2:$A$5001,"&lt;"&amp;I3564)&gt;0,1,0),0))</f>
        <v/>
      </c>
      <c r="L3564" s="16" t="str">
        <f aca="false">IF(B3564="","",IF(A3564=_xlfn.MAXIFS($A$2:$A$5001,$B$2:$B$5001,B3564,$I$2:$I$5001,I3564),1,0))</f>
        <v/>
      </c>
    </row>
    <row r="3565" customFormat="false" ht="15" hidden="false" customHeight="false" outlineLevel="0" collapsed="false">
      <c r="I3565" s="15" t="str">
        <f aca="false">IF(A3565="","",INT(A3565))</f>
        <v/>
      </c>
      <c r="J3565" s="16" t="str">
        <f aca="false">IF(B3565="","",IF(A3565=_xlfn.MINIFS($A$2:$A$5001,$B$2:$B$5001,B3565),1,0))</f>
        <v/>
      </c>
      <c r="K3565" s="16" t="str">
        <f aca="false">IF(B3565="","",IF(AND(D3565="Formalização",E3565="Concluído"),IF(COUNTIFS($B$2:$B$5001,B3565,$E$2:$E$5001,"Em ajustes",$A$2:$A$5001,"&lt;"&amp;I3565)&gt;0,1,0),0))</f>
        <v/>
      </c>
      <c r="L3565" s="16" t="str">
        <f aca="false">IF(B3565="","",IF(A3565=_xlfn.MAXIFS($A$2:$A$5001,$B$2:$B$5001,B3565,$I$2:$I$5001,I3565),1,0))</f>
        <v/>
      </c>
    </row>
    <row r="3566" customFormat="false" ht="15" hidden="false" customHeight="false" outlineLevel="0" collapsed="false">
      <c r="I3566" s="15" t="str">
        <f aca="false">IF(A3566="","",INT(A3566))</f>
        <v/>
      </c>
      <c r="J3566" s="16" t="str">
        <f aca="false">IF(B3566="","",IF(A3566=_xlfn.MINIFS($A$2:$A$5001,$B$2:$B$5001,B3566),1,0))</f>
        <v/>
      </c>
      <c r="K3566" s="16" t="str">
        <f aca="false">IF(B3566="","",IF(AND(D3566="Formalização",E3566="Concluído"),IF(COUNTIFS($B$2:$B$5001,B3566,$E$2:$E$5001,"Em ajustes",$A$2:$A$5001,"&lt;"&amp;I3566)&gt;0,1,0),0))</f>
        <v/>
      </c>
      <c r="L3566" s="16" t="str">
        <f aca="false">IF(B3566="","",IF(A3566=_xlfn.MAXIFS($A$2:$A$5001,$B$2:$B$5001,B3566,$I$2:$I$5001,I3566),1,0))</f>
        <v/>
      </c>
    </row>
    <row r="3567" customFormat="false" ht="15" hidden="false" customHeight="false" outlineLevel="0" collapsed="false">
      <c r="I3567" s="15" t="str">
        <f aca="false">IF(A3567="","",INT(A3567))</f>
        <v/>
      </c>
      <c r="J3567" s="16" t="str">
        <f aca="false">IF(B3567="","",IF(A3567=_xlfn.MINIFS($A$2:$A$5001,$B$2:$B$5001,B3567),1,0))</f>
        <v/>
      </c>
      <c r="K3567" s="16" t="str">
        <f aca="false">IF(B3567="","",IF(AND(D3567="Formalização",E3567="Concluído"),IF(COUNTIFS($B$2:$B$5001,B3567,$E$2:$E$5001,"Em ajustes",$A$2:$A$5001,"&lt;"&amp;I3567)&gt;0,1,0),0))</f>
        <v/>
      </c>
      <c r="L3567" s="16" t="str">
        <f aca="false">IF(B3567="","",IF(A3567=_xlfn.MAXIFS($A$2:$A$5001,$B$2:$B$5001,B3567,$I$2:$I$5001,I3567),1,0))</f>
        <v/>
      </c>
    </row>
    <row r="3568" customFormat="false" ht="15" hidden="false" customHeight="false" outlineLevel="0" collapsed="false">
      <c r="I3568" s="15" t="str">
        <f aca="false">IF(A3568="","",INT(A3568))</f>
        <v/>
      </c>
      <c r="J3568" s="16" t="str">
        <f aca="false">IF(B3568="","",IF(A3568=_xlfn.MINIFS($A$2:$A$5001,$B$2:$B$5001,B3568),1,0))</f>
        <v/>
      </c>
      <c r="K3568" s="16" t="str">
        <f aca="false">IF(B3568="","",IF(AND(D3568="Formalização",E3568="Concluído"),IF(COUNTIFS($B$2:$B$5001,B3568,$E$2:$E$5001,"Em ajustes",$A$2:$A$5001,"&lt;"&amp;I3568)&gt;0,1,0),0))</f>
        <v/>
      </c>
      <c r="L3568" s="16" t="str">
        <f aca="false">IF(B3568="","",IF(A3568=_xlfn.MAXIFS($A$2:$A$5001,$B$2:$B$5001,B3568,$I$2:$I$5001,I3568),1,0))</f>
        <v/>
      </c>
    </row>
    <row r="3569" customFormat="false" ht="15" hidden="false" customHeight="false" outlineLevel="0" collapsed="false">
      <c r="I3569" s="15" t="str">
        <f aca="false">IF(A3569="","",INT(A3569))</f>
        <v/>
      </c>
      <c r="J3569" s="16" t="str">
        <f aca="false">IF(B3569="","",IF(A3569=_xlfn.MINIFS($A$2:$A$5001,$B$2:$B$5001,B3569),1,0))</f>
        <v/>
      </c>
      <c r="K3569" s="16" t="str">
        <f aca="false">IF(B3569="","",IF(AND(D3569="Formalização",E3569="Concluído"),IF(COUNTIFS($B$2:$B$5001,B3569,$E$2:$E$5001,"Em ajustes",$A$2:$A$5001,"&lt;"&amp;I3569)&gt;0,1,0),0))</f>
        <v/>
      </c>
      <c r="L3569" s="16" t="str">
        <f aca="false">IF(B3569="","",IF(A3569=_xlfn.MAXIFS($A$2:$A$5001,$B$2:$B$5001,B3569,$I$2:$I$5001,I3569),1,0))</f>
        <v/>
      </c>
    </row>
    <row r="3570" customFormat="false" ht="15" hidden="false" customHeight="false" outlineLevel="0" collapsed="false">
      <c r="I3570" s="15" t="str">
        <f aca="false">IF(A3570="","",INT(A3570))</f>
        <v/>
      </c>
      <c r="J3570" s="16" t="str">
        <f aca="false">IF(B3570="","",IF(A3570=_xlfn.MINIFS($A$2:$A$5001,$B$2:$B$5001,B3570),1,0))</f>
        <v/>
      </c>
      <c r="K3570" s="16" t="str">
        <f aca="false">IF(B3570="","",IF(AND(D3570="Formalização",E3570="Concluído"),IF(COUNTIFS($B$2:$B$5001,B3570,$E$2:$E$5001,"Em ajustes",$A$2:$A$5001,"&lt;"&amp;I3570)&gt;0,1,0),0))</f>
        <v/>
      </c>
      <c r="L3570" s="16" t="str">
        <f aca="false">IF(B3570="","",IF(A3570=_xlfn.MAXIFS($A$2:$A$5001,$B$2:$B$5001,B3570,$I$2:$I$5001,I3570),1,0))</f>
        <v/>
      </c>
    </row>
    <row r="3571" customFormat="false" ht="15" hidden="false" customHeight="false" outlineLevel="0" collapsed="false">
      <c r="I3571" s="15" t="str">
        <f aca="false">IF(A3571="","",INT(A3571))</f>
        <v/>
      </c>
      <c r="J3571" s="16" t="str">
        <f aca="false">IF(B3571="","",IF(A3571=_xlfn.MINIFS($A$2:$A$5001,$B$2:$B$5001,B3571),1,0))</f>
        <v/>
      </c>
      <c r="K3571" s="16" t="str">
        <f aca="false">IF(B3571="","",IF(AND(D3571="Formalização",E3571="Concluído"),IF(COUNTIFS($B$2:$B$5001,B3571,$E$2:$E$5001,"Em ajustes",$A$2:$A$5001,"&lt;"&amp;I3571)&gt;0,1,0),0))</f>
        <v/>
      </c>
      <c r="L3571" s="16" t="str">
        <f aca="false">IF(B3571="","",IF(A3571=_xlfn.MAXIFS($A$2:$A$5001,$B$2:$B$5001,B3571,$I$2:$I$5001,I3571),1,0))</f>
        <v/>
      </c>
    </row>
    <row r="3572" customFormat="false" ht="15" hidden="false" customHeight="false" outlineLevel="0" collapsed="false">
      <c r="I3572" s="15" t="str">
        <f aca="false">IF(A3572="","",INT(A3572))</f>
        <v/>
      </c>
      <c r="J3572" s="16" t="str">
        <f aca="false">IF(B3572="","",IF(A3572=_xlfn.MINIFS($A$2:$A$5001,$B$2:$B$5001,B3572),1,0))</f>
        <v/>
      </c>
      <c r="K3572" s="16" t="str">
        <f aca="false">IF(B3572="","",IF(AND(D3572="Formalização",E3572="Concluído"),IF(COUNTIFS($B$2:$B$5001,B3572,$E$2:$E$5001,"Em ajustes",$A$2:$A$5001,"&lt;"&amp;I3572)&gt;0,1,0),0))</f>
        <v/>
      </c>
      <c r="L3572" s="16" t="str">
        <f aca="false">IF(B3572="","",IF(A3572=_xlfn.MAXIFS($A$2:$A$5001,$B$2:$B$5001,B3572,$I$2:$I$5001,I3572),1,0))</f>
        <v/>
      </c>
    </row>
    <row r="3573" customFormat="false" ht="15" hidden="false" customHeight="false" outlineLevel="0" collapsed="false">
      <c r="I3573" s="15" t="str">
        <f aca="false">IF(A3573="","",INT(A3573))</f>
        <v/>
      </c>
      <c r="J3573" s="16" t="str">
        <f aca="false">IF(B3573="","",IF(A3573=_xlfn.MINIFS($A$2:$A$5001,$B$2:$B$5001,B3573),1,0))</f>
        <v/>
      </c>
      <c r="K3573" s="16" t="str">
        <f aca="false">IF(B3573="","",IF(AND(D3573="Formalização",E3573="Concluído"),IF(COUNTIFS($B$2:$B$5001,B3573,$E$2:$E$5001,"Em ajustes",$A$2:$A$5001,"&lt;"&amp;I3573)&gt;0,1,0),0))</f>
        <v/>
      </c>
      <c r="L3573" s="16" t="str">
        <f aca="false">IF(B3573="","",IF(A3573=_xlfn.MAXIFS($A$2:$A$5001,$B$2:$B$5001,B3573,$I$2:$I$5001,I3573),1,0))</f>
        <v/>
      </c>
    </row>
    <row r="3574" customFormat="false" ht="15" hidden="false" customHeight="false" outlineLevel="0" collapsed="false">
      <c r="I3574" s="15" t="str">
        <f aca="false">IF(A3574="","",INT(A3574))</f>
        <v/>
      </c>
      <c r="J3574" s="16" t="str">
        <f aca="false">IF(B3574="","",IF(A3574=_xlfn.MINIFS($A$2:$A$5001,$B$2:$B$5001,B3574),1,0))</f>
        <v/>
      </c>
      <c r="K3574" s="16" t="str">
        <f aca="false">IF(B3574="","",IF(AND(D3574="Formalização",E3574="Concluído"),IF(COUNTIFS($B$2:$B$5001,B3574,$E$2:$E$5001,"Em ajustes",$A$2:$A$5001,"&lt;"&amp;I3574)&gt;0,1,0),0))</f>
        <v/>
      </c>
      <c r="L3574" s="16" t="str">
        <f aca="false">IF(B3574="","",IF(A3574=_xlfn.MAXIFS($A$2:$A$5001,$B$2:$B$5001,B3574,$I$2:$I$5001,I3574),1,0))</f>
        <v/>
      </c>
    </row>
    <row r="3575" customFormat="false" ht="15" hidden="false" customHeight="false" outlineLevel="0" collapsed="false">
      <c r="I3575" s="15" t="str">
        <f aca="false">IF(A3575="","",INT(A3575))</f>
        <v/>
      </c>
      <c r="J3575" s="16" t="str">
        <f aca="false">IF(B3575="","",IF(A3575=_xlfn.MINIFS($A$2:$A$5001,$B$2:$B$5001,B3575),1,0))</f>
        <v/>
      </c>
      <c r="K3575" s="16" t="str">
        <f aca="false">IF(B3575="","",IF(AND(D3575="Formalização",E3575="Concluído"),IF(COUNTIFS($B$2:$B$5001,B3575,$E$2:$E$5001,"Em ajustes",$A$2:$A$5001,"&lt;"&amp;I3575)&gt;0,1,0),0))</f>
        <v/>
      </c>
      <c r="L3575" s="16" t="str">
        <f aca="false">IF(B3575="","",IF(A3575=_xlfn.MAXIFS($A$2:$A$5001,$B$2:$B$5001,B3575,$I$2:$I$5001,I3575),1,0))</f>
        <v/>
      </c>
    </row>
    <row r="3576" customFormat="false" ht="15" hidden="false" customHeight="false" outlineLevel="0" collapsed="false">
      <c r="I3576" s="15" t="str">
        <f aca="false">IF(A3576="","",INT(A3576))</f>
        <v/>
      </c>
      <c r="J3576" s="16" t="str">
        <f aca="false">IF(B3576="","",IF(A3576=_xlfn.MINIFS($A$2:$A$5001,$B$2:$B$5001,B3576),1,0))</f>
        <v/>
      </c>
      <c r="K3576" s="16" t="str">
        <f aca="false">IF(B3576="","",IF(AND(D3576="Formalização",E3576="Concluído"),IF(COUNTIFS($B$2:$B$5001,B3576,$E$2:$E$5001,"Em ajustes",$A$2:$A$5001,"&lt;"&amp;I3576)&gt;0,1,0),0))</f>
        <v/>
      </c>
      <c r="L3576" s="16" t="str">
        <f aca="false">IF(B3576="","",IF(A3576=_xlfn.MAXIFS($A$2:$A$5001,$B$2:$B$5001,B3576,$I$2:$I$5001,I3576),1,0))</f>
        <v/>
      </c>
    </row>
    <row r="3577" customFormat="false" ht="15" hidden="false" customHeight="false" outlineLevel="0" collapsed="false">
      <c r="I3577" s="15" t="str">
        <f aca="false">IF(A3577="","",INT(A3577))</f>
        <v/>
      </c>
      <c r="J3577" s="16" t="str">
        <f aca="false">IF(B3577="","",IF(A3577=_xlfn.MINIFS($A$2:$A$5001,$B$2:$B$5001,B3577),1,0))</f>
        <v/>
      </c>
      <c r="K3577" s="16" t="str">
        <f aca="false">IF(B3577="","",IF(AND(D3577="Formalização",E3577="Concluído"),IF(COUNTIFS($B$2:$B$5001,B3577,$E$2:$E$5001,"Em ajustes",$A$2:$A$5001,"&lt;"&amp;I3577)&gt;0,1,0),0))</f>
        <v/>
      </c>
      <c r="L3577" s="16" t="str">
        <f aca="false">IF(B3577="","",IF(A3577=_xlfn.MAXIFS($A$2:$A$5001,$B$2:$B$5001,B3577,$I$2:$I$5001,I3577),1,0))</f>
        <v/>
      </c>
    </row>
    <row r="3578" customFormat="false" ht="15" hidden="false" customHeight="false" outlineLevel="0" collapsed="false">
      <c r="I3578" s="15" t="str">
        <f aca="false">IF(A3578="","",INT(A3578))</f>
        <v/>
      </c>
      <c r="J3578" s="16" t="str">
        <f aca="false">IF(B3578="","",IF(A3578=_xlfn.MINIFS($A$2:$A$5001,$B$2:$B$5001,B3578),1,0))</f>
        <v/>
      </c>
      <c r="K3578" s="16" t="str">
        <f aca="false">IF(B3578="","",IF(AND(D3578="Formalização",E3578="Concluído"),IF(COUNTIFS($B$2:$B$5001,B3578,$E$2:$E$5001,"Em ajustes",$A$2:$A$5001,"&lt;"&amp;I3578)&gt;0,1,0),0))</f>
        <v/>
      </c>
      <c r="L3578" s="16" t="str">
        <f aca="false">IF(B3578="","",IF(A3578=_xlfn.MAXIFS($A$2:$A$5001,$B$2:$B$5001,B3578,$I$2:$I$5001,I3578),1,0))</f>
        <v/>
      </c>
    </row>
    <row r="3579" customFormat="false" ht="15" hidden="false" customHeight="false" outlineLevel="0" collapsed="false">
      <c r="I3579" s="15" t="str">
        <f aca="false">IF(A3579="","",INT(A3579))</f>
        <v/>
      </c>
      <c r="J3579" s="16" t="str">
        <f aca="false">IF(B3579="","",IF(A3579=_xlfn.MINIFS($A$2:$A$5001,$B$2:$B$5001,B3579),1,0))</f>
        <v/>
      </c>
      <c r="K3579" s="16" t="str">
        <f aca="false">IF(B3579="","",IF(AND(D3579="Formalização",E3579="Concluído"),IF(COUNTIFS($B$2:$B$5001,B3579,$E$2:$E$5001,"Em ajustes",$A$2:$A$5001,"&lt;"&amp;I3579)&gt;0,1,0),0))</f>
        <v/>
      </c>
      <c r="L3579" s="16" t="str">
        <f aca="false">IF(B3579="","",IF(A3579=_xlfn.MAXIFS($A$2:$A$5001,$B$2:$B$5001,B3579,$I$2:$I$5001,I3579),1,0))</f>
        <v/>
      </c>
    </row>
    <row r="3580" customFormat="false" ht="15" hidden="false" customHeight="false" outlineLevel="0" collapsed="false">
      <c r="I3580" s="15" t="str">
        <f aca="false">IF(A3580="","",INT(A3580))</f>
        <v/>
      </c>
      <c r="J3580" s="16" t="str">
        <f aca="false">IF(B3580="","",IF(A3580=_xlfn.MINIFS($A$2:$A$5001,$B$2:$B$5001,B3580),1,0))</f>
        <v/>
      </c>
      <c r="K3580" s="16" t="str">
        <f aca="false">IF(B3580="","",IF(AND(D3580="Formalização",E3580="Concluído"),IF(COUNTIFS($B$2:$B$5001,B3580,$E$2:$E$5001,"Em ajustes",$A$2:$A$5001,"&lt;"&amp;I3580)&gt;0,1,0),0))</f>
        <v/>
      </c>
      <c r="L3580" s="16" t="str">
        <f aca="false">IF(B3580="","",IF(A3580=_xlfn.MAXIFS($A$2:$A$5001,$B$2:$B$5001,B3580,$I$2:$I$5001,I3580),1,0))</f>
        <v/>
      </c>
    </row>
    <row r="3581" customFormat="false" ht="15" hidden="false" customHeight="false" outlineLevel="0" collapsed="false">
      <c r="I3581" s="15" t="str">
        <f aca="false">IF(A3581="","",INT(A3581))</f>
        <v/>
      </c>
      <c r="J3581" s="16" t="str">
        <f aca="false">IF(B3581="","",IF(A3581=_xlfn.MINIFS($A$2:$A$5001,$B$2:$B$5001,B3581),1,0))</f>
        <v/>
      </c>
      <c r="K3581" s="16" t="str">
        <f aca="false">IF(B3581="","",IF(AND(D3581="Formalização",E3581="Concluído"),IF(COUNTIFS($B$2:$B$5001,B3581,$E$2:$E$5001,"Em ajustes",$A$2:$A$5001,"&lt;"&amp;I3581)&gt;0,1,0),0))</f>
        <v/>
      </c>
      <c r="L3581" s="16" t="str">
        <f aca="false">IF(B3581="","",IF(A3581=_xlfn.MAXIFS($A$2:$A$5001,$B$2:$B$5001,B3581,$I$2:$I$5001,I3581),1,0))</f>
        <v/>
      </c>
    </row>
    <row r="3582" customFormat="false" ht="15" hidden="false" customHeight="false" outlineLevel="0" collapsed="false">
      <c r="I3582" s="15" t="str">
        <f aca="false">IF(A3582="","",INT(A3582))</f>
        <v/>
      </c>
      <c r="J3582" s="16" t="str">
        <f aca="false">IF(B3582="","",IF(A3582=_xlfn.MINIFS($A$2:$A$5001,$B$2:$B$5001,B3582),1,0))</f>
        <v/>
      </c>
      <c r="K3582" s="16" t="str">
        <f aca="false">IF(B3582="","",IF(AND(D3582="Formalização",E3582="Concluído"),IF(COUNTIFS($B$2:$B$5001,B3582,$E$2:$E$5001,"Em ajustes",$A$2:$A$5001,"&lt;"&amp;I3582)&gt;0,1,0),0))</f>
        <v/>
      </c>
      <c r="L3582" s="16" t="str">
        <f aca="false">IF(B3582="","",IF(A3582=_xlfn.MAXIFS($A$2:$A$5001,$B$2:$B$5001,B3582,$I$2:$I$5001,I3582),1,0))</f>
        <v/>
      </c>
    </row>
    <row r="3583" customFormat="false" ht="15" hidden="false" customHeight="false" outlineLevel="0" collapsed="false">
      <c r="I3583" s="15" t="str">
        <f aca="false">IF(A3583="","",INT(A3583))</f>
        <v/>
      </c>
      <c r="J3583" s="16" t="str">
        <f aca="false">IF(B3583="","",IF(A3583=_xlfn.MINIFS($A$2:$A$5001,$B$2:$B$5001,B3583),1,0))</f>
        <v/>
      </c>
      <c r="K3583" s="16" t="str">
        <f aca="false">IF(B3583="","",IF(AND(D3583="Formalização",E3583="Concluído"),IF(COUNTIFS($B$2:$B$5001,B3583,$E$2:$E$5001,"Em ajustes",$A$2:$A$5001,"&lt;"&amp;I3583)&gt;0,1,0),0))</f>
        <v/>
      </c>
      <c r="L3583" s="16" t="str">
        <f aca="false">IF(B3583="","",IF(A3583=_xlfn.MAXIFS($A$2:$A$5001,$B$2:$B$5001,B3583,$I$2:$I$5001,I3583),1,0))</f>
        <v/>
      </c>
    </row>
    <row r="3584" customFormat="false" ht="15" hidden="false" customHeight="false" outlineLevel="0" collapsed="false">
      <c r="I3584" s="15" t="str">
        <f aca="false">IF(A3584="","",INT(A3584))</f>
        <v/>
      </c>
      <c r="J3584" s="16" t="str">
        <f aca="false">IF(B3584="","",IF(A3584=_xlfn.MINIFS($A$2:$A$5001,$B$2:$B$5001,B3584),1,0))</f>
        <v/>
      </c>
      <c r="K3584" s="16" t="str">
        <f aca="false">IF(B3584="","",IF(AND(D3584="Formalização",E3584="Concluído"),IF(COUNTIFS($B$2:$B$5001,B3584,$E$2:$E$5001,"Em ajustes",$A$2:$A$5001,"&lt;"&amp;I3584)&gt;0,1,0),0))</f>
        <v/>
      </c>
      <c r="L3584" s="16" t="str">
        <f aca="false">IF(B3584="","",IF(A3584=_xlfn.MAXIFS($A$2:$A$5001,$B$2:$B$5001,B3584,$I$2:$I$5001,I3584),1,0))</f>
        <v/>
      </c>
    </row>
    <row r="3585" customFormat="false" ht="15" hidden="false" customHeight="false" outlineLevel="0" collapsed="false">
      <c r="I3585" s="15" t="str">
        <f aca="false">IF(A3585="","",INT(A3585))</f>
        <v/>
      </c>
      <c r="J3585" s="16" t="str">
        <f aca="false">IF(B3585="","",IF(A3585=_xlfn.MINIFS($A$2:$A$5001,$B$2:$B$5001,B3585),1,0))</f>
        <v/>
      </c>
      <c r="K3585" s="16" t="str">
        <f aca="false">IF(B3585="","",IF(AND(D3585="Formalização",E3585="Concluído"),IF(COUNTIFS($B$2:$B$5001,B3585,$E$2:$E$5001,"Em ajustes",$A$2:$A$5001,"&lt;"&amp;I3585)&gt;0,1,0),0))</f>
        <v/>
      </c>
      <c r="L3585" s="16" t="str">
        <f aca="false">IF(B3585="","",IF(A3585=_xlfn.MAXIFS($A$2:$A$5001,$B$2:$B$5001,B3585,$I$2:$I$5001,I3585),1,0))</f>
        <v/>
      </c>
    </row>
    <row r="3586" customFormat="false" ht="15" hidden="false" customHeight="false" outlineLevel="0" collapsed="false">
      <c r="I3586" s="15" t="str">
        <f aca="false">IF(A3586="","",INT(A3586))</f>
        <v/>
      </c>
      <c r="J3586" s="16" t="str">
        <f aca="false">IF(B3586="","",IF(A3586=_xlfn.MINIFS($A$2:$A$5001,$B$2:$B$5001,B3586),1,0))</f>
        <v/>
      </c>
      <c r="K3586" s="16" t="str">
        <f aca="false">IF(B3586="","",IF(AND(D3586="Formalização",E3586="Concluído"),IF(COUNTIFS($B$2:$B$5001,B3586,$E$2:$E$5001,"Em ajustes",$A$2:$A$5001,"&lt;"&amp;I3586)&gt;0,1,0),0))</f>
        <v/>
      </c>
      <c r="L3586" s="16" t="str">
        <f aca="false">IF(B3586="","",IF(A3586=_xlfn.MAXIFS($A$2:$A$5001,$B$2:$B$5001,B3586,$I$2:$I$5001,I3586),1,0))</f>
        <v/>
      </c>
    </row>
    <row r="3587" customFormat="false" ht="15" hidden="false" customHeight="false" outlineLevel="0" collapsed="false">
      <c r="I3587" s="15" t="str">
        <f aca="false">IF(A3587="","",INT(A3587))</f>
        <v/>
      </c>
      <c r="J3587" s="16" t="str">
        <f aca="false">IF(B3587="","",IF(A3587=_xlfn.MINIFS($A$2:$A$5001,$B$2:$B$5001,B3587),1,0))</f>
        <v/>
      </c>
      <c r="K3587" s="16" t="str">
        <f aca="false">IF(B3587="","",IF(AND(D3587="Formalização",E3587="Concluído"),IF(COUNTIFS($B$2:$B$5001,B3587,$E$2:$E$5001,"Em ajustes",$A$2:$A$5001,"&lt;"&amp;I3587)&gt;0,1,0),0))</f>
        <v/>
      </c>
      <c r="L3587" s="16" t="str">
        <f aca="false">IF(B3587="","",IF(A3587=_xlfn.MAXIFS($A$2:$A$5001,$B$2:$B$5001,B3587,$I$2:$I$5001,I3587),1,0))</f>
        <v/>
      </c>
    </row>
    <row r="3588" customFormat="false" ht="15" hidden="false" customHeight="false" outlineLevel="0" collapsed="false">
      <c r="I3588" s="15" t="str">
        <f aca="false">IF(A3588="","",INT(A3588))</f>
        <v/>
      </c>
      <c r="J3588" s="16" t="str">
        <f aca="false">IF(B3588="","",IF(A3588=_xlfn.MINIFS($A$2:$A$5001,$B$2:$B$5001,B3588),1,0))</f>
        <v/>
      </c>
      <c r="K3588" s="16" t="str">
        <f aca="false">IF(B3588="","",IF(AND(D3588="Formalização",E3588="Concluído"),IF(COUNTIFS($B$2:$B$5001,B3588,$E$2:$E$5001,"Em ajustes",$A$2:$A$5001,"&lt;"&amp;I3588)&gt;0,1,0),0))</f>
        <v/>
      </c>
      <c r="L3588" s="16" t="str">
        <f aca="false">IF(B3588="","",IF(A3588=_xlfn.MAXIFS($A$2:$A$5001,$B$2:$B$5001,B3588,$I$2:$I$5001,I3588),1,0))</f>
        <v/>
      </c>
    </row>
    <row r="3589" customFormat="false" ht="15" hidden="false" customHeight="false" outlineLevel="0" collapsed="false">
      <c r="I3589" s="15" t="str">
        <f aca="false">IF(A3589="","",INT(A3589))</f>
        <v/>
      </c>
      <c r="J3589" s="16" t="str">
        <f aca="false">IF(B3589="","",IF(A3589=_xlfn.MINIFS($A$2:$A$5001,$B$2:$B$5001,B3589),1,0))</f>
        <v/>
      </c>
      <c r="K3589" s="16" t="str">
        <f aca="false">IF(B3589="","",IF(AND(D3589="Formalização",E3589="Concluído"),IF(COUNTIFS($B$2:$B$5001,B3589,$E$2:$E$5001,"Em ajustes",$A$2:$A$5001,"&lt;"&amp;I3589)&gt;0,1,0),0))</f>
        <v/>
      </c>
      <c r="L3589" s="16" t="str">
        <f aca="false">IF(B3589="","",IF(A3589=_xlfn.MAXIFS($A$2:$A$5001,$B$2:$B$5001,B3589,$I$2:$I$5001,I3589),1,0))</f>
        <v/>
      </c>
    </row>
    <row r="3590" customFormat="false" ht="15" hidden="false" customHeight="false" outlineLevel="0" collapsed="false">
      <c r="I3590" s="15" t="str">
        <f aca="false">IF(A3590="","",INT(A3590))</f>
        <v/>
      </c>
      <c r="J3590" s="16" t="str">
        <f aca="false">IF(B3590="","",IF(A3590=_xlfn.MINIFS($A$2:$A$5001,$B$2:$B$5001,B3590),1,0))</f>
        <v/>
      </c>
      <c r="K3590" s="16" t="str">
        <f aca="false">IF(B3590="","",IF(AND(D3590="Formalização",E3590="Concluído"),IF(COUNTIFS($B$2:$B$5001,B3590,$E$2:$E$5001,"Em ajustes",$A$2:$A$5001,"&lt;"&amp;I3590)&gt;0,1,0),0))</f>
        <v/>
      </c>
      <c r="L3590" s="16" t="str">
        <f aca="false">IF(B3590="","",IF(A3590=_xlfn.MAXIFS($A$2:$A$5001,$B$2:$B$5001,B3590,$I$2:$I$5001,I3590),1,0))</f>
        <v/>
      </c>
    </row>
    <row r="3591" customFormat="false" ht="15" hidden="false" customHeight="false" outlineLevel="0" collapsed="false">
      <c r="I3591" s="15" t="str">
        <f aca="false">IF(A3591="","",INT(A3591))</f>
        <v/>
      </c>
      <c r="J3591" s="16" t="str">
        <f aca="false">IF(B3591="","",IF(A3591=_xlfn.MINIFS($A$2:$A$5001,$B$2:$B$5001,B3591),1,0))</f>
        <v/>
      </c>
      <c r="K3591" s="16" t="str">
        <f aca="false">IF(B3591="","",IF(AND(D3591="Formalização",E3591="Concluído"),IF(COUNTIFS($B$2:$B$5001,B3591,$E$2:$E$5001,"Em ajustes",$A$2:$A$5001,"&lt;"&amp;I3591)&gt;0,1,0),0))</f>
        <v/>
      </c>
      <c r="L3591" s="16" t="str">
        <f aca="false">IF(B3591="","",IF(A3591=_xlfn.MAXIFS($A$2:$A$5001,$B$2:$B$5001,B3591,$I$2:$I$5001,I3591),1,0))</f>
        <v/>
      </c>
    </row>
    <row r="3592" customFormat="false" ht="15" hidden="false" customHeight="false" outlineLevel="0" collapsed="false">
      <c r="I3592" s="15" t="str">
        <f aca="false">IF(A3592="","",INT(A3592))</f>
        <v/>
      </c>
      <c r="J3592" s="16" t="str">
        <f aca="false">IF(B3592="","",IF(A3592=_xlfn.MINIFS($A$2:$A$5001,$B$2:$B$5001,B3592),1,0))</f>
        <v/>
      </c>
      <c r="K3592" s="16" t="str">
        <f aca="false">IF(B3592="","",IF(AND(D3592="Formalização",E3592="Concluído"),IF(COUNTIFS($B$2:$B$5001,B3592,$E$2:$E$5001,"Em ajustes",$A$2:$A$5001,"&lt;"&amp;I3592)&gt;0,1,0),0))</f>
        <v/>
      </c>
      <c r="L3592" s="16" t="str">
        <f aca="false">IF(B3592="","",IF(A3592=_xlfn.MAXIFS($A$2:$A$5001,$B$2:$B$5001,B3592,$I$2:$I$5001,I3592),1,0))</f>
        <v/>
      </c>
    </row>
    <row r="3593" customFormat="false" ht="15" hidden="false" customHeight="false" outlineLevel="0" collapsed="false">
      <c r="I3593" s="15" t="str">
        <f aca="false">IF(A3593="","",INT(A3593))</f>
        <v/>
      </c>
      <c r="J3593" s="16" t="str">
        <f aca="false">IF(B3593="","",IF(A3593=_xlfn.MINIFS($A$2:$A$5001,$B$2:$B$5001,B3593),1,0))</f>
        <v/>
      </c>
      <c r="K3593" s="16" t="str">
        <f aca="false">IF(B3593="","",IF(AND(D3593="Formalização",E3593="Concluído"),IF(COUNTIFS($B$2:$B$5001,B3593,$E$2:$E$5001,"Em ajustes",$A$2:$A$5001,"&lt;"&amp;I3593)&gt;0,1,0),0))</f>
        <v/>
      </c>
      <c r="L3593" s="16" t="str">
        <f aca="false">IF(B3593="","",IF(A3593=_xlfn.MAXIFS($A$2:$A$5001,$B$2:$B$5001,B3593,$I$2:$I$5001,I3593),1,0))</f>
        <v/>
      </c>
    </row>
    <row r="3594" customFormat="false" ht="15" hidden="false" customHeight="false" outlineLevel="0" collapsed="false">
      <c r="I3594" s="15" t="str">
        <f aca="false">IF(A3594="","",INT(A3594))</f>
        <v/>
      </c>
      <c r="J3594" s="16" t="str">
        <f aca="false">IF(B3594="","",IF(A3594=_xlfn.MINIFS($A$2:$A$5001,$B$2:$B$5001,B3594),1,0))</f>
        <v/>
      </c>
      <c r="K3594" s="16" t="str">
        <f aca="false">IF(B3594="","",IF(AND(D3594="Formalização",E3594="Concluído"),IF(COUNTIFS($B$2:$B$5001,B3594,$E$2:$E$5001,"Em ajustes",$A$2:$A$5001,"&lt;"&amp;I3594)&gt;0,1,0),0))</f>
        <v/>
      </c>
      <c r="L3594" s="16" t="str">
        <f aca="false">IF(B3594="","",IF(A3594=_xlfn.MAXIFS($A$2:$A$5001,$B$2:$B$5001,B3594,$I$2:$I$5001,I3594),1,0))</f>
        <v/>
      </c>
    </row>
    <row r="3595" customFormat="false" ht="15" hidden="false" customHeight="false" outlineLevel="0" collapsed="false">
      <c r="I3595" s="15" t="str">
        <f aca="false">IF(A3595="","",INT(A3595))</f>
        <v/>
      </c>
      <c r="J3595" s="16" t="str">
        <f aca="false">IF(B3595="","",IF(A3595=_xlfn.MINIFS($A$2:$A$5001,$B$2:$B$5001,B3595),1,0))</f>
        <v/>
      </c>
      <c r="K3595" s="16" t="str">
        <f aca="false">IF(B3595="","",IF(AND(D3595="Formalização",E3595="Concluído"),IF(COUNTIFS($B$2:$B$5001,B3595,$E$2:$E$5001,"Em ajustes",$A$2:$A$5001,"&lt;"&amp;I3595)&gt;0,1,0),0))</f>
        <v/>
      </c>
      <c r="L3595" s="16" t="str">
        <f aca="false">IF(B3595="","",IF(A3595=_xlfn.MAXIFS($A$2:$A$5001,$B$2:$B$5001,B3595,$I$2:$I$5001,I3595),1,0))</f>
        <v/>
      </c>
    </row>
    <row r="3596" customFormat="false" ht="15" hidden="false" customHeight="false" outlineLevel="0" collapsed="false">
      <c r="I3596" s="15" t="str">
        <f aca="false">IF(A3596="","",INT(A3596))</f>
        <v/>
      </c>
      <c r="J3596" s="16" t="str">
        <f aca="false">IF(B3596="","",IF(A3596=_xlfn.MINIFS($A$2:$A$5001,$B$2:$B$5001,B3596),1,0))</f>
        <v/>
      </c>
      <c r="K3596" s="16" t="str">
        <f aca="false">IF(B3596="","",IF(AND(D3596="Formalização",E3596="Concluído"),IF(COUNTIFS($B$2:$B$5001,B3596,$E$2:$E$5001,"Em ajustes",$A$2:$A$5001,"&lt;"&amp;I3596)&gt;0,1,0),0))</f>
        <v/>
      </c>
      <c r="L3596" s="16" t="str">
        <f aca="false">IF(B3596="","",IF(A3596=_xlfn.MAXIFS($A$2:$A$5001,$B$2:$B$5001,B3596,$I$2:$I$5001,I3596),1,0))</f>
        <v/>
      </c>
    </row>
    <row r="3597" customFormat="false" ht="15" hidden="false" customHeight="false" outlineLevel="0" collapsed="false">
      <c r="I3597" s="15" t="str">
        <f aca="false">IF(A3597="","",INT(A3597))</f>
        <v/>
      </c>
      <c r="J3597" s="16" t="str">
        <f aca="false">IF(B3597="","",IF(A3597=_xlfn.MINIFS($A$2:$A$5001,$B$2:$B$5001,B3597),1,0))</f>
        <v/>
      </c>
      <c r="K3597" s="16" t="str">
        <f aca="false">IF(B3597="","",IF(AND(D3597="Formalização",E3597="Concluído"),IF(COUNTIFS($B$2:$B$5001,B3597,$E$2:$E$5001,"Em ajustes",$A$2:$A$5001,"&lt;"&amp;I3597)&gt;0,1,0),0))</f>
        <v/>
      </c>
      <c r="L3597" s="16" t="str">
        <f aca="false">IF(B3597="","",IF(A3597=_xlfn.MAXIFS($A$2:$A$5001,$B$2:$B$5001,B3597,$I$2:$I$5001,I3597),1,0))</f>
        <v/>
      </c>
    </row>
    <row r="3598" customFormat="false" ht="15" hidden="false" customHeight="false" outlineLevel="0" collapsed="false">
      <c r="I3598" s="15" t="str">
        <f aca="false">IF(A3598="","",INT(A3598))</f>
        <v/>
      </c>
      <c r="J3598" s="16" t="str">
        <f aca="false">IF(B3598="","",IF(A3598=_xlfn.MINIFS($A$2:$A$5001,$B$2:$B$5001,B3598),1,0))</f>
        <v/>
      </c>
      <c r="K3598" s="16" t="str">
        <f aca="false">IF(B3598="","",IF(AND(D3598="Formalização",E3598="Concluído"),IF(COUNTIFS($B$2:$B$5001,B3598,$E$2:$E$5001,"Em ajustes",$A$2:$A$5001,"&lt;"&amp;I3598)&gt;0,1,0),0))</f>
        <v/>
      </c>
      <c r="L3598" s="16" t="str">
        <f aca="false">IF(B3598="","",IF(A3598=_xlfn.MAXIFS($A$2:$A$5001,$B$2:$B$5001,B3598,$I$2:$I$5001,I3598),1,0))</f>
        <v/>
      </c>
    </row>
    <row r="3599" customFormat="false" ht="15" hidden="false" customHeight="false" outlineLevel="0" collapsed="false">
      <c r="I3599" s="15" t="str">
        <f aca="false">IF(A3599="","",INT(A3599))</f>
        <v/>
      </c>
      <c r="J3599" s="16" t="str">
        <f aca="false">IF(B3599="","",IF(A3599=_xlfn.MINIFS($A$2:$A$5001,$B$2:$B$5001,B3599),1,0))</f>
        <v/>
      </c>
      <c r="K3599" s="16" t="str">
        <f aca="false">IF(B3599="","",IF(AND(D3599="Formalização",E3599="Concluído"),IF(COUNTIFS($B$2:$B$5001,B3599,$E$2:$E$5001,"Em ajustes",$A$2:$A$5001,"&lt;"&amp;I3599)&gt;0,1,0),0))</f>
        <v/>
      </c>
      <c r="L3599" s="16" t="str">
        <f aca="false">IF(B3599="","",IF(A3599=_xlfn.MAXIFS($A$2:$A$5001,$B$2:$B$5001,B3599,$I$2:$I$5001,I3599),1,0))</f>
        <v/>
      </c>
    </row>
    <row r="3600" customFormat="false" ht="15" hidden="false" customHeight="false" outlineLevel="0" collapsed="false">
      <c r="I3600" s="15" t="str">
        <f aca="false">IF(A3600="","",INT(A3600))</f>
        <v/>
      </c>
      <c r="J3600" s="16" t="str">
        <f aca="false">IF(B3600="","",IF(A3600=_xlfn.MINIFS($A$2:$A$5001,$B$2:$B$5001,B3600),1,0))</f>
        <v/>
      </c>
      <c r="K3600" s="16" t="str">
        <f aca="false">IF(B3600="","",IF(AND(D3600="Formalização",E3600="Concluído"),IF(COUNTIFS($B$2:$B$5001,B3600,$E$2:$E$5001,"Em ajustes",$A$2:$A$5001,"&lt;"&amp;I3600)&gt;0,1,0),0))</f>
        <v/>
      </c>
      <c r="L3600" s="16" t="str">
        <f aca="false">IF(B3600="","",IF(A3600=_xlfn.MAXIFS($A$2:$A$5001,$B$2:$B$5001,B3600,$I$2:$I$5001,I3600),1,0))</f>
        <v/>
      </c>
    </row>
    <row r="3601" customFormat="false" ht="15" hidden="false" customHeight="false" outlineLevel="0" collapsed="false">
      <c r="I3601" s="15" t="str">
        <f aca="false">IF(A3601="","",INT(A3601))</f>
        <v/>
      </c>
      <c r="J3601" s="16" t="str">
        <f aca="false">IF(B3601="","",IF(A3601=_xlfn.MINIFS($A$2:$A$5001,$B$2:$B$5001,B3601),1,0))</f>
        <v/>
      </c>
      <c r="K3601" s="16" t="str">
        <f aca="false">IF(B3601="","",IF(AND(D3601="Formalização",E3601="Concluído"),IF(COUNTIFS($B$2:$B$5001,B3601,$E$2:$E$5001,"Em ajustes",$A$2:$A$5001,"&lt;"&amp;I3601)&gt;0,1,0),0))</f>
        <v/>
      </c>
      <c r="L3601" s="16" t="str">
        <f aca="false">IF(B3601="","",IF(A3601=_xlfn.MAXIFS($A$2:$A$5001,$B$2:$B$5001,B3601,$I$2:$I$5001,I3601),1,0))</f>
        <v/>
      </c>
    </row>
    <row r="3602" customFormat="false" ht="15" hidden="false" customHeight="false" outlineLevel="0" collapsed="false">
      <c r="I3602" s="15" t="str">
        <f aca="false">IF(A3602="","",INT(A3602))</f>
        <v/>
      </c>
      <c r="J3602" s="16" t="str">
        <f aca="false">IF(B3602="","",IF(A3602=_xlfn.MINIFS($A$2:$A$5001,$B$2:$B$5001,B3602),1,0))</f>
        <v/>
      </c>
      <c r="K3602" s="16" t="str">
        <f aca="false">IF(B3602="","",IF(AND(D3602="Formalização",E3602="Concluído"),IF(COUNTIFS($B$2:$B$5001,B3602,$E$2:$E$5001,"Em ajustes",$A$2:$A$5001,"&lt;"&amp;I3602)&gt;0,1,0),0))</f>
        <v/>
      </c>
      <c r="L3602" s="16" t="str">
        <f aca="false">IF(B3602="","",IF(A3602=_xlfn.MAXIFS($A$2:$A$5001,$B$2:$B$5001,B3602,$I$2:$I$5001,I3602),1,0))</f>
        <v/>
      </c>
    </row>
    <row r="3603" customFormat="false" ht="15" hidden="false" customHeight="false" outlineLevel="0" collapsed="false">
      <c r="I3603" s="15" t="str">
        <f aca="false">IF(A3603="","",INT(A3603))</f>
        <v/>
      </c>
      <c r="J3603" s="16" t="str">
        <f aca="false">IF(B3603="","",IF(A3603=_xlfn.MINIFS($A$2:$A$5001,$B$2:$B$5001,B3603),1,0))</f>
        <v/>
      </c>
      <c r="K3603" s="16" t="str">
        <f aca="false">IF(B3603="","",IF(AND(D3603="Formalização",E3603="Concluído"),IF(COUNTIFS($B$2:$B$5001,B3603,$E$2:$E$5001,"Em ajustes",$A$2:$A$5001,"&lt;"&amp;I3603)&gt;0,1,0),0))</f>
        <v/>
      </c>
      <c r="L3603" s="16" t="str">
        <f aca="false">IF(B3603="","",IF(A3603=_xlfn.MAXIFS($A$2:$A$5001,$B$2:$B$5001,B3603,$I$2:$I$5001,I3603),1,0))</f>
        <v/>
      </c>
    </row>
    <row r="3604" customFormat="false" ht="15" hidden="false" customHeight="false" outlineLevel="0" collapsed="false">
      <c r="I3604" s="15" t="str">
        <f aca="false">IF(A3604="","",INT(A3604))</f>
        <v/>
      </c>
      <c r="J3604" s="16" t="str">
        <f aca="false">IF(B3604="","",IF(A3604=_xlfn.MINIFS($A$2:$A$5001,$B$2:$B$5001,B3604),1,0))</f>
        <v/>
      </c>
      <c r="K3604" s="16" t="str">
        <f aca="false">IF(B3604="","",IF(AND(D3604="Formalização",E3604="Concluído"),IF(COUNTIFS($B$2:$B$5001,B3604,$E$2:$E$5001,"Em ajustes",$A$2:$A$5001,"&lt;"&amp;I3604)&gt;0,1,0),0))</f>
        <v/>
      </c>
      <c r="L3604" s="16" t="str">
        <f aca="false">IF(B3604="","",IF(A3604=_xlfn.MAXIFS($A$2:$A$5001,$B$2:$B$5001,B3604,$I$2:$I$5001,I3604),1,0))</f>
        <v/>
      </c>
    </row>
    <row r="3605" customFormat="false" ht="15" hidden="false" customHeight="false" outlineLevel="0" collapsed="false">
      <c r="I3605" s="15" t="str">
        <f aca="false">IF(A3605="","",INT(A3605))</f>
        <v/>
      </c>
      <c r="J3605" s="16" t="str">
        <f aca="false">IF(B3605="","",IF(A3605=_xlfn.MINIFS($A$2:$A$5001,$B$2:$B$5001,B3605),1,0))</f>
        <v/>
      </c>
      <c r="K3605" s="16" t="str">
        <f aca="false">IF(B3605="","",IF(AND(D3605="Formalização",E3605="Concluído"),IF(COUNTIFS($B$2:$B$5001,B3605,$E$2:$E$5001,"Em ajustes",$A$2:$A$5001,"&lt;"&amp;I3605)&gt;0,1,0),0))</f>
        <v/>
      </c>
      <c r="L3605" s="16" t="str">
        <f aca="false">IF(B3605="","",IF(A3605=_xlfn.MAXIFS($A$2:$A$5001,$B$2:$B$5001,B3605,$I$2:$I$5001,I3605),1,0))</f>
        <v/>
      </c>
    </row>
    <row r="3606" customFormat="false" ht="15" hidden="false" customHeight="false" outlineLevel="0" collapsed="false">
      <c r="I3606" s="15" t="str">
        <f aca="false">IF(A3606="","",INT(A3606))</f>
        <v/>
      </c>
      <c r="J3606" s="16" t="str">
        <f aca="false">IF(B3606="","",IF(A3606=_xlfn.MINIFS($A$2:$A$5001,$B$2:$B$5001,B3606),1,0))</f>
        <v/>
      </c>
      <c r="K3606" s="16" t="str">
        <f aca="false">IF(B3606="","",IF(AND(D3606="Formalização",E3606="Concluído"),IF(COUNTIFS($B$2:$B$5001,B3606,$E$2:$E$5001,"Em ajustes",$A$2:$A$5001,"&lt;"&amp;I3606)&gt;0,1,0),0))</f>
        <v/>
      </c>
      <c r="L3606" s="16" t="str">
        <f aca="false">IF(B3606="","",IF(A3606=_xlfn.MAXIFS($A$2:$A$5001,$B$2:$B$5001,B3606,$I$2:$I$5001,I3606),1,0))</f>
        <v/>
      </c>
    </row>
    <row r="3607" customFormat="false" ht="15" hidden="false" customHeight="false" outlineLevel="0" collapsed="false">
      <c r="I3607" s="15" t="str">
        <f aca="false">IF(A3607="","",INT(A3607))</f>
        <v/>
      </c>
      <c r="J3607" s="16" t="str">
        <f aca="false">IF(B3607="","",IF(A3607=_xlfn.MINIFS($A$2:$A$5001,$B$2:$B$5001,B3607),1,0))</f>
        <v/>
      </c>
      <c r="K3607" s="16" t="str">
        <f aca="false">IF(B3607="","",IF(AND(D3607="Formalização",E3607="Concluído"),IF(COUNTIFS($B$2:$B$5001,B3607,$E$2:$E$5001,"Em ajustes",$A$2:$A$5001,"&lt;"&amp;I3607)&gt;0,1,0),0))</f>
        <v/>
      </c>
      <c r="L3607" s="16" t="str">
        <f aca="false">IF(B3607="","",IF(A3607=_xlfn.MAXIFS($A$2:$A$5001,$B$2:$B$5001,B3607,$I$2:$I$5001,I3607),1,0))</f>
        <v/>
      </c>
    </row>
    <row r="3608" customFormat="false" ht="15" hidden="false" customHeight="false" outlineLevel="0" collapsed="false">
      <c r="I3608" s="15" t="str">
        <f aca="false">IF(A3608="","",INT(A3608))</f>
        <v/>
      </c>
      <c r="J3608" s="16" t="str">
        <f aca="false">IF(B3608="","",IF(A3608=_xlfn.MINIFS($A$2:$A$5001,$B$2:$B$5001,B3608),1,0))</f>
        <v/>
      </c>
      <c r="K3608" s="16" t="str">
        <f aca="false">IF(B3608="","",IF(AND(D3608="Formalização",E3608="Concluído"),IF(COUNTIFS($B$2:$B$5001,B3608,$E$2:$E$5001,"Em ajustes",$A$2:$A$5001,"&lt;"&amp;I3608)&gt;0,1,0),0))</f>
        <v/>
      </c>
      <c r="L3608" s="16" t="str">
        <f aca="false">IF(B3608="","",IF(A3608=_xlfn.MAXIFS($A$2:$A$5001,$B$2:$B$5001,B3608,$I$2:$I$5001,I3608),1,0))</f>
        <v/>
      </c>
    </row>
    <row r="3609" customFormat="false" ht="15" hidden="false" customHeight="false" outlineLevel="0" collapsed="false">
      <c r="I3609" s="15" t="str">
        <f aca="false">IF(A3609="","",INT(A3609))</f>
        <v/>
      </c>
      <c r="J3609" s="16" t="str">
        <f aca="false">IF(B3609="","",IF(A3609=_xlfn.MINIFS($A$2:$A$5001,$B$2:$B$5001,B3609),1,0))</f>
        <v/>
      </c>
      <c r="K3609" s="16" t="str">
        <f aca="false">IF(B3609="","",IF(AND(D3609="Formalização",E3609="Concluído"),IF(COUNTIFS($B$2:$B$5001,B3609,$E$2:$E$5001,"Em ajustes",$A$2:$A$5001,"&lt;"&amp;I3609)&gt;0,1,0),0))</f>
        <v/>
      </c>
      <c r="L3609" s="16" t="str">
        <f aca="false">IF(B3609="","",IF(A3609=_xlfn.MAXIFS($A$2:$A$5001,$B$2:$B$5001,B3609,$I$2:$I$5001,I3609),1,0))</f>
        <v/>
      </c>
    </row>
    <row r="3610" customFormat="false" ht="15" hidden="false" customHeight="false" outlineLevel="0" collapsed="false">
      <c r="I3610" s="15" t="str">
        <f aca="false">IF(A3610="","",INT(A3610))</f>
        <v/>
      </c>
      <c r="J3610" s="16" t="str">
        <f aca="false">IF(B3610="","",IF(A3610=_xlfn.MINIFS($A$2:$A$5001,$B$2:$B$5001,B3610),1,0))</f>
        <v/>
      </c>
      <c r="K3610" s="16" t="str">
        <f aca="false">IF(B3610="","",IF(AND(D3610="Formalização",E3610="Concluído"),IF(COUNTIFS($B$2:$B$5001,B3610,$E$2:$E$5001,"Em ajustes",$A$2:$A$5001,"&lt;"&amp;I3610)&gt;0,1,0),0))</f>
        <v/>
      </c>
      <c r="L3610" s="16" t="str">
        <f aca="false">IF(B3610="","",IF(A3610=_xlfn.MAXIFS($A$2:$A$5001,$B$2:$B$5001,B3610,$I$2:$I$5001,I3610),1,0))</f>
        <v/>
      </c>
    </row>
    <row r="3611" customFormat="false" ht="15" hidden="false" customHeight="false" outlineLevel="0" collapsed="false">
      <c r="I3611" s="15" t="str">
        <f aca="false">IF(A3611="","",INT(A3611))</f>
        <v/>
      </c>
      <c r="J3611" s="16" t="str">
        <f aca="false">IF(B3611="","",IF(A3611=_xlfn.MINIFS($A$2:$A$5001,$B$2:$B$5001,B3611),1,0))</f>
        <v/>
      </c>
      <c r="K3611" s="16" t="str">
        <f aca="false">IF(B3611="","",IF(AND(D3611="Formalização",E3611="Concluído"),IF(COUNTIFS($B$2:$B$5001,B3611,$E$2:$E$5001,"Em ajustes",$A$2:$A$5001,"&lt;"&amp;I3611)&gt;0,1,0),0))</f>
        <v/>
      </c>
      <c r="L3611" s="16" t="str">
        <f aca="false">IF(B3611="","",IF(A3611=_xlfn.MAXIFS($A$2:$A$5001,$B$2:$B$5001,B3611,$I$2:$I$5001,I3611),1,0))</f>
        <v/>
      </c>
    </row>
    <row r="3612" customFormat="false" ht="15" hidden="false" customHeight="false" outlineLevel="0" collapsed="false">
      <c r="I3612" s="15" t="str">
        <f aca="false">IF(A3612="","",INT(A3612))</f>
        <v/>
      </c>
      <c r="J3612" s="16" t="str">
        <f aca="false">IF(B3612="","",IF(A3612=_xlfn.MINIFS($A$2:$A$5001,$B$2:$B$5001,B3612),1,0))</f>
        <v/>
      </c>
      <c r="K3612" s="16" t="str">
        <f aca="false">IF(B3612="","",IF(AND(D3612="Formalização",E3612="Concluído"),IF(COUNTIFS($B$2:$B$5001,B3612,$E$2:$E$5001,"Em ajustes",$A$2:$A$5001,"&lt;"&amp;I3612)&gt;0,1,0),0))</f>
        <v/>
      </c>
      <c r="L3612" s="16" t="str">
        <f aca="false">IF(B3612="","",IF(A3612=_xlfn.MAXIFS($A$2:$A$5001,$B$2:$B$5001,B3612,$I$2:$I$5001,I3612),1,0))</f>
        <v/>
      </c>
    </row>
    <row r="3613" customFormat="false" ht="15" hidden="false" customHeight="false" outlineLevel="0" collapsed="false">
      <c r="I3613" s="15" t="str">
        <f aca="false">IF(A3613="","",INT(A3613))</f>
        <v/>
      </c>
      <c r="J3613" s="16" t="str">
        <f aca="false">IF(B3613="","",IF(A3613=_xlfn.MINIFS($A$2:$A$5001,$B$2:$B$5001,B3613),1,0))</f>
        <v/>
      </c>
      <c r="K3613" s="16" t="str">
        <f aca="false">IF(B3613="","",IF(AND(D3613="Formalização",E3613="Concluído"),IF(COUNTIFS($B$2:$B$5001,B3613,$E$2:$E$5001,"Em ajustes",$A$2:$A$5001,"&lt;"&amp;I3613)&gt;0,1,0),0))</f>
        <v/>
      </c>
      <c r="L3613" s="16" t="str">
        <f aca="false">IF(B3613="","",IF(A3613=_xlfn.MAXIFS($A$2:$A$5001,$B$2:$B$5001,B3613,$I$2:$I$5001,I3613),1,0))</f>
        <v/>
      </c>
    </row>
    <row r="3614" customFormat="false" ht="15" hidden="false" customHeight="false" outlineLevel="0" collapsed="false">
      <c r="I3614" s="15" t="str">
        <f aca="false">IF(A3614="","",INT(A3614))</f>
        <v/>
      </c>
      <c r="J3614" s="16" t="str">
        <f aca="false">IF(B3614="","",IF(A3614=_xlfn.MINIFS($A$2:$A$5001,$B$2:$B$5001,B3614),1,0))</f>
        <v/>
      </c>
      <c r="K3614" s="16" t="str">
        <f aca="false">IF(B3614="","",IF(AND(D3614="Formalização",E3614="Concluído"),IF(COUNTIFS($B$2:$B$5001,B3614,$E$2:$E$5001,"Em ajustes",$A$2:$A$5001,"&lt;"&amp;I3614)&gt;0,1,0),0))</f>
        <v/>
      </c>
      <c r="L3614" s="16" t="str">
        <f aca="false">IF(B3614="","",IF(A3614=_xlfn.MAXIFS($A$2:$A$5001,$B$2:$B$5001,B3614,$I$2:$I$5001,I3614),1,0))</f>
        <v/>
      </c>
    </row>
    <row r="3615" customFormat="false" ht="15" hidden="false" customHeight="false" outlineLevel="0" collapsed="false">
      <c r="I3615" s="15" t="str">
        <f aca="false">IF(A3615="","",INT(A3615))</f>
        <v/>
      </c>
      <c r="J3615" s="16" t="str">
        <f aca="false">IF(B3615="","",IF(A3615=_xlfn.MINIFS($A$2:$A$5001,$B$2:$B$5001,B3615),1,0))</f>
        <v/>
      </c>
      <c r="K3615" s="16" t="str">
        <f aca="false">IF(B3615="","",IF(AND(D3615="Formalização",E3615="Concluído"),IF(COUNTIFS($B$2:$B$5001,B3615,$E$2:$E$5001,"Em ajustes",$A$2:$A$5001,"&lt;"&amp;I3615)&gt;0,1,0),0))</f>
        <v/>
      </c>
      <c r="L3615" s="16" t="str">
        <f aca="false">IF(B3615="","",IF(A3615=_xlfn.MAXIFS($A$2:$A$5001,$B$2:$B$5001,B3615,$I$2:$I$5001,I3615),1,0))</f>
        <v/>
      </c>
    </row>
    <row r="3616" customFormat="false" ht="15" hidden="false" customHeight="false" outlineLevel="0" collapsed="false">
      <c r="I3616" s="15" t="str">
        <f aca="false">IF(A3616="","",INT(A3616))</f>
        <v/>
      </c>
      <c r="J3616" s="16" t="str">
        <f aca="false">IF(B3616="","",IF(A3616=_xlfn.MINIFS($A$2:$A$5001,$B$2:$B$5001,B3616),1,0))</f>
        <v/>
      </c>
      <c r="K3616" s="16" t="str">
        <f aca="false">IF(B3616="","",IF(AND(D3616="Formalização",E3616="Concluído"),IF(COUNTIFS($B$2:$B$5001,B3616,$E$2:$E$5001,"Em ajustes",$A$2:$A$5001,"&lt;"&amp;I3616)&gt;0,1,0),0))</f>
        <v/>
      </c>
      <c r="L3616" s="16" t="str">
        <f aca="false">IF(B3616="","",IF(A3616=_xlfn.MAXIFS($A$2:$A$5001,$B$2:$B$5001,B3616,$I$2:$I$5001,I3616),1,0))</f>
        <v/>
      </c>
    </row>
    <row r="3617" customFormat="false" ht="15" hidden="false" customHeight="false" outlineLevel="0" collapsed="false">
      <c r="I3617" s="15" t="str">
        <f aca="false">IF(A3617="","",INT(A3617))</f>
        <v/>
      </c>
      <c r="J3617" s="16" t="str">
        <f aca="false">IF(B3617="","",IF(A3617=_xlfn.MINIFS($A$2:$A$5001,$B$2:$B$5001,B3617),1,0))</f>
        <v/>
      </c>
      <c r="K3617" s="16" t="str">
        <f aca="false">IF(B3617="","",IF(AND(D3617="Formalização",E3617="Concluído"),IF(COUNTIFS($B$2:$B$5001,B3617,$E$2:$E$5001,"Em ajustes",$A$2:$A$5001,"&lt;"&amp;I3617)&gt;0,1,0),0))</f>
        <v/>
      </c>
      <c r="L3617" s="16" t="str">
        <f aca="false">IF(B3617="","",IF(A3617=_xlfn.MAXIFS($A$2:$A$5001,$B$2:$B$5001,B3617,$I$2:$I$5001,I3617),1,0))</f>
        <v/>
      </c>
    </row>
    <row r="3618" customFormat="false" ht="15" hidden="false" customHeight="false" outlineLevel="0" collapsed="false">
      <c r="I3618" s="15" t="str">
        <f aca="false">IF(A3618="","",INT(A3618))</f>
        <v/>
      </c>
      <c r="J3618" s="16" t="str">
        <f aca="false">IF(B3618="","",IF(A3618=_xlfn.MINIFS($A$2:$A$5001,$B$2:$B$5001,B3618),1,0))</f>
        <v/>
      </c>
      <c r="K3618" s="16" t="str">
        <f aca="false">IF(B3618="","",IF(AND(D3618="Formalização",E3618="Concluído"),IF(COUNTIFS($B$2:$B$5001,B3618,$E$2:$E$5001,"Em ajustes",$A$2:$A$5001,"&lt;"&amp;I3618)&gt;0,1,0),0))</f>
        <v/>
      </c>
      <c r="L3618" s="16" t="str">
        <f aca="false">IF(B3618="","",IF(A3618=_xlfn.MAXIFS($A$2:$A$5001,$B$2:$B$5001,B3618,$I$2:$I$5001,I3618),1,0))</f>
        <v/>
      </c>
    </row>
    <row r="3619" customFormat="false" ht="15" hidden="false" customHeight="false" outlineLevel="0" collapsed="false">
      <c r="I3619" s="15" t="str">
        <f aca="false">IF(A3619="","",INT(A3619))</f>
        <v/>
      </c>
      <c r="J3619" s="16" t="str">
        <f aca="false">IF(B3619="","",IF(A3619=_xlfn.MINIFS($A$2:$A$5001,$B$2:$B$5001,B3619),1,0))</f>
        <v/>
      </c>
      <c r="K3619" s="16" t="str">
        <f aca="false">IF(B3619="","",IF(AND(D3619="Formalização",E3619="Concluído"),IF(COUNTIFS($B$2:$B$5001,B3619,$E$2:$E$5001,"Em ajustes",$A$2:$A$5001,"&lt;"&amp;I3619)&gt;0,1,0),0))</f>
        <v/>
      </c>
      <c r="L3619" s="16" t="str">
        <f aca="false">IF(B3619="","",IF(A3619=_xlfn.MAXIFS($A$2:$A$5001,$B$2:$B$5001,B3619,$I$2:$I$5001,I3619),1,0))</f>
        <v/>
      </c>
    </row>
    <row r="3620" customFormat="false" ht="15" hidden="false" customHeight="false" outlineLevel="0" collapsed="false">
      <c r="I3620" s="15" t="str">
        <f aca="false">IF(A3620="","",INT(A3620))</f>
        <v/>
      </c>
      <c r="J3620" s="16" t="str">
        <f aca="false">IF(B3620="","",IF(A3620=_xlfn.MINIFS($A$2:$A$5001,$B$2:$B$5001,B3620),1,0))</f>
        <v/>
      </c>
      <c r="K3620" s="16" t="str">
        <f aca="false">IF(B3620="","",IF(AND(D3620="Formalização",E3620="Concluído"),IF(COUNTIFS($B$2:$B$5001,B3620,$E$2:$E$5001,"Em ajustes",$A$2:$A$5001,"&lt;"&amp;I3620)&gt;0,1,0),0))</f>
        <v/>
      </c>
      <c r="L3620" s="16" t="str">
        <f aca="false">IF(B3620="","",IF(A3620=_xlfn.MAXIFS($A$2:$A$5001,$B$2:$B$5001,B3620,$I$2:$I$5001,I3620),1,0))</f>
        <v/>
      </c>
    </row>
    <row r="3621" customFormat="false" ht="15" hidden="false" customHeight="false" outlineLevel="0" collapsed="false">
      <c r="I3621" s="15" t="str">
        <f aca="false">IF(A3621="","",INT(A3621))</f>
        <v/>
      </c>
      <c r="J3621" s="16" t="str">
        <f aca="false">IF(B3621="","",IF(A3621=_xlfn.MINIFS($A$2:$A$5001,$B$2:$B$5001,B3621),1,0))</f>
        <v/>
      </c>
      <c r="K3621" s="16" t="str">
        <f aca="false">IF(B3621="","",IF(AND(D3621="Formalização",E3621="Concluído"),IF(COUNTIFS($B$2:$B$5001,B3621,$E$2:$E$5001,"Em ajustes",$A$2:$A$5001,"&lt;"&amp;I3621)&gt;0,1,0),0))</f>
        <v/>
      </c>
      <c r="L3621" s="16" t="str">
        <f aca="false">IF(B3621="","",IF(A3621=_xlfn.MAXIFS($A$2:$A$5001,$B$2:$B$5001,B3621,$I$2:$I$5001,I3621),1,0))</f>
        <v/>
      </c>
    </row>
    <row r="3622" customFormat="false" ht="15" hidden="false" customHeight="false" outlineLevel="0" collapsed="false">
      <c r="I3622" s="15" t="str">
        <f aca="false">IF(A3622="","",INT(A3622))</f>
        <v/>
      </c>
      <c r="J3622" s="16" t="str">
        <f aca="false">IF(B3622="","",IF(A3622=_xlfn.MINIFS($A$2:$A$5001,$B$2:$B$5001,B3622),1,0))</f>
        <v/>
      </c>
      <c r="K3622" s="16" t="str">
        <f aca="false">IF(B3622="","",IF(AND(D3622="Formalização",E3622="Concluído"),IF(COUNTIFS($B$2:$B$5001,B3622,$E$2:$E$5001,"Em ajustes",$A$2:$A$5001,"&lt;"&amp;I3622)&gt;0,1,0),0))</f>
        <v/>
      </c>
      <c r="L3622" s="16" t="str">
        <f aca="false">IF(B3622="","",IF(A3622=_xlfn.MAXIFS($A$2:$A$5001,$B$2:$B$5001,B3622,$I$2:$I$5001,I3622),1,0))</f>
        <v/>
      </c>
    </row>
    <row r="3623" customFormat="false" ht="15" hidden="false" customHeight="false" outlineLevel="0" collapsed="false">
      <c r="I3623" s="15" t="str">
        <f aca="false">IF(A3623="","",INT(A3623))</f>
        <v/>
      </c>
      <c r="J3623" s="16" t="str">
        <f aca="false">IF(B3623="","",IF(A3623=_xlfn.MINIFS($A$2:$A$5001,$B$2:$B$5001,B3623),1,0))</f>
        <v/>
      </c>
      <c r="K3623" s="16" t="str">
        <f aca="false">IF(B3623="","",IF(AND(D3623="Formalização",E3623="Concluído"),IF(COUNTIFS($B$2:$B$5001,B3623,$E$2:$E$5001,"Em ajustes",$A$2:$A$5001,"&lt;"&amp;I3623)&gt;0,1,0),0))</f>
        <v/>
      </c>
      <c r="L3623" s="16" t="str">
        <f aca="false">IF(B3623="","",IF(A3623=_xlfn.MAXIFS($A$2:$A$5001,$B$2:$B$5001,B3623,$I$2:$I$5001,I3623),1,0))</f>
        <v/>
      </c>
    </row>
    <row r="3624" customFormat="false" ht="15" hidden="false" customHeight="false" outlineLevel="0" collapsed="false">
      <c r="I3624" s="15" t="str">
        <f aca="false">IF(A3624="","",INT(A3624))</f>
        <v/>
      </c>
      <c r="J3624" s="16" t="str">
        <f aca="false">IF(B3624="","",IF(A3624=_xlfn.MINIFS($A$2:$A$5001,$B$2:$B$5001,B3624),1,0))</f>
        <v/>
      </c>
      <c r="K3624" s="16" t="str">
        <f aca="false">IF(B3624="","",IF(AND(D3624="Formalização",E3624="Concluído"),IF(COUNTIFS($B$2:$B$5001,B3624,$E$2:$E$5001,"Em ajustes",$A$2:$A$5001,"&lt;"&amp;I3624)&gt;0,1,0),0))</f>
        <v/>
      </c>
      <c r="L3624" s="16" t="str">
        <f aca="false">IF(B3624="","",IF(A3624=_xlfn.MAXIFS($A$2:$A$5001,$B$2:$B$5001,B3624,$I$2:$I$5001,I3624),1,0))</f>
        <v/>
      </c>
    </row>
    <row r="3625" customFormat="false" ht="15" hidden="false" customHeight="false" outlineLevel="0" collapsed="false">
      <c r="I3625" s="15" t="str">
        <f aca="false">IF(A3625="","",INT(A3625))</f>
        <v/>
      </c>
      <c r="J3625" s="16" t="str">
        <f aca="false">IF(B3625="","",IF(A3625=_xlfn.MINIFS($A$2:$A$5001,$B$2:$B$5001,B3625),1,0))</f>
        <v/>
      </c>
      <c r="K3625" s="16" t="str">
        <f aca="false">IF(B3625="","",IF(AND(D3625="Formalização",E3625="Concluído"),IF(COUNTIFS($B$2:$B$5001,B3625,$E$2:$E$5001,"Em ajustes",$A$2:$A$5001,"&lt;"&amp;I3625)&gt;0,1,0),0))</f>
        <v/>
      </c>
      <c r="L3625" s="16" t="str">
        <f aca="false">IF(B3625="","",IF(A3625=_xlfn.MAXIFS($A$2:$A$5001,$B$2:$B$5001,B3625,$I$2:$I$5001,I3625),1,0))</f>
        <v/>
      </c>
    </row>
    <row r="3626" customFormat="false" ht="15" hidden="false" customHeight="false" outlineLevel="0" collapsed="false">
      <c r="I3626" s="15" t="str">
        <f aca="false">IF(A3626="","",INT(A3626))</f>
        <v/>
      </c>
      <c r="J3626" s="16" t="str">
        <f aca="false">IF(B3626="","",IF(A3626=_xlfn.MINIFS($A$2:$A$5001,$B$2:$B$5001,B3626),1,0))</f>
        <v/>
      </c>
      <c r="K3626" s="16" t="str">
        <f aca="false">IF(B3626="","",IF(AND(D3626="Formalização",E3626="Concluído"),IF(COUNTIFS($B$2:$B$5001,B3626,$E$2:$E$5001,"Em ajustes",$A$2:$A$5001,"&lt;"&amp;I3626)&gt;0,1,0),0))</f>
        <v/>
      </c>
      <c r="L3626" s="16" t="str">
        <f aca="false">IF(B3626="","",IF(A3626=_xlfn.MAXIFS($A$2:$A$5001,$B$2:$B$5001,B3626,$I$2:$I$5001,I3626),1,0))</f>
        <v/>
      </c>
    </row>
    <row r="3627" customFormat="false" ht="15" hidden="false" customHeight="false" outlineLevel="0" collapsed="false">
      <c r="I3627" s="15" t="str">
        <f aca="false">IF(A3627="","",INT(A3627))</f>
        <v/>
      </c>
      <c r="J3627" s="16" t="str">
        <f aca="false">IF(B3627="","",IF(A3627=_xlfn.MINIFS($A$2:$A$5001,$B$2:$B$5001,B3627),1,0))</f>
        <v/>
      </c>
      <c r="K3627" s="16" t="str">
        <f aca="false">IF(B3627="","",IF(AND(D3627="Formalização",E3627="Concluído"),IF(COUNTIFS($B$2:$B$5001,B3627,$E$2:$E$5001,"Em ajustes",$A$2:$A$5001,"&lt;"&amp;I3627)&gt;0,1,0),0))</f>
        <v/>
      </c>
      <c r="L3627" s="16" t="str">
        <f aca="false">IF(B3627="","",IF(A3627=_xlfn.MAXIFS($A$2:$A$5001,$B$2:$B$5001,B3627,$I$2:$I$5001,I3627),1,0))</f>
        <v/>
      </c>
    </row>
    <row r="3628" customFormat="false" ht="15" hidden="false" customHeight="false" outlineLevel="0" collapsed="false">
      <c r="I3628" s="15" t="str">
        <f aca="false">IF(A3628="","",INT(A3628))</f>
        <v/>
      </c>
      <c r="J3628" s="16" t="str">
        <f aca="false">IF(B3628="","",IF(A3628=_xlfn.MINIFS($A$2:$A$5001,$B$2:$B$5001,B3628),1,0))</f>
        <v/>
      </c>
      <c r="K3628" s="16" t="str">
        <f aca="false">IF(B3628="","",IF(AND(D3628="Formalização",E3628="Concluído"),IF(COUNTIFS($B$2:$B$5001,B3628,$E$2:$E$5001,"Em ajustes",$A$2:$A$5001,"&lt;"&amp;I3628)&gt;0,1,0),0))</f>
        <v/>
      </c>
      <c r="L3628" s="16" t="str">
        <f aca="false">IF(B3628="","",IF(A3628=_xlfn.MAXIFS($A$2:$A$5001,$B$2:$B$5001,B3628,$I$2:$I$5001,I3628),1,0))</f>
        <v/>
      </c>
    </row>
    <row r="3629" customFormat="false" ht="15" hidden="false" customHeight="false" outlineLevel="0" collapsed="false">
      <c r="I3629" s="15" t="str">
        <f aca="false">IF(A3629="","",INT(A3629))</f>
        <v/>
      </c>
      <c r="J3629" s="16" t="str">
        <f aca="false">IF(B3629="","",IF(A3629=_xlfn.MINIFS($A$2:$A$5001,$B$2:$B$5001,B3629),1,0))</f>
        <v/>
      </c>
      <c r="K3629" s="16" t="str">
        <f aca="false">IF(B3629="","",IF(AND(D3629="Formalização",E3629="Concluído"),IF(COUNTIFS($B$2:$B$5001,B3629,$E$2:$E$5001,"Em ajustes",$A$2:$A$5001,"&lt;"&amp;I3629)&gt;0,1,0),0))</f>
        <v/>
      </c>
      <c r="L3629" s="16" t="str">
        <f aca="false">IF(B3629="","",IF(A3629=_xlfn.MAXIFS($A$2:$A$5001,$B$2:$B$5001,B3629,$I$2:$I$5001,I3629),1,0))</f>
        <v/>
      </c>
    </row>
    <row r="3630" customFormat="false" ht="15" hidden="false" customHeight="false" outlineLevel="0" collapsed="false">
      <c r="I3630" s="15" t="str">
        <f aca="false">IF(A3630="","",INT(A3630))</f>
        <v/>
      </c>
      <c r="J3630" s="16" t="str">
        <f aca="false">IF(B3630="","",IF(A3630=_xlfn.MINIFS($A$2:$A$5001,$B$2:$B$5001,B3630),1,0))</f>
        <v/>
      </c>
      <c r="K3630" s="16" t="str">
        <f aca="false">IF(B3630="","",IF(AND(D3630="Formalização",E3630="Concluído"),IF(COUNTIFS($B$2:$B$5001,B3630,$E$2:$E$5001,"Em ajustes",$A$2:$A$5001,"&lt;"&amp;I3630)&gt;0,1,0),0))</f>
        <v/>
      </c>
      <c r="L3630" s="16" t="str">
        <f aca="false">IF(B3630="","",IF(A3630=_xlfn.MAXIFS($A$2:$A$5001,$B$2:$B$5001,B3630,$I$2:$I$5001,I3630),1,0))</f>
        <v/>
      </c>
    </row>
    <row r="3631" customFormat="false" ht="15" hidden="false" customHeight="false" outlineLevel="0" collapsed="false">
      <c r="I3631" s="15" t="str">
        <f aca="false">IF(A3631="","",INT(A3631))</f>
        <v/>
      </c>
      <c r="J3631" s="16" t="str">
        <f aca="false">IF(B3631="","",IF(A3631=_xlfn.MINIFS($A$2:$A$5001,$B$2:$B$5001,B3631),1,0))</f>
        <v/>
      </c>
      <c r="K3631" s="16" t="str">
        <f aca="false">IF(B3631="","",IF(AND(D3631="Formalização",E3631="Concluído"),IF(COUNTIFS($B$2:$B$5001,B3631,$E$2:$E$5001,"Em ajustes",$A$2:$A$5001,"&lt;"&amp;I3631)&gt;0,1,0),0))</f>
        <v/>
      </c>
      <c r="L3631" s="16" t="str">
        <f aca="false">IF(B3631="","",IF(A3631=_xlfn.MAXIFS($A$2:$A$5001,$B$2:$B$5001,B3631,$I$2:$I$5001,I3631),1,0))</f>
        <v/>
      </c>
    </row>
    <row r="3632" customFormat="false" ht="15" hidden="false" customHeight="false" outlineLevel="0" collapsed="false">
      <c r="I3632" s="15" t="str">
        <f aca="false">IF(A3632="","",INT(A3632))</f>
        <v/>
      </c>
      <c r="J3632" s="16" t="str">
        <f aca="false">IF(B3632="","",IF(A3632=_xlfn.MINIFS($A$2:$A$5001,$B$2:$B$5001,B3632),1,0))</f>
        <v/>
      </c>
      <c r="K3632" s="16" t="str">
        <f aca="false">IF(B3632="","",IF(AND(D3632="Formalização",E3632="Concluído"),IF(COUNTIFS($B$2:$B$5001,B3632,$E$2:$E$5001,"Em ajustes",$A$2:$A$5001,"&lt;"&amp;I3632)&gt;0,1,0),0))</f>
        <v/>
      </c>
      <c r="L3632" s="16" t="str">
        <f aca="false">IF(B3632="","",IF(A3632=_xlfn.MAXIFS($A$2:$A$5001,$B$2:$B$5001,B3632,$I$2:$I$5001,I3632),1,0))</f>
        <v/>
      </c>
    </row>
    <row r="3633" customFormat="false" ht="15" hidden="false" customHeight="false" outlineLevel="0" collapsed="false">
      <c r="I3633" s="15" t="str">
        <f aca="false">IF(A3633="","",INT(A3633))</f>
        <v/>
      </c>
      <c r="J3633" s="16" t="str">
        <f aca="false">IF(B3633="","",IF(A3633=_xlfn.MINIFS($A$2:$A$5001,$B$2:$B$5001,B3633),1,0))</f>
        <v/>
      </c>
      <c r="K3633" s="16" t="str">
        <f aca="false">IF(B3633="","",IF(AND(D3633="Formalização",E3633="Concluído"),IF(COUNTIFS($B$2:$B$5001,B3633,$E$2:$E$5001,"Em ajustes",$A$2:$A$5001,"&lt;"&amp;I3633)&gt;0,1,0),0))</f>
        <v/>
      </c>
      <c r="L3633" s="16" t="str">
        <f aca="false">IF(B3633="","",IF(A3633=_xlfn.MAXIFS($A$2:$A$5001,$B$2:$B$5001,B3633,$I$2:$I$5001,I3633),1,0))</f>
        <v/>
      </c>
    </row>
    <row r="3634" customFormat="false" ht="15" hidden="false" customHeight="false" outlineLevel="0" collapsed="false">
      <c r="I3634" s="15" t="str">
        <f aca="false">IF(A3634="","",INT(A3634))</f>
        <v/>
      </c>
      <c r="J3634" s="16" t="str">
        <f aca="false">IF(B3634="","",IF(A3634=_xlfn.MINIFS($A$2:$A$5001,$B$2:$B$5001,B3634),1,0))</f>
        <v/>
      </c>
      <c r="K3634" s="16" t="str">
        <f aca="false">IF(B3634="","",IF(AND(D3634="Formalização",E3634="Concluído"),IF(COUNTIFS($B$2:$B$5001,B3634,$E$2:$E$5001,"Em ajustes",$A$2:$A$5001,"&lt;"&amp;I3634)&gt;0,1,0),0))</f>
        <v/>
      </c>
      <c r="L3634" s="16" t="str">
        <f aca="false">IF(B3634="","",IF(A3634=_xlfn.MAXIFS($A$2:$A$5001,$B$2:$B$5001,B3634,$I$2:$I$5001,I3634),1,0))</f>
        <v/>
      </c>
    </row>
    <row r="3635" customFormat="false" ht="15" hidden="false" customHeight="false" outlineLevel="0" collapsed="false">
      <c r="I3635" s="15" t="str">
        <f aca="false">IF(A3635="","",INT(A3635))</f>
        <v/>
      </c>
      <c r="J3635" s="16" t="str">
        <f aca="false">IF(B3635="","",IF(A3635=_xlfn.MINIFS($A$2:$A$5001,$B$2:$B$5001,B3635),1,0))</f>
        <v/>
      </c>
      <c r="K3635" s="16" t="str">
        <f aca="false">IF(B3635="","",IF(AND(D3635="Formalização",E3635="Concluído"),IF(COUNTIFS($B$2:$B$5001,B3635,$E$2:$E$5001,"Em ajustes",$A$2:$A$5001,"&lt;"&amp;I3635)&gt;0,1,0),0))</f>
        <v/>
      </c>
      <c r="L3635" s="16" t="str">
        <f aca="false">IF(B3635="","",IF(A3635=_xlfn.MAXIFS($A$2:$A$5001,$B$2:$B$5001,B3635,$I$2:$I$5001,I3635),1,0))</f>
        <v/>
      </c>
    </row>
    <row r="3636" customFormat="false" ht="15" hidden="false" customHeight="false" outlineLevel="0" collapsed="false">
      <c r="I3636" s="15" t="str">
        <f aca="false">IF(A3636="","",INT(A3636))</f>
        <v/>
      </c>
      <c r="J3636" s="16" t="str">
        <f aca="false">IF(B3636="","",IF(A3636=_xlfn.MINIFS($A$2:$A$5001,$B$2:$B$5001,B3636),1,0))</f>
        <v/>
      </c>
      <c r="K3636" s="16" t="str">
        <f aca="false">IF(B3636="","",IF(AND(D3636="Formalização",E3636="Concluído"),IF(COUNTIFS($B$2:$B$5001,B3636,$E$2:$E$5001,"Em ajustes",$A$2:$A$5001,"&lt;"&amp;I3636)&gt;0,1,0),0))</f>
        <v/>
      </c>
      <c r="L3636" s="16" t="str">
        <f aca="false">IF(B3636="","",IF(A3636=_xlfn.MAXIFS($A$2:$A$5001,$B$2:$B$5001,B3636,$I$2:$I$5001,I3636),1,0))</f>
        <v/>
      </c>
    </row>
    <row r="3637" customFormat="false" ht="15" hidden="false" customHeight="false" outlineLevel="0" collapsed="false">
      <c r="I3637" s="15" t="str">
        <f aca="false">IF(A3637="","",INT(A3637))</f>
        <v/>
      </c>
      <c r="J3637" s="16" t="str">
        <f aca="false">IF(B3637="","",IF(A3637=_xlfn.MINIFS($A$2:$A$5001,$B$2:$B$5001,B3637),1,0))</f>
        <v/>
      </c>
      <c r="K3637" s="16" t="str">
        <f aca="false">IF(B3637="","",IF(AND(D3637="Formalização",E3637="Concluído"),IF(COUNTIFS($B$2:$B$5001,B3637,$E$2:$E$5001,"Em ajustes",$A$2:$A$5001,"&lt;"&amp;I3637)&gt;0,1,0),0))</f>
        <v/>
      </c>
      <c r="L3637" s="16" t="str">
        <f aca="false">IF(B3637="","",IF(A3637=_xlfn.MAXIFS($A$2:$A$5001,$B$2:$B$5001,B3637,$I$2:$I$5001,I3637),1,0))</f>
        <v/>
      </c>
    </row>
    <row r="3638" customFormat="false" ht="15" hidden="false" customHeight="false" outlineLevel="0" collapsed="false">
      <c r="I3638" s="15" t="str">
        <f aca="false">IF(A3638="","",INT(A3638))</f>
        <v/>
      </c>
      <c r="J3638" s="16" t="str">
        <f aca="false">IF(B3638="","",IF(A3638=_xlfn.MINIFS($A$2:$A$5001,$B$2:$B$5001,B3638),1,0))</f>
        <v/>
      </c>
      <c r="K3638" s="16" t="str">
        <f aca="false">IF(B3638="","",IF(AND(D3638="Formalização",E3638="Concluído"),IF(COUNTIFS($B$2:$B$5001,B3638,$E$2:$E$5001,"Em ajustes",$A$2:$A$5001,"&lt;"&amp;I3638)&gt;0,1,0),0))</f>
        <v/>
      </c>
      <c r="L3638" s="16" t="str">
        <f aca="false">IF(B3638="","",IF(A3638=_xlfn.MAXIFS($A$2:$A$5001,$B$2:$B$5001,B3638,$I$2:$I$5001,I3638),1,0))</f>
        <v/>
      </c>
    </row>
    <row r="3639" customFormat="false" ht="15" hidden="false" customHeight="false" outlineLevel="0" collapsed="false">
      <c r="I3639" s="15" t="str">
        <f aca="false">IF(A3639="","",INT(A3639))</f>
        <v/>
      </c>
      <c r="J3639" s="16" t="str">
        <f aca="false">IF(B3639="","",IF(A3639=_xlfn.MINIFS($A$2:$A$5001,$B$2:$B$5001,B3639),1,0))</f>
        <v/>
      </c>
      <c r="K3639" s="16" t="str">
        <f aca="false">IF(B3639="","",IF(AND(D3639="Formalização",E3639="Concluído"),IF(COUNTIFS($B$2:$B$5001,B3639,$E$2:$E$5001,"Em ajustes",$A$2:$A$5001,"&lt;"&amp;I3639)&gt;0,1,0),0))</f>
        <v/>
      </c>
      <c r="L3639" s="16" t="str">
        <f aca="false">IF(B3639="","",IF(A3639=_xlfn.MAXIFS($A$2:$A$5001,$B$2:$B$5001,B3639,$I$2:$I$5001,I3639),1,0))</f>
        <v/>
      </c>
    </row>
    <row r="3640" customFormat="false" ht="15" hidden="false" customHeight="false" outlineLevel="0" collapsed="false">
      <c r="I3640" s="15" t="str">
        <f aca="false">IF(A3640="","",INT(A3640))</f>
        <v/>
      </c>
      <c r="J3640" s="16" t="str">
        <f aca="false">IF(B3640="","",IF(A3640=_xlfn.MINIFS($A$2:$A$5001,$B$2:$B$5001,B3640),1,0))</f>
        <v/>
      </c>
      <c r="K3640" s="16" t="str">
        <f aca="false">IF(B3640="","",IF(AND(D3640="Formalização",E3640="Concluído"),IF(COUNTIFS($B$2:$B$5001,B3640,$E$2:$E$5001,"Em ajustes",$A$2:$A$5001,"&lt;"&amp;I3640)&gt;0,1,0),0))</f>
        <v/>
      </c>
      <c r="L3640" s="16" t="str">
        <f aca="false">IF(B3640="","",IF(A3640=_xlfn.MAXIFS($A$2:$A$5001,$B$2:$B$5001,B3640,$I$2:$I$5001,I3640),1,0))</f>
        <v/>
      </c>
    </row>
    <row r="3641" customFormat="false" ht="15" hidden="false" customHeight="false" outlineLevel="0" collapsed="false">
      <c r="I3641" s="15" t="str">
        <f aca="false">IF(A3641="","",INT(A3641))</f>
        <v/>
      </c>
      <c r="J3641" s="16" t="str">
        <f aca="false">IF(B3641="","",IF(A3641=_xlfn.MINIFS($A$2:$A$5001,$B$2:$B$5001,B3641),1,0))</f>
        <v/>
      </c>
      <c r="K3641" s="16" t="str">
        <f aca="false">IF(B3641="","",IF(AND(D3641="Formalização",E3641="Concluído"),IF(COUNTIFS($B$2:$B$5001,B3641,$E$2:$E$5001,"Em ajustes",$A$2:$A$5001,"&lt;"&amp;I3641)&gt;0,1,0),0))</f>
        <v/>
      </c>
      <c r="L3641" s="16" t="str">
        <f aca="false">IF(B3641="","",IF(A3641=_xlfn.MAXIFS($A$2:$A$5001,$B$2:$B$5001,B3641,$I$2:$I$5001,I3641),1,0))</f>
        <v/>
      </c>
    </row>
    <row r="3642" customFormat="false" ht="15" hidden="false" customHeight="false" outlineLevel="0" collapsed="false">
      <c r="I3642" s="15" t="str">
        <f aca="false">IF(A3642="","",INT(A3642))</f>
        <v/>
      </c>
      <c r="J3642" s="16" t="str">
        <f aca="false">IF(B3642="","",IF(A3642=_xlfn.MINIFS($A$2:$A$5001,$B$2:$B$5001,B3642),1,0))</f>
        <v/>
      </c>
      <c r="K3642" s="16" t="str">
        <f aca="false">IF(B3642="","",IF(AND(D3642="Formalização",E3642="Concluído"),IF(COUNTIFS($B$2:$B$5001,B3642,$E$2:$E$5001,"Em ajustes",$A$2:$A$5001,"&lt;"&amp;I3642)&gt;0,1,0),0))</f>
        <v/>
      </c>
      <c r="L3642" s="16" t="str">
        <f aca="false">IF(B3642="","",IF(A3642=_xlfn.MAXIFS($A$2:$A$5001,$B$2:$B$5001,B3642,$I$2:$I$5001,I3642),1,0))</f>
        <v/>
      </c>
    </row>
    <row r="3643" customFormat="false" ht="15" hidden="false" customHeight="false" outlineLevel="0" collapsed="false">
      <c r="I3643" s="15" t="str">
        <f aca="false">IF(A3643="","",INT(A3643))</f>
        <v/>
      </c>
      <c r="J3643" s="16" t="str">
        <f aca="false">IF(B3643="","",IF(A3643=_xlfn.MINIFS($A$2:$A$5001,$B$2:$B$5001,B3643),1,0))</f>
        <v/>
      </c>
      <c r="K3643" s="16" t="str">
        <f aca="false">IF(B3643="","",IF(AND(D3643="Formalização",E3643="Concluído"),IF(COUNTIFS($B$2:$B$5001,B3643,$E$2:$E$5001,"Em ajustes",$A$2:$A$5001,"&lt;"&amp;I3643)&gt;0,1,0),0))</f>
        <v/>
      </c>
      <c r="L3643" s="16" t="str">
        <f aca="false">IF(B3643="","",IF(A3643=_xlfn.MAXIFS($A$2:$A$5001,$B$2:$B$5001,B3643,$I$2:$I$5001,I3643),1,0))</f>
        <v/>
      </c>
    </row>
    <row r="3644" customFormat="false" ht="15" hidden="false" customHeight="false" outlineLevel="0" collapsed="false">
      <c r="I3644" s="15" t="str">
        <f aca="false">IF(A3644="","",INT(A3644))</f>
        <v/>
      </c>
      <c r="J3644" s="16" t="str">
        <f aca="false">IF(B3644="","",IF(A3644=_xlfn.MINIFS($A$2:$A$5001,$B$2:$B$5001,B3644),1,0))</f>
        <v/>
      </c>
      <c r="K3644" s="16" t="str">
        <f aca="false">IF(B3644="","",IF(AND(D3644="Formalização",E3644="Concluído"),IF(COUNTIFS($B$2:$B$5001,B3644,$E$2:$E$5001,"Em ajustes",$A$2:$A$5001,"&lt;"&amp;I3644)&gt;0,1,0),0))</f>
        <v/>
      </c>
      <c r="L3644" s="16" t="str">
        <f aca="false">IF(B3644="","",IF(A3644=_xlfn.MAXIFS($A$2:$A$5001,$B$2:$B$5001,B3644,$I$2:$I$5001,I3644),1,0))</f>
        <v/>
      </c>
    </row>
    <row r="3645" customFormat="false" ht="15" hidden="false" customHeight="false" outlineLevel="0" collapsed="false">
      <c r="I3645" s="15" t="str">
        <f aca="false">IF(A3645="","",INT(A3645))</f>
        <v/>
      </c>
      <c r="J3645" s="16" t="str">
        <f aca="false">IF(B3645="","",IF(A3645=_xlfn.MINIFS($A$2:$A$5001,$B$2:$B$5001,B3645),1,0))</f>
        <v/>
      </c>
      <c r="K3645" s="16" t="str">
        <f aca="false">IF(B3645="","",IF(AND(D3645="Formalização",E3645="Concluído"),IF(COUNTIFS($B$2:$B$5001,B3645,$E$2:$E$5001,"Em ajustes",$A$2:$A$5001,"&lt;"&amp;I3645)&gt;0,1,0),0))</f>
        <v/>
      </c>
      <c r="L3645" s="16" t="str">
        <f aca="false">IF(B3645="","",IF(A3645=_xlfn.MAXIFS($A$2:$A$5001,$B$2:$B$5001,B3645,$I$2:$I$5001,I3645),1,0))</f>
        <v/>
      </c>
    </row>
    <row r="3646" customFormat="false" ht="15" hidden="false" customHeight="false" outlineLevel="0" collapsed="false">
      <c r="I3646" s="15" t="str">
        <f aca="false">IF(A3646="","",INT(A3646))</f>
        <v/>
      </c>
      <c r="J3646" s="16" t="str">
        <f aca="false">IF(B3646="","",IF(A3646=_xlfn.MINIFS($A$2:$A$5001,$B$2:$B$5001,B3646),1,0))</f>
        <v/>
      </c>
      <c r="K3646" s="16" t="str">
        <f aca="false">IF(B3646="","",IF(AND(D3646="Formalização",E3646="Concluído"),IF(COUNTIFS($B$2:$B$5001,B3646,$E$2:$E$5001,"Em ajustes",$A$2:$A$5001,"&lt;"&amp;I3646)&gt;0,1,0),0))</f>
        <v/>
      </c>
      <c r="L3646" s="16" t="str">
        <f aca="false">IF(B3646="","",IF(A3646=_xlfn.MAXIFS($A$2:$A$5001,$B$2:$B$5001,B3646,$I$2:$I$5001,I3646),1,0))</f>
        <v/>
      </c>
    </row>
    <row r="3647" customFormat="false" ht="15" hidden="false" customHeight="false" outlineLevel="0" collapsed="false">
      <c r="I3647" s="15" t="str">
        <f aca="false">IF(A3647="","",INT(A3647))</f>
        <v/>
      </c>
      <c r="J3647" s="16" t="str">
        <f aca="false">IF(B3647="","",IF(A3647=_xlfn.MINIFS($A$2:$A$5001,$B$2:$B$5001,B3647),1,0))</f>
        <v/>
      </c>
      <c r="K3647" s="16" t="str">
        <f aca="false">IF(B3647="","",IF(AND(D3647="Formalização",E3647="Concluído"),IF(COUNTIFS($B$2:$B$5001,B3647,$E$2:$E$5001,"Em ajustes",$A$2:$A$5001,"&lt;"&amp;I3647)&gt;0,1,0),0))</f>
        <v/>
      </c>
      <c r="L3647" s="16" t="str">
        <f aca="false">IF(B3647="","",IF(A3647=_xlfn.MAXIFS($A$2:$A$5001,$B$2:$B$5001,B3647,$I$2:$I$5001,I3647),1,0))</f>
        <v/>
      </c>
    </row>
    <row r="3648" customFormat="false" ht="15" hidden="false" customHeight="false" outlineLevel="0" collapsed="false">
      <c r="I3648" s="15" t="str">
        <f aca="false">IF(A3648="","",INT(A3648))</f>
        <v/>
      </c>
      <c r="J3648" s="16" t="str">
        <f aca="false">IF(B3648="","",IF(A3648=_xlfn.MINIFS($A$2:$A$5001,$B$2:$B$5001,B3648),1,0))</f>
        <v/>
      </c>
      <c r="K3648" s="16" t="str">
        <f aca="false">IF(B3648="","",IF(AND(D3648="Formalização",E3648="Concluído"),IF(COUNTIFS($B$2:$B$5001,B3648,$E$2:$E$5001,"Em ajustes",$A$2:$A$5001,"&lt;"&amp;I3648)&gt;0,1,0),0))</f>
        <v/>
      </c>
      <c r="L3648" s="16" t="str">
        <f aca="false">IF(B3648="","",IF(A3648=_xlfn.MAXIFS($A$2:$A$5001,$B$2:$B$5001,B3648,$I$2:$I$5001,I3648),1,0))</f>
        <v/>
      </c>
    </row>
    <row r="3649" customFormat="false" ht="15" hidden="false" customHeight="false" outlineLevel="0" collapsed="false">
      <c r="I3649" s="15" t="str">
        <f aca="false">IF(A3649="","",INT(A3649))</f>
        <v/>
      </c>
      <c r="J3649" s="16" t="str">
        <f aca="false">IF(B3649="","",IF(A3649=_xlfn.MINIFS($A$2:$A$5001,$B$2:$B$5001,B3649),1,0))</f>
        <v/>
      </c>
      <c r="K3649" s="16" t="str">
        <f aca="false">IF(B3649="","",IF(AND(D3649="Formalização",E3649="Concluído"),IF(COUNTIFS($B$2:$B$5001,B3649,$E$2:$E$5001,"Em ajustes",$A$2:$A$5001,"&lt;"&amp;I3649)&gt;0,1,0),0))</f>
        <v/>
      </c>
      <c r="L3649" s="16" t="str">
        <f aca="false">IF(B3649="","",IF(A3649=_xlfn.MAXIFS($A$2:$A$5001,$B$2:$B$5001,B3649,$I$2:$I$5001,I3649),1,0))</f>
        <v/>
      </c>
    </row>
    <row r="3650" customFormat="false" ht="15" hidden="false" customHeight="false" outlineLevel="0" collapsed="false">
      <c r="I3650" s="15" t="str">
        <f aca="false">IF(A3650="","",INT(A3650))</f>
        <v/>
      </c>
      <c r="J3650" s="16" t="str">
        <f aca="false">IF(B3650="","",IF(A3650=_xlfn.MINIFS($A$2:$A$5001,$B$2:$B$5001,B3650),1,0))</f>
        <v/>
      </c>
      <c r="K3650" s="16" t="str">
        <f aca="false">IF(B3650="","",IF(AND(D3650="Formalização",E3650="Concluído"),IF(COUNTIFS($B$2:$B$5001,B3650,$E$2:$E$5001,"Em ajustes",$A$2:$A$5001,"&lt;"&amp;I3650)&gt;0,1,0),0))</f>
        <v/>
      </c>
      <c r="L3650" s="16" t="str">
        <f aca="false">IF(B3650="","",IF(A3650=_xlfn.MAXIFS($A$2:$A$5001,$B$2:$B$5001,B3650,$I$2:$I$5001,I3650),1,0))</f>
        <v/>
      </c>
    </row>
    <row r="3651" customFormat="false" ht="15" hidden="false" customHeight="false" outlineLevel="0" collapsed="false">
      <c r="I3651" s="15" t="str">
        <f aca="false">IF(A3651="","",INT(A3651))</f>
        <v/>
      </c>
      <c r="J3651" s="16" t="str">
        <f aca="false">IF(B3651="","",IF(A3651=_xlfn.MINIFS($A$2:$A$5001,$B$2:$B$5001,B3651),1,0))</f>
        <v/>
      </c>
      <c r="K3651" s="16" t="str">
        <f aca="false">IF(B3651="","",IF(AND(D3651="Formalização",E3651="Concluído"),IF(COUNTIFS($B$2:$B$5001,B3651,$E$2:$E$5001,"Em ajustes",$A$2:$A$5001,"&lt;"&amp;I3651)&gt;0,1,0),0))</f>
        <v/>
      </c>
      <c r="L3651" s="16" t="str">
        <f aca="false">IF(B3651="","",IF(A3651=_xlfn.MAXIFS($A$2:$A$5001,$B$2:$B$5001,B3651,$I$2:$I$5001,I3651),1,0))</f>
        <v/>
      </c>
    </row>
    <row r="3652" customFormat="false" ht="15" hidden="false" customHeight="false" outlineLevel="0" collapsed="false">
      <c r="I3652" s="15" t="str">
        <f aca="false">IF(A3652="","",INT(A3652))</f>
        <v/>
      </c>
      <c r="J3652" s="16" t="str">
        <f aca="false">IF(B3652="","",IF(A3652=_xlfn.MINIFS($A$2:$A$5001,$B$2:$B$5001,B3652),1,0))</f>
        <v/>
      </c>
      <c r="K3652" s="16" t="str">
        <f aca="false">IF(B3652="","",IF(AND(D3652="Formalização",E3652="Concluído"),IF(COUNTIFS($B$2:$B$5001,B3652,$E$2:$E$5001,"Em ajustes",$A$2:$A$5001,"&lt;"&amp;I3652)&gt;0,1,0),0))</f>
        <v/>
      </c>
      <c r="L3652" s="16" t="str">
        <f aca="false">IF(B3652="","",IF(A3652=_xlfn.MAXIFS($A$2:$A$5001,$B$2:$B$5001,B3652,$I$2:$I$5001,I3652),1,0))</f>
        <v/>
      </c>
    </row>
    <row r="3653" customFormat="false" ht="15" hidden="false" customHeight="false" outlineLevel="0" collapsed="false">
      <c r="I3653" s="15" t="str">
        <f aca="false">IF(A3653="","",INT(A3653))</f>
        <v/>
      </c>
      <c r="J3653" s="16" t="str">
        <f aca="false">IF(B3653="","",IF(A3653=_xlfn.MINIFS($A$2:$A$5001,$B$2:$B$5001,B3653),1,0))</f>
        <v/>
      </c>
      <c r="K3653" s="16" t="str">
        <f aca="false">IF(B3653="","",IF(AND(D3653="Formalização",E3653="Concluído"),IF(COUNTIFS($B$2:$B$5001,B3653,$E$2:$E$5001,"Em ajustes",$A$2:$A$5001,"&lt;"&amp;I3653)&gt;0,1,0),0))</f>
        <v/>
      </c>
      <c r="L3653" s="16" t="str">
        <f aca="false">IF(B3653="","",IF(A3653=_xlfn.MAXIFS($A$2:$A$5001,$B$2:$B$5001,B3653,$I$2:$I$5001,I3653),1,0))</f>
        <v/>
      </c>
    </row>
    <row r="3654" customFormat="false" ht="15" hidden="false" customHeight="false" outlineLevel="0" collapsed="false">
      <c r="I3654" s="15" t="str">
        <f aca="false">IF(A3654="","",INT(A3654))</f>
        <v/>
      </c>
      <c r="J3654" s="16" t="str">
        <f aca="false">IF(B3654="","",IF(A3654=_xlfn.MINIFS($A$2:$A$5001,$B$2:$B$5001,B3654),1,0))</f>
        <v/>
      </c>
      <c r="K3654" s="16" t="str">
        <f aca="false">IF(B3654="","",IF(AND(D3654="Formalização",E3654="Concluído"),IF(COUNTIFS($B$2:$B$5001,B3654,$E$2:$E$5001,"Em ajustes",$A$2:$A$5001,"&lt;"&amp;I3654)&gt;0,1,0),0))</f>
        <v/>
      </c>
      <c r="L3654" s="16" t="str">
        <f aca="false">IF(B3654="","",IF(A3654=_xlfn.MAXIFS($A$2:$A$5001,$B$2:$B$5001,B3654,$I$2:$I$5001,I3654),1,0))</f>
        <v/>
      </c>
    </row>
    <row r="3655" customFormat="false" ht="15" hidden="false" customHeight="false" outlineLevel="0" collapsed="false">
      <c r="I3655" s="15" t="str">
        <f aca="false">IF(A3655="","",INT(A3655))</f>
        <v/>
      </c>
      <c r="J3655" s="16" t="str">
        <f aca="false">IF(B3655="","",IF(A3655=_xlfn.MINIFS($A$2:$A$5001,$B$2:$B$5001,B3655),1,0))</f>
        <v/>
      </c>
      <c r="K3655" s="16" t="str">
        <f aca="false">IF(B3655="","",IF(AND(D3655="Formalização",E3655="Concluído"),IF(COUNTIFS($B$2:$B$5001,B3655,$E$2:$E$5001,"Em ajustes",$A$2:$A$5001,"&lt;"&amp;I3655)&gt;0,1,0),0))</f>
        <v/>
      </c>
      <c r="L3655" s="16" t="str">
        <f aca="false">IF(B3655="","",IF(A3655=_xlfn.MAXIFS($A$2:$A$5001,$B$2:$B$5001,B3655,$I$2:$I$5001,I3655),1,0))</f>
        <v/>
      </c>
    </row>
    <row r="3656" customFormat="false" ht="15" hidden="false" customHeight="false" outlineLevel="0" collapsed="false">
      <c r="I3656" s="15" t="str">
        <f aca="false">IF(A3656="","",INT(A3656))</f>
        <v/>
      </c>
      <c r="J3656" s="16" t="str">
        <f aca="false">IF(B3656="","",IF(A3656=_xlfn.MINIFS($A$2:$A$5001,$B$2:$B$5001,B3656),1,0))</f>
        <v/>
      </c>
      <c r="K3656" s="16" t="str">
        <f aca="false">IF(B3656="","",IF(AND(D3656="Formalização",E3656="Concluído"),IF(COUNTIFS($B$2:$B$5001,B3656,$E$2:$E$5001,"Em ajustes",$A$2:$A$5001,"&lt;"&amp;I3656)&gt;0,1,0),0))</f>
        <v/>
      </c>
      <c r="L3656" s="16" t="str">
        <f aca="false">IF(B3656="","",IF(A3656=_xlfn.MAXIFS($A$2:$A$5001,$B$2:$B$5001,B3656,$I$2:$I$5001,I3656),1,0))</f>
        <v/>
      </c>
    </row>
    <row r="3657" customFormat="false" ht="15" hidden="false" customHeight="false" outlineLevel="0" collapsed="false">
      <c r="I3657" s="15" t="str">
        <f aca="false">IF(A3657="","",INT(A3657))</f>
        <v/>
      </c>
      <c r="J3657" s="16" t="str">
        <f aca="false">IF(B3657="","",IF(A3657=_xlfn.MINIFS($A$2:$A$5001,$B$2:$B$5001,B3657),1,0))</f>
        <v/>
      </c>
      <c r="K3657" s="16" t="str">
        <f aca="false">IF(B3657="","",IF(AND(D3657="Formalização",E3657="Concluído"),IF(COUNTIFS($B$2:$B$5001,B3657,$E$2:$E$5001,"Em ajustes",$A$2:$A$5001,"&lt;"&amp;I3657)&gt;0,1,0),0))</f>
        <v/>
      </c>
      <c r="L3657" s="16" t="str">
        <f aca="false">IF(B3657="","",IF(A3657=_xlfn.MAXIFS($A$2:$A$5001,$B$2:$B$5001,B3657,$I$2:$I$5001,I3657),1,0))</f>
        <v/>
      </c>
    </row>
    <row r="3658" customFormat="false" ht="15" hidden="false" customHeight="false" outlineLevel="0" collapsed="false">
      <c r="I3658" s="15" t="str">
        <f aca="false">IF(A3658="","",INT(A3658))</f>
        <v/>
      </c>
      <c r="J3658" s="16" t="str">
        <f aca="false">IF(B3658="","",IF(A3658=_xlfn.MINIFS($A$2:$A$5001,$B$2:$B$5001,B3658),1,0))</f>
        <v/>
      </c>
      <c r="K3658" s="16" t="str">
        <f aca="false">IF(B3658="","",IF(AND(D3658="Formalização",E3658="Concluído"),IF(COUNTIFS($B$2:$B$5001,B3658,$E$2:$E$5001,"Em ajustes",$A$2:$A$5001,"&lt;"&amp;I3658)&gt;0,1,0),0))</f>
        <v/>
      </c>
      <c r="L3658" s="16" t="str">
        <f aca="false">IF(B3658="","",IF(A3658=_xlfn.MAXIFS($A$2:$A$5001,$B$2:$B$5001,B3658,$I$2:$I$5001,I3658),1,0))</f>
        <v/>
      </c>
    </row>
    <row r="3659" customFormat="false" ht="15" hidden="false" customHeight="false" outlineLevel="0" collapsed="false">
      <c r="I3659" s="15" t="str">
        <f aca="false">IF(A3659="","",INT(A3659))</f>
        <v/>
      </c>
      <c r="J3659" s="16" t="str">
        <f aca="false">IF(B3659="","",IF(A3659=_xlfn.MINIFS($A$2:$A$5001,$B$2:$B$5001,B3659),1,0))</f>
        <v/>
      </c>
      <c r="K3659" s="16" t="str">
        <f aca="false">IF(B3659="","",IF(AND(D3659="Formalização",E3659="Concluído"),IF(COUNTIFS($B$2:$B$5001,B3659,$E$2:$E$5001,"Em ajustes",$A$2:$A$5001,"&lt;"&amp;I3659)&gt;0,1,0),0))</f>
        <v/>
      </c>
      <c r="L3659" s="16" t="str">
        <f aca="false">IF(B3659="","",IF(A3659=_xlfn.MAXIFS($A$2:$A$5001,$B$2:$B$5001,B3659,$I$2:$I$5001,I3659),1,0))</f>
        <v/>
      </c>
    </row>
    <row r="3660" customFormat="false" ht="15" hidden="false" customHeight="false" outlineLevel="0" collapsed="false">
      <c r="I3660" s="15" t="str">
        <f aca="false">IF(A3660="","",INT(A3660))</f>
        <v/>
      </c>
      <c r="J3660" s="16" t="str">
        <f aca="false">IF(B3660="","",IF(A3660=_xlfn.MINIFS($A$2:$A$5001,$B$2:$B$5001,B3660),1,0))</f>
        <v/>
      </c>
      <c r="K3660" s="16" t="str">
        <f aca="false">IF(B3660="","",IF(AND(D3660="Formalização",E3660="Concluído"),IF(COUNTIFS($B$2:$B$5001,B3660,$E$2:$E$5001,"Em ajustes",$A$2:$A$5001,"&lt;"&amp;I3660)&gt;0,1,0),0))</f>
        <v/>
      </c>
      <c r="L3660" s="16" t="str">
        <f aca="false">IF(B3660="","",IF(A3660=_xlfn.MAXIFS($A$2:$A$5001,$B$2:$B$5001,B3660,$I$2:$I$5001,I3660),1,0))</f>
        <v/>
      </c>
    </row>
    <row r="3661" customFormat="false" ht="15" hidden="false" customHeight="false" outlineLevel="0" collapsed="false">
      <c r="I3661" s="15" t="str">
        <f aca="false">IF(A3661="","",INT(A3661))</f>
        <v/>
      </c>
      <c r="J3661" s="16" t="str">
        <f aca="false">IF(B3661="","",IF(A3661=_xlfn.MINIFS($A$2:$A$5001,$B$2:$B$5001,B3661),1,0))</f>
        <v/>
      </c>
      <c r="K3661" s="16" t="str">
        <f aca="false">IF(B3661="","",IF(AND(D3661="Formalização",E3661="Concluído"),IF(COUNTIFS($B$2:$B$5001,B3661,$E$2:$E$5001,"Em ajustes",$A$2:$A$5001,"&lt;"&amp;I3661)&gt;0,1,0),0))</f>
        <v/>
      </c>
      <c r="L3661" s="16" t="str">
        <f aca="false">IF(B3661="","",IF(A3661=_xlfn.MAXIFS($A$2:$A$5001,$B$2:$B$5001,B3661,$I$2:$I$5001,I3661),1,0))</f>
        <v/>
      </c>
    </row>
    <row r="3662" customFormat="false" ht="15" hidden="false" customHeight="false" outlineLevel="0" collapsed="false">
      <c r="I3662" s="15" t="str">
        <f aca="false">IF(A3662="","",INT(A3662))</f>
        <v/>
      </c>
      <c r="J3662" s="16" t="str">
        <f aca="false">IF(B3662="","",IF(A3662=_xlfn.MINIFS($A$2:$A$5001,$B$2:$B$5001,B3662),1,0))</f>
        <v/>
      </c>
      <c r="K3662" s="16" t="str">
        <f aca="false">IF(B3662="","",IF(AND(D3662="Formalização",E3662="Concluído"),IF(COUNTIFS($B$2:$B$5001,B3662,$E$2:$E$5001,"Em ajustes",$A$2:$A$5001,"&lt;"&amp;I3662)&gt;0,1,0),0))</f>
        <v/>
      </c>
      <c r="L3662" s="16" t="str">
        <f aca="false">IF(B3662="","",IF(A3662=_xlfn.MAXIFS($A$2:$A$5001,$B$2:$B$5001,B3662,$I$2:$I$5001,I3662),1,0))</f>
        <v/>
      </c>
    </row>
    <row r="3663" customFormat="false" ht="15" hidden="false" customHeight="false" outlineLevel="0" collapsed="false">
      <c r="I3663" s="15" t="str">
        <f aca="false">IF(A3663="","",INT(A3663))</f>
        <v/>
      </c>
      <c r="J3663" s="16" t="str">
        <f aca="false">IF(B3663="","",IF(A3663=_xlfn.MINIFS($A$2:$A$5001,$B$2:$B$5001,B3663),1,0))</f>
        <v/>
      </c>
      <c r="K3663" s="16" t="str">
        <f aca="false">IF(B3663="","",IF(AND(D3663="Formalização",E3663="Concluído"),IF(COUNTIFS($B$2:$B$5001,B3663,$E$2:$E$5001,"Em ajustes",$A$2:$A$5001,"&lt;"&amp;I3663)&gt;0,1,0),0))</f>
        <v/>
      </c>
      <c r="L3663" s="16" t="str">
        <f aca="false">IF(B3663="","",IF(A3663=_xlfn.MAXIFS($A$2:$A$5001,$B$2:$B$5001,B3663,$I$2:$I$5001,I3663),1,0))</f>
        <v/>
      </c>
    </row>
    <row r="3664" customFormat="false" ht="15" hidden="false" customHeight="false" outlineLevel="0" collapsed="false">
      <c r="I3664" s="15" t="str">
        <f aca="false">IF(A3664="","",INT(A3664))</f>
        <v/>
      </c>
      <c r="J3664" s="16" t="str">
        <f aca="false">IF(B3664="","",IF(A3664=_xlfn.MINIFS($A$2:$A$5001,$B$2:$B$5001,B3664),1,0))</f>
        <v/>
      </c>
      <c r="K3664" s="16" t="str">
        <f aca="false">IF(B3664="","",IF(AND(D3664="Formalização",E3664="Concluído"),IF(COUNTIFS($B$2:$B$5001,B3664,$E$2:$E$5001,"Em ajustes",$A$2:$A$5001,"&lt;"&amp;I3664)&gt;0,1,0),0))</f>
        <v/>
      </c>
      <c r="L3664" s="16" t="str">
        <f aca="false">IF(B3664="","",IF(A3664=_xlfn.MAXIFS($A$2:$A$5001,$B$2:$B$5001,B3664,$I$2:$I$5001,I3664),1,0))</f>
        <v/>
      </c>
    </row>
    <row r="3665" customFormat="false" ht="15" hidden="false" customHeight="false" outlineLevel="0" collapsed="false">
      <c r="I3665" s="15" t="str">
        <f aca="false">IF(A3665="","",INT(A3665))</f>
        <v/>
      </c>
      <c r="J3665" s="16" t="str">
        <f aca="false">IF(B3665="","",IF(A3665=_xlfn.MINIFS($A$2:$A$5001,$B$2:$B$5001,B3665),1,0))</f>
        <v/>
      </c>
      <c r="K3665" s="16" t="str">
        <f aca="false">IF(B3665="","",IF(AND(D3665="Formalização",E3665="Concluído"),IF(COUNTIFS($B$2:$B$5001,B3665,$E$2:$E$5001,"Em ajustes",$A$2:$A$5001,"&lt;"&amp;I3665)&gt;0,1,0),0))</f>
        <v/>
      </c>
      <c r="L3665" s="16" t="str">
        <f aca="false">IF(B3665="","",IF(A3665=_xlfn.MAXIFS($A$2:$A$5001,$B$2:$B$5001,B3665,$I$2:$I$5001,I3665),1,0))</f>
        <v/>
      </c>
    </row>
    <row r="3666" customFormat="false" ht="15" hidden="false" customHeight="false" outlineLevel="0" collapsed="false">
      <c r="I3666" s="15" t="str">
        <f aca="false">IF(A3666="","",INT(A3666))</f>
        <v/>
      </c>
      <c r="J3666" s="16" t="str">
        <f aca="false">IF(B3666="","",IF(A3666=_xlfn.MINIFS($A$2:$A$5001,$B$2:$B$5001,B3666),1,0))</f>
        <v/>
      </c>
      <c r="K3666" s="16" t="str">
        <f aca="false">IF(B3666="","",IF(AND(D3666="Formalização",E3666="Concluído"),IF(COUNTIFS($B$2:$B$5001,B3666,$E$2:$E$5001,"Em ajustes",$A$2:$A$5001,"&lt;"&amp;I3666)&gt;0,1,0),0))</f>
        <v/>
      </c>
      <c r="L3666" s="16" t="str">
        <f aca="false">IF(B3666="","",IF(A3666=_xlfn.MAXIFS($A$2:$A$5001,$B$2:$B$5001,B3666,$I$2:$I$5001,I3666),1,0))</f>
        <v/>
      </c>
    </row>
    <row r="3667" customFormat="false" ht="15" hidden="false" customHeight="false" outlineLevel="0" collapsed="false">
      <c r="I3667" s="15" t="str">
        <f aca="false">IF(A3667="","",INT(A3667))</f>
        <v/>
      </c>
      <c r="J3667" s="16" t="str">
        <f aca="false">IF(B3667="","",IF(A3667=_xlfn.MINIFS($A$2:$A$5001,$B$2:$B$5001,B3667),1,0))</f>
        <v/>
      </c>
      <c r="K3667" s="16" t="str">
        <f aca="false">IF(B3667="","",IF(AND(D3667="Formalização",E3667="Concluído"),IF(COUNTIFS($B$2:$B$5001,B3667,$E$2:$E$5001,"Em ajustes",$A$2:$A$5001,"&lt;"&amp;I3667)&gt;0,1,0),0))</f>
        <v/>
      </c>
      <c r="L3667" s="16" t="str">
        <f aca="false">IF(B3667="","",IF(A3667=_xlfn.MAXIFS($A$2:$A$5001,$B$2:$B$5001,B3667,$I$2:$I$5001,I3667),1,0))</f>
        <v/>
      </c>
    </row>
    <row r="3668" customFormat="false" ht="15" hidden="false" customHeight="false" outlineLevel="0" collapsed="false">
      <c r="I3668" s="15" t="str">
        <f aca="false">IF(A3668="","",INT(A3668))</f>
        <v/>
      </c>
      <c r="J3668" s="16" t="str">
        <f aca="false">IF(B3668="","",IF(A3668=_xlfn.MINIFS($A$2:$A$5001,$B$2:$B$5001,B3668),1,0))</f>
        <v/>
      </c>
      <c r="K3668" s="16" t="str">
        <f aca="false">IF(B3668="","",IF(AND(D3668="Formalização",E3668="Concluído"),IF(COUNTIFS($B$2:$B$5001,B3668,$E$2:$E$5001,"Em ajustes",$A$2:$A$5001,"&lt;"&amp;I3668)&gt;0,1,0),0))</f>
        <v/>
      </c>
      <c r="L3668" s="16" t="str">
        <f aca="false">IF(B3668="","",IF(A3668=_xlfn.MAXIFS($A$2:$A$5001,$B$2:$B$5001,B3668,$I$2:$I$5001,I3668),1,0))</f>
        <v/>
      </c>
    </row>
    <row r="3669" customFormat="false" ht="15" hidden="false" customHeight="false" outlineLevel="0" collapsed="false">
      <c r="I3669" s="15" t="str">
        <f aca="false">IF(A3669="","",INT(A3669))</f>
        <v/>
      </c>
      <c r="J3669" s="16" t="str">
        <f aca="false">IF(B3669="","",IF(A3669=_xlfn.MINIFS($A$2:$A$5001,$B$2:$B$5001,B3669),1,0))</f>
        <v/>
      </c>
      <c r="K3669" s="16" t="str">
        <f aca="false">IF(B3669="","",IF(AND(D3669="Formalização",E3669="Concluído"),IF(COUNTIFS($B$2:$B$5001,B3669,$E$2:$E$5001,"Em ajustes",$A$2:$A$5001,"&lt;"&amp;I3669)&gt;0,1,0),0))</f>
        <v/>
      </c>
      <c r="L3669" s="16" t="str">
        <f aca="false">IF(B3669="","",IF(A3669=_xlfn.MAXIFS($A$2:$A$5001,$B$2:$B$5001,B3669,$I$2:$I$5001,I3669),1,0))</f>
        <v/>
      </c>
    </row>
    <row r="3670" customFormat="false" ht="15" hidden="false" customHeight="false" outlineLevel="0" collapsed="false">
      <c r="I3670" s="15" t="str">
        <f aca="false">IF(A3670="","",INT(A3670))</f>
        <v/>
      </c>
      <c r="J3670" s="16" t="str">
        <f aca="false">IF(B3670="","",IF(A3670=_xlfn.MINIFS($A$2:$A$5001,$B$2:$B$5001,B3670),1,0))</f>
        <v/>
      </c>
      <c r="K3670" s="16" t="str">
        <f aca="false">IF(B3670="","",IF(AND(D3670="Formalização",E3670="Concluído"),IF(COUNTIFS($B$2:$B$5001,B3670,$E$2:$E$5001,"Em ajustes",$A$2:$A$5001,"&lt;"&amp;I3670)&gt;0,1,0),0))</f>
        <v/>
      </c>
      <c r="L3670" s="16" t="str">
        <f aca="false">IF(B3670="","",IF(A3670=_xlfn.MAXIFS($A$2:$A$5001,$B$2:$B$5001,B3670,$I$2:$I$5001,I3670),1,0))</f>
        <v/>
      </c>
    </row>
    <row r="3671" customFormat="false" ht="15" hidden="false" customHeight="false" outlineLevel="0" collapsed="false">
      <c r="I3671" s="15" t="str">
        <f aca="false">IF(A3671="","",INT(A3671))</f>
        <v/>
      </c>
      <c r="J3671" s="16" t="str">
        <f aca="false">IF(B3671="","",IF(A3671=_xlfn.MINIFS($A$2:$A$5001,$B$2:$B$5001,B3671),1,0))</f>
        <v/>
      </c>
      <c r="K3671" s="16" t="str">
        <f aca="false">IF(B3671="","",IF(AND(D3671="Formalização",E3671="Concluído"),IF(COUNTIFS($B$2:$B$5001,B3671,$E$2:$E$5001,"Em ajustes",$A$2:$A$5001,"&lt;"&amp;I3671)&gt;0,1,0),0))</f>
        <v/>
      </c>
      <c r="L3671" s="16" t="str">
        <f aca="false">IF(B3671="","",IF(A3671=_xlfn.MAXIFS($A$2:$A$5001,$B$2:$B$5001,B3671,$I$2:$I$5001,I3671),1,0))</f>
        <v/>
      </c>
    </row>
    <row r="3672" customFormat="false" ht="15" hidden="false" customHeight="false" outlineLevel="0" collapsed="false">
      <c r="I3672" s="15" t="str">
        <f aca="false">IF(A3672="","",INT(A3672))</f>
        <v/>
      </c>
      <c r="J3672" s="16" t="str">
        <f aca="false">IF(B3672="","",IF(A3672=_xlfn.MINIFS($A$2:$A$5001,$B$2:$B$5001,B3672),1,0))</f>
        <v/>
      </c>
      <c r="K3672" s="16" t="str">
        <f aca="false">IF(B3672="","",IF(AND(D3672="Formalização",E3672="Concluído"),IF(COUNTIFS($B$2:$B$5001,B3672,$E$2:$E$5001,"Em ajustes",$A$2:$A$5001,"&lt;"&amp;I3672)&gt;0,1,0),0))</f>
        <v/>
      </c>
      <c r="L3672" s="16" t="str">
        <f aca="false">IF(B3672="","",IF(A3672=_xlfn.MAXIFS($A$2:$A$5001,$B$2:$B$5001,B3672,$I$2:$I$5001,I3672),1,0))</f>
        <v/>
      </c>
    </row>
    <row r="3673" customFormat="false" ht="15" hidden="false" customHeight="false" outlineLevel="0" collapsed="false">
      <c r="I3673" s="15" t="str">
        <f aca="false">IF(A3673="","",INT(A3673))</f>
        <v/>
      </c>
      <c r="J3673" s="16" t="str">
        <f aca="false">IF(B3673="","",IF(A3673=_xlfn.MINIFS($A$2:$A$5001,$B$2:$B$5001,B3673),1,0))</f>
        <v/>
      </c>
      <c r="K3673" s="16" t="str">
        <f aca="false">IF(B3673="","",IF(AND(D3673="Formalização",E3673="Concluído"),IF(COUNTIFS($B$2:$B$5001,B3673,$E$2:$E$5001,"Em ajustes",$A$2:$A$5001,"&lt;"&amp;I3673)&gt;0,1,0),0))</f>
        <v/>
      </c>
      <c r="L3673" s="16" t="str">
        <f aca="false">IF(B3673="","",IF(A3673=_xlfn.MAXIFS($A$2:$A$5001,$B$2:$B$5001,B3673,$I$2:$I$5001,I3673),1,0))</f>
        <v/>
      </c>
    </row>
    <row r="3674" customFormat="false" ht="15" hidden="false" customHeight="false" outlineLevel="0" collapsed="false">
      <c r="I3674" s="15" t="str">
        <f aca="false">IF(A3674="","",INT(A3674))</f>
        <v/>
      </c>
      <c r="J3674" s="16" t="str">
        <f aca="false">IF(B3674="","",IF(A3674=_xlfn.MINIFS($A$2:$A$5001,$B$2:$B$5001,B3674),1,0))</f>
        <v/>
      </c>
      <c r="K3674" s="16" t="str">
        <f aca="false">IF(B3674="","",IF(AND(D3674="Formalização",E3674="Concluído"),IF(COUNTIFS($B$2:$B$5001,B3674,$E$2:$E$5001,"Em ajustes",$A$2:$A$5001,"&lt;"&amp;I3674)&gt;0,1,0),0))</f>
        <v/>
      </c>
      <c r="L3674" s="16" t="str">
        <f aca="false">IF(B3674="","",IF(A3674=_xlfn.MAXIFS($A$2:$A$5001,$B$2:$B$5001,B3674,$I$2:$I$5001,I3674),1,0))</f>
        <v/>
      </c>
    </row>
    <row r="3675" customFormat="false" ht="15" hidden="false" customHeight="false" outlineLevel="0" collapsed="false">
      <c r="I3675" s="15" t="str">
        <f aca="false">IF(A3675="","",INT(A3675))</f>
        <v/>
      </c>
      <c r="J3675" s="16" t="str">
        <f aca="false">IF(B3675="","",IF(A3675=_xlfn.MINIFS($A$2:$A$5001,$B$2:$B$5001,B3675),1,0))</f>
        <v/>
      </c>
      <c r="K3675" s="16" t="str">
        <f aca="false">IF(B3675="","",IF(AND(D3675="Formalização",E3675="Concluído"),IF(COUNTIFS($B$2:$B$5001,B3675,$E$2:$E$5001,"Em ajustes",$A$2:$A$5001,"&lt;"&amp;I3675)&gt;0,1,0),0))</f>
        <v/>
      </c>
      <c r="L3675" s="16" t="str">
        <f aca="false">IF(B3675="","",IF(A3675=_xlfn.MAXIFS($A$2:$A$5001,$B$2:$B$5001,B3675,$I$2:$I$5001,I3675),1,0))</f>
        <v/>
      </c>
    </row>
    <row r="3676" customFormat="false" ht="15" hidden="false" customHeight="false" outlineLevel="0" collapsed="false">
      <c r="I3676" s="15" t="str">
        <f aca="false">IF(A3676="","",INT(A3676))</f>
        <v/>
      </c>
      <c r="J3676" s="16" t="str">
        <f aca="false">IF(B3676="","",IF(A3676=_xlfn.MINIFS($A$2:$A$5001,$B$2:$B$5001,B3676),1,0))</f>
        <v/>
      </c>
      <c r="K3676" s="16" t="str">
        <f aca="false">IF(B3676="","",IF(AND(D3676="Formalização",E3676="Concluído"),IF(COUNTIFS($B$2:$B$5001,B3676,$E$2:$E$5001,"Em ajustes",$A$2:$A$5001,"&lt;"&amp;I3676)&gt;0,1,0),0))</f>
        <v/>
      </c>
      <c r="L3676" s="16" t="str">
        <f aca="false">IF(B3676="","",IF(A3676=_xlfn.MAXIFS($A$2:$A$5001,$B$2:$B$5001,B3676,$I$2:$I$5001,I3676),1,0))</f>
        <v/>
      </c>
    </row>
    <row r="3677" customFormat="false" ht="15" hidden="false" customHeight="false" outlineLevel="0" collapsed="false">
      <c r="I3677" s="15" t="str">
        <f aca="false">IF(A3677="","",INT(A3677))</f>
        <v/>
      </c>
      <c r="J3677" s="16" t="str">
        <f aca="false">IF(B3677="","",IF(A3677=_xlfn.MINIFS($A$2:$A$5001,$B$2:$B$5001,B3677),1,0))</f>
        <v/>
      </c>
      <c r="K3677" s="16" t="str">
        <f aca="false">IF(B3677="","",IF(AND(D3677="Formalização",E3677="Concluído"),IF(COUNTIFS($B$2:$B$5001,B3677,$E$2:$E$5001,"Em ajustes",$A$2:$A$5001,"&lt;"&amp;I3677)&gt;0,1,0),0))</f>
        <v/>
      </c>
      <c r="L3677" s="16" t="str">
        <f aca="false">IF(B3677="","",IF(A3677=_xlfn.MAXIFS($A$2:$A$5001,$B$2:$B$5001,B3677,$I$2:$I$5001,I3677),1,0))</f>
        <v/>
      </c>
    </row>
    <row r="3678" customFormat="false" ht="15" hidden="false" customHeight="false" outlineLevel="0" collapsed="false">
      <c r="I3678" s="15" t="str">
        <f aca="false">IF(A3678="","",INT(A3678))</f>
        <v/>
      </c>
      <c r="J3678" s="16" t="str">
        <f aca="false">IF(B3678="","",IF(A3678=_xlfn.MINIFS($A$2:$A$5001,$B$2:$B$5001,B3678),1,0))</f>
        <v/>
      </c>
      <c r="K3678" s="16" t="str">
        <f aca="false">IF(B3678="","",IF(AND(D3678="Formalização",E3678="Concluído"),IF(COUNTIFS($B$2:$B$5001,B3678,$E$2:$E$5001,"Em ajustes",$A$2:$A$5001,"&lt;"&amp;I3678)&gt;0,1,0),0))</f>
        <v/>
      </c>
      <c r="L3678" s="16" t="str">
        <f aca="false">IF(B3678="","",IF(A3678=_xlfn.MAXIFS($A$2:$A$5001,$B$2:$B$5001,B3678,$I$2:$I$5001,I3678),1,0))</f>
        <v/>
      </c>
    </row>
    <row r="3679" customFormat="false" ht="15" hidden="false" customHeight="false" outlineLevel="0" collapsed="false">
      <c r="I3679" s="15" t="str">
        <f aca="false">IF(A3679="","",INT(A3679))</f>
        <v/>
      </c>
      <c r="J3679" s="16" t="str">
        <f aca="false">IF(B3679="","",IF(A3679=_xlfn.MINIFS($A$2:$A$5001,$B$2:$B$5001,B3679),1,0))</f>
        <v/>
      </c>
      <c r="K3679" s="16" t="str">
        <f aca="false">IF(B3679="","",IF(AND(D3679="Formalização",E3679="Concluído"),IF(COUNTIFS($B$2:$B$5001,B3679,$E$2:$E$5001,"Em ajustes",$A$2:$A$5001,"&lt;"&amp;I3679)&gt;0,1,0),0))</f>
        <v/>
      </c>
      <c r="L3679" s="16" t="str">
        <f aca="false">IF(B3679="","",IF(A3679=_xlfn.MAXIFS($A$2:$A$5001,$B$2:$B$5001,B3679,$I$2:$I$5001,I3679),1,0))</f>
        <v/>
      </c>
    </row>
    <row r="3680" customFormat="false" ht="15" hidden="false" customHeight="false" outlineLevel="0" collapsed="false">
      <c r="I3680" s="15" t="str">
        <f aca="false">IF(A3680="","",INT(A3680))</f>
        <v/>
      </c>
      <c r="J3680" s="16" t="str">
        <f aca="false">IF(B3680="","",IF(A3680=_xlfn.MINIFS($A$2:$A$5001,$B$2:$B$5001,B3680),1,0))</f>
        <v/>
      </c>
      <c r="K3680" s="16" t="str">
        <f aca="false">IF(B3680="","",IF(AND(D3680="Formalização",E3680="Concluído"),IF(COUNTIFS($B$2:$B$5001,B3680,$E$2:$E$5001,"Em ajustes",$A$2:$A$5001,"&lt;"&amp;I3680)&gt;0,1,0),0))</f>
        <v/>
      </c>
      <c r="L3680" s="16" t="str">
        <f aca="false">IF(B3680="","",IF(A3680=_xlfn.MAXIFS($A$2:$A$5001,$B$2:$B$5001,B3680,$I$2:$I$5001,I3680),1,0))</f>
        <v/>
      </c>
    </row>
    <row r="3681" customFormat="false" ht="15" hidden="false" customHeight="false" outlineLevel="0" collapsed="false">
      <c r="I3681" s="15" t="str">
        <f aca="false">IF(A3681="","",INT(A3681))</f>
        <v/>
      </c>
      <c r="J3681" s="16" t="str">
        <f aca="false">IF(B3681="","",IF(A3681=_xlfn.MINIFS($A$2:$A$5001,$B$2:$B$5001,B3681),1,0))</f>
        <v/>
      </c>
      <c r="K3681" s="16" t="str">
        <f aca="false">IF(B3681="","",IF(AND(D3681="Formalização",E3681="Concluído"),IF(COUNTIFS($B$2:$B$5001,B3681,$E$2:$E$5001,"Em ajustes",$A$2:$A$5001,"&lt;"&amp;I3681)&gt;0,1,0),0))</f>
        <v/>
      </c>
      <c r="L3681" s="16" t="str">
        <f aca="false">IF(B3681="","",IF(A3681=_xlfn.MAXIFS($A$2:$A$5001,$B$2:$B$5001,B3681,$I$2:$I$5001,I3681),1,0))</f>
        <v/>
      </c>
    </row>
    <row r="3682" customFormat="false" ht="15" hidden="false" customHeight="false" outlineLevel="0" collapsed="false">
      <c r="I3682" s="15" t="str">
        <f aca="false">IF(A3682="","",INT(A3682))</f>
        <v/>
      </c>
      <c r="J3682" s="16" t="str">
        <f aca="false">IF(B3682="","",IF(A3682=_xlfn.MINIFS($A$2:$A$5001,$B$2:$B$5001,B3682),1,0))</f>
        <v/>
      </c>
      <c r="K3682" s="16" t="str">
        <f aca="false">IF(B3682="","",IF(AND(D3682="Formalização",E3682="Concluído"),IF(COUNTIFS($B$2:$B$5001,B3682,$E$2:$E$5001,"Em ajustes",$A$2:$A$5001,"&lt;"&amp;I3682)&gt;0,1,0),0))</f>
        <v/>
      </c>
      <c r="L3682" s="16" t="str">
        <f aca="false">IF(B3682="","",IF(A3682=_xlfn.MAXIFS($A$2:$A$5001,$B$2:$B$5001,B3682,$I$2:$I$5001,I3682),1,0))</f>
        <v/>
      </c>
    </row>
    <row r="3683" customFormat="false" ht="15" hidden="false" customHeight="false" outlineLevel="0" collapsed="false">
      <c r="I3683" s="15" t="str">
        <f aca="false">IF(A3683="","",INT(A3683))</f>
        <v/>
      </c>
      <c r="J3683" s="16" t="str">
        <f aca="false">IF(B3683="","",IF(A3683=_xlfn.MINIFS($A$2:$A$5001,$B$2:$B$5001,B3683),1,0))</f>
        <v/>
      </c>
      <c r="K3683" s="16" t="str">
        <f aca="false">IF(B3683="","",IF(AND(D3683="Formalização",E3683="Concluído"),IF(COUNTIFS($B$2:$B$5001,B3683,$E$2:$E$5001,"Em ajustes",$A$2:$A$5001,"&lt;"&amp;I3683)&gt;0,1,0),0))</f>
        <v/>
      </c>
      <c r="L3683" s="16" t="str">
        <f aca="false">IF(B3683="","",IF(A3683=_xlfn.MAXIFS($A$2:$A$5001,$B$2:$B$5001,B3683,$I$2:$I$5001,I3683),1,0))</f>
        <v/>
      </c>
    </row>
    <row r="3684" customFormat="false" ht="15" hidden="false" customHeight="false" outlineLevel="0" collapsed="false">
      <c r="I3684" s="15" t="str">
        <f aca="false">IF(A3684="","",INT(A3684))</f>
        <v/>
      </c>
      <c r="J3684" s="16" t="str">
        <f aca="false">IF(B3684="","",IF(A3684=_xlfn.MINIFS($A$2:$A$5001,$B$2:$B$5001,B3684),1,0))</f>
        <v/>
      </c>
      <c r="K3684" s="16" t="str">
        <f aca="false">IF(B3684="","",IF(AND(D3684="Formalização",E3684="Concluído"),IF(COUNTIFS($B$2:$B$5001,B3684,$E$2:$E$5001,"Em ajustes",$A$2:$A$5001,"&lt;"&amp;I3684)&gt;0,1,0),0))</f>
        <v/>
      </c>
      <c r="L3684" s="16" t="str">
        <f aca="false">IF(B3684="","",IF(A3684=_xlfn.MAXIFS($A$2:$A$5001,$B$2:$B$5001,B3684,$I$2:$I$5001,I3684),1,0))</f>
        <v/>
      </c>
    </row>
    <row r="3685" customFormat="false" ht="15" hidden="false" customHeight="false" outlineLevel="0" collapsed="false">
      <c r="I3685" s="15" t="str">
        <f aca="false">IF(A3685="","",INT(A3685))</f>
        <v/>
      </c>
      <c r="J3685" s="16" t="str">
        <f aca="false">IF(B3685="","",IF(A3685=_xlfn.MINIFS($A$2:$A$5001,$B$2:$B$5001,B3685),1,0))</f>
        <v/>
      </c>
      <c r="K3685" s="16" t="str">
        <f aca="false">IF(B3685="","",IF(AND(D3685="Formalização",E3685="Concluído"),IF(COUNTIFS($B$2:$B$5001,B3685,$E$2:$E$5001,"Em ajustes",$A$2:$A$5001,"&lt;"&amp;I3685)&gt;0,1,0),0))</f>
        <v/>
      </c>
      <c r="L3685" s="16" t="str">
        <f aca="false">IF(B3685="","",IF(A3685=_xlfn.MAXIFS($A$2:$A$5001,$B$2:$B$5001,B3685,$I$2:$I$5001,I3685),1,0))</f>
        <v/>
      </c>
    </row>
    <row r="3686" customFormat="false" ht="15" hidden="false" customHeight="false" outlineLevel="0" collapsed="false">
      <c r="I3686" s="15" t="str">
        <f aca="false">IF(A3686="","",INT(A3686))</f>
        <v/>
      </c>
      <c r="J3686" s="16" t="str">
        <f aca="false">IF(B3686="","",IF(A3686=_xlfn.MINIFS($A$2:$A$5001,$B$2:$B$5001,B3686),1,0))</f>
        <v/>
      </c>
      <c r="K3686" s="16" t="str">
        <f aca="false">IF(B3686="","",IF(AND(D3686="Formalização",E3686="Concluído"),IF(COUNTIFS($B$2:$B$5001,B3686,$E$2:$E$5001,"Em ajustes",$A$2:$A$5001,"&lt;"&amp;I3686)&gt;0,1,0),0))</f>
        <v/>
      </c>
      <c r="L3686" s="16" t="str">
        <f aca="false">IF(B3686="","",IF(A3686=_xlfn.MAXIFS($A$2:$A$5001,$B$2:$B$5001,B3686,$I$2:$I$5001,I3686),1,0))</f>
        <v/>
      </c>
    </row>
    <row r="3687" customFormat="false" ht="15" hidden="false" customHeight="false" outlineLevel="0" collapsed="false">
      <c r="I3687" s="15" t="str">
        <f aca="false">IF(A3687="","",INT(A3687))</f>
        <v/>
      </c>
      <c r="J3687" s="16" t="str">
        <f aca="false">IF(B3687="","",IF(A3687=_xlfn.MINIFS($A$2:$A$5001,$B$2:$B$5001,B3687),1,0))</f>
        <v/>
      </c>
      <c r="K3687" s="16" t="str">
        <f aca="false">IF(B3687="","",IF(AND(D3687="Formalização",E3687="Concluído"),IF(COUNTIFS($B$2:$B$5001,B3687,$E$2:$E$5001,"Em ajustes",$A$2:$A$5001,"&lt;"&amp;I3687)&gt;0,1,0),0))</f>
        <v/>
      </c>
      <c r="L3687" s="16" t="str">
        <f aca="false">IF(B3687="","",IF(A3687=_xlfn.MAXIFS($A$2:$A$5001,$B$2:$B$5001,B3687,$I$2:$I$5001,I3687),1,0))</f>
        <v/>
      </c>
    </row>
    <row r="3688" customFormat="false" ht="15" hidden="false" customHeight="false" outlineLevel="0" collapsed="false">
      <c r="I3688" s="15" t="str">
        <f aca="false">IF(A3688="","",INT(A3688))</f>
        <v/>
      </c>
      <c r="J3688" s="16" t="str">
        <f aca="false">IF(B3688="","",IF(A3688=_xlfn.MINIFS($A$2:$A$5001,$B$2:$B$5001,B3688),1,0))</f>
        <v/>
      </c>
      <c r="K3688" s="16" t="str">
        <f aca="false">IF(B3688="","",IF(AND(D3688="Formalização",E3688="Concluído"),IF(COUNTIFS($B$2:$B$5001,B3688,$E$2:$E$5001,"Em ajustes",$A$2:$A$5001,"&lt;"&amp;I3688)&gt;0,1,0),0))</f>
        <v/>
      </c>
      <c r="L3688" s="16" t="str">
        <f aca="false">IF(B3688="","",IF(A3688=_xlfn.MAXIFS($A$2:$A$5001,$B$2:$B$5001,B3688,$I$2:$I$5001,I3688),1,0))</f>
        <v/>
      </c>
    </row>
    <row r="3689" customFormat="false" ht="15" hidden="false" customHeight="false" outlineLevel="0" collapsed="false">
      <c r="I3689" s="15" t="str">
        <f aca="false">IF(A3689="","",INT(A3689))</f>
        <v/>
      </c>
      <c r="J3689" s="16" t="str">
        <f aca="false">IF(B3689="","",IF(A3689=_xlfn.MINIFS($A$2:$A$5001,$B$2:$B$5001,B3689),1,0))</f>
        <v/>
      </c>
      <c r="K3689" s="16" t="str">
        <f aca="false">IF(B3689="","",IF(AND(D3689="Formalização",E3689="Concluído"),IF(COUNTIFS($B$2:$B$5001,B3689,$E$2:$E$5001,"Em ajustes",$A$2:$A$5001,"&lt;"&amp;I3689)&gt;0,1,0),0))</f>
        <v/>
      </c>
      <c r="L3689" s="16" t="str">
        <f aca="false">IF(B3689="","",IF(A3689=_xlfn.MAXIFS($A$2:$A$5001,$B$2:$B$5001,B3689,$I$2:$I$5001,I3689),1,0))</f>
        <v/>
      </c>
    </row>
    <row r="3690" customFormat="false" ht="15" hidden="false" customHeight="false" outlineLevel="0" collapsed="false">
      <c r="I3690" s="15" t="str">
        <f aca="false">IF(A3690="","",INT(A3690))</f>
        <v/>
      </c>
      <c r="J3690" s="16" t="str">
        <f aca="false">IF(B3690="","",IF(A3690=_xlfn.MINIFS($A$2:$A$5001,$B$2:$B$5001,B3690),1,0))</f>
        <v/>
      </c>
      <c r="K3690" s="16" t="str">
        <f aca="false">IF(B3690="","",IF(AND(D3690="Formalização",E3690="Concluído"),IF(COUNTIFS($B$2:$B$5001,B3690,$E$2:$E$5001,"Em ajustes",$A$2:$A$5001,"&lt;"&amp;I3690)&gt;0,1,0),0))</f>
        <v/>
      </c>
      <c r="L3690" s="16" t="str">
        <f aca="false">IF(B3690="","",IF(A3690=_xlfn.MAXIFS($A$2:$A$5001,$B$2:$B$5001,B3690,$I$2:$I$5001,I3690),1,0))</f>
        <v/>
      </c>
    </row>
    <row r="3691" customFormat="false" ht="15" hidden="false" customHeight="false" outlineLevel="0" collapsed="false">
      <c r="I3691" s="15" t="str">
        <f aca="false">IF(A3691="","",INT(A3691))</f>
        <v/>
      </c>
      <c r="J3691" s="16" t="str">
        <f aca="false">IF(B3691="","",IF(A3691=_xlfn.MINIFS($A$2:$A$5001,$B$2:$B$5001,B3691),1,0))</f>
        <v/>
      </c>
      <c r="K3691" s="16" t="str">
        <f aca="false">IF(B3691="","",IF(AND(D3691="Formalização",E3691="Concluído"),IF(COUNTIFS($B$2:$B$5001,B3691,$E$2:$E$5001,"Em ajustes",$A$2:$A$5001,"&lt;"&amp;I3691)&gt;0,1,0),0))</f>
        <v/>
      </c>
      <c r="L3691" s="16" t="str">
        <f aca="false">IF(B3691="","",IF(A3691=_xlfn.MAXIFS($A$2:$A$5001,$B$2:$B$5001,B3691,$I$2:$I$5001,I3691),1,0))</f>
        <v/>
      </c>
    </row>
    <row r="3692" customFormat="false" ht="15" hidden="false" customHeight="false" outlineLevel="0" collapsed="false">
      <c r="I3692" s="15" t="str">
        <f aca="false">IF(A3692="","",INT(A3692))</f>
        <v/>
      </c>
      <c r="J3692" s="16" t="str">
        <f aca="false">IF(B3692="","",IF(A3692=_xlfn.MINIFS($A$2:$A$5001,$B$2:$B$5001,B3692),1,0))</f>
        <v/>
      </c>
      <c r="K3692" s="16" t="str">
        <f aca="false">IF(B3692="","",IF(AND(D3692="Formalização",E3692="Concluído"),IF(COUNTIFS($B$2:$B$5001,B3692,$E$2:$E$5001,"Em ajustes",$A$2:$A$5001,"&lt;"&amp;I3692)&gt;0,1,0),0))</f>
        <v/>
      </c>
      <c r="L3692" s="16" t="str">
        <f aca="false">IF(B3692="","",IF(A3692=_xlfn.MAXIFS($A$2:$A$5001,$B$2:$B$5001,B3692,$I$2:$I$5001,I3692),1,0))</f>
        <v/>
      </c>
    </row>
    <row r="3693" customFormat="false" ht="15" hidden="false" customHeight="false" outlineLevel="0" collapsed="false">
      <c r="I3693" s="15" t="str">
        <f aca="false">IF(A3693="","",INT(A3693))</f>
        <v/>
      </c>
      <c r="J3693" s="16" t="str">
        <f aca="false">IF(B3693="","",IF(A3693=_xlfn.MINIFS($A$2:$A$5001,$B$2:$B$5001,B3693),1,0))</f>
        <v/>
      </c>
      <c r="K3693" s="16" t="str">
        <f aca="false">IF(B3693="","",IF(AND(D3693="Formalização",E3693="Concluído"),IF(COUNTIFS($B$2:$B$5001,B3693,$E$2:$E$5001,"Em ajustes",$A$2:$A$5001,"&lt;"&amp;I3693)&gt;0,1,0),0))</f>
        <v/>
      </c>
      <c r="L3693" s="16" t="str">
        <f aca="false">IF(B3693="","",IF(A3693=_xlfn.MAXIFS($A$2:$A$5001,$B$2:$B$5001,B3693,$I$2:$I$5001,I3693),1,0))</f>
        <v/>
      </c>
    </row>
    <row r="3694" customFormat="false" ht="15" hidden="false" customHeight="false" outlineLevel="0" collapsed="false">
      <c r="I3694" s="15" t="str">
        <f aca="false">IF(A3694="","",INT(A3694))</f>
        <v/>
      </c>
      <c r="J3694" s="16" t="str">
        <f aca="false">IF(B3694="","",IF(A3694=_xlfn.MINIFS($A$2:$A$5001,$B$2:$B$5001,B3694),1,0))</f>
        <v/>
      </c>
      <c r="K3694" s="16" t="str">
        <f aca="false">IF(B3694="","",IF(AND(D3694="Formalização",E3694="Concluído"),IF(COUNTIFS($B$2:$B$5001,B3694,$E$2:$E$5001,"Em ajustes",$A$2:$A$5001,"&lt;"&amp;I3694)&gt;0,1,0),0))</f>
        <v/>
      </c>
      <c r="L3694" s="16" t="str">
        <f aca="false">IF(B3694="","",IF(A3694=_xlfn.MAXIFS($A$2:$A$5001,$B$2:$B$5001,B3694,$I$2:$I$5001,I3694),1,0))</f>
        <v/>
      </c>
    </row>
    <row r="3695" customFormat="false" ht="15" hidden="false" customHeight="false" outlineLevel="0" collapsed="false">
      <c r="I3695" s="15" t="str">
        <f aca="false">IF(A3695="","",INT(A3695))</f>
        <v/>
      </c>
      <c r="J3695" s="16" t="str">
        <f aca="false">IF(B3695="","",IF(A3695=_xlfn.MINIFS($A$2:$A$5001,$B$2:$B$5001,B3695),1,0))</f>
        <v/>
      </c>
      <c r="K3695" s="16" t="str">
        <f aca="false">IF(B3695="","",IF(AND(D3695="Formalização",E3695="Concluído"),IF(COUNTIFS($B$2:$B$5001,B3695,$E$2:$E$5001,"Em ajustes",$A$2:$A$5001,"&lt;"&amp;I3695)&gt;0,1,0),0))</f>
        <v/>
      </c>
      <c r="L3695" s="16" t="str">
        <f aca="false">IF(B3695="","",IF(A3695=_xlfn.MAXIFS($A$2:$A$5001,$B$2:$B$5001,B3695,$I$2:$I$5001,I3695),1,0))</f>
        <v/>
      </c>
    </row>
    <row r="3696" customFormat="false" ht="15" hidden="false" customHeight="false" outlineLevel="0" collapsed="false">
      <c r="I3696" s="15" t="str">
        <f aca="false">IF(A3696="","",INT(A3696))</f>
        <v/>
      </c>
      <c r="J3696" s="16" t="str">
        <f aca="false">IF(B3696="","",IF(A3696=_xlfn.MINIFS($A$2:$A$5001,$B$2:$B$5001,B3696),1,0))</f>
        <v/>
      </c>
      <c r="K3696" s="16" t="str">
        <f aca="false">IF(B3696="","",IF(AND(D3696="Formalização",E3696="Concluído"),IF(COUNTIFS($B$2:$B$5001,B3696,$E$2:$E$5001,"Em ajustes",$A$2:$A$5001,"&lt;"&amp;I3696)&gt;0,1,0),0))</f>
        <v/>
      </c>
      <c r="L3696" s="16" t="str">
        <f aca="false">IF(B3696="","",IF(A3696=_xlfn.MAXIFS($A$2:$A$5001,$B$2:$B$5001,B3696,$I$2:$I$5001,I3696),1,0))</f>
        <v/>
      </c>
    </row>
    <row r="3697" customFormat="false" ht="15" hidden="false" customHeight="false" outlineLevel="0" collapsed="false">
      <c r="I3697" s="15" t="str">
        <f aca="false">IF(A3697="","",INT(A3697))</f>
        <v/>
      </c>
      <c r="J3697" s="16" t="str">
        <f aca="false">IF(B3697="","",IF(A3697=_xlfn.MINIFS($A$2:$A$5001,$B$2:$B$5001,B3697),1,0))</f>
        <v/>
      </c>
      <c r="K3697" s="16" t="str">
        <f aca="false">IF(B3697="","",IF(AND(D3697="Formalização",E3697="Concluído"),IF(COUNTIFS($B$2:$B$5001,B3697,$E$2:$E$5001,"Em ajustes",$A$2:$A$5001,"&lt;"&amp;I3697)&gt;0,1,0),0))</f>
        <v/>
      </c>
      <c r="L3697" s="16" t="str">
        <f aca="false">IF(B3697="","",IF(A3697=_xlfn.MAXIFS($A$2:$A$5001,$B$2:$B$5001,B3697,$I$2:$I$5001,I3697),1,0))</f>
        <v/>
      </c>
    </row>
    <row r="3698" customFormat="false" ht="15" hidden="false" customHeight="false" outlineLevel="0" collapsed="false">
      <c r="I3698" s="15" t="str">
        <f aca="false">IF(A3698="","",INT(A3698))</f>
        <v/>
      </c>
      <c r="J3698" s="16" t="str">
        <f aca="false">IF(B3698="","",IF(A3698=_xlfn.MINIFS($A$2:$A$5001,$B$2:$B$5001,B3698),1,0))</f>
        <v/>
      </c>
      <c r="K3698" s="16" t="str">
        <f aca="false">IF(B3698="","",IF(AND(D3698="Formalização",E3698="Concluído"),IF(COUNTIFS($B$2:$B$5001,B3698,$E$2:$E$5001,"Em ajustes",$A$2:$A$5001,"&lt;"&amp;I3698)&gt;0,1,0),0))</f>
        <v/>
      </c>
      <c r="L3698" s="16" t="str">
        <f aca="false">IF(B3698="","",IF(A3698=_xlfn.MAXIFS($A$2:$A$5001,$B$2:$B$5001,B3698,$I$2:$I$5001,I3698),1,0))</f>
        <v/>
      </c>
    </row>
    <row r="3699" customFormat="false" ht="15" hidden="false" customHeight="false" outlineLevel="0" collapsed="false">
      <c r="I3699" s="15" t="str">
        <f aca="false">IF(A3699="","",INT(A3699))</f>
        <v/>
      </c>
      <c r="J3699" s="16" t="str">
        <f aca="false">IF(B3699="","",IF(A3699=_xlfn.MINIFS($A$2:$A$5001,$B$2:$B$5001,B3699),1,0))</f>
        <v/>
      </c>
      <c r="K3699" s="16" t="str">
        <f aca="false">IF(B3699="","",IF(AND(D3699="Formalização",E3699="Concluído"),IF(COUNTIFS($B$2:$B$5001,B3699,$E$2:$E$5001,"Em ajustes",$A$2:$A$5001,"&lt;"&amp;I3699)&gt;0,1,0),0))</f>
        <v/>
      </c>
      <c r="L3699" s="16" t="str">
        <f aca="false">IF(B3699="","",IF(A3699=_xlfn.MAXIFS($A$2:$A$5001,$B$2:$B$5001,B3699,$I$2:$I$5001,I3699),1,0))</f>
        <v/>
      </c>
    </row>
    <row r="3700" customFormat="false" ht="15" hidden="false" customHeight="false" outlineLevel="0" collapsed="false">
      <c r="I3700" s="15" t="str">
        <f aca="false">IF(A3700="","",INT(A3700))</f>
        <v/>
      </c>
      <c r="J3700" s="16" t="str">
        <f aca="false">IF(B3700="","",IF(A3700=_xlfn.MINIFS($A$2:$A$5001,$B$2:$B$5001,B3700),1,0))</f>
        <v/>
      </c>
      <c r="K3700" s="16" t="str">
        <f aca="false">IF(B3700="","",IF(AND(D3700="Formalização",E3700="Concluído"),IF(COUNTIFS($B$2:$B$5001,B3700,$E$2:$E$5001,"Em ajustes",$A$2:$A$5001,"&lt;"&amp;I3700)&gt;0,1,0),0))</f>
        <v/>
      </c>
      <c r="L3700" s="16" t="str">
        <f aca="false">IF(B3700="","",IF(A3700=_xlfn.MAXIFS($A$2:$A$5001,$B$2:$B$5001,B3700,$I$2:$I$5001,I3700),1,0))</f>
        <v/>
      </c>
    </row>
    <row r="3701" customFormat="false" ht="15" hidden="false" customHeight="false" outlineLevel="0" collapsed="false">
      <c r="I3701" s="15" t="str">
        <f aca="false">IF(A3701="","",INT(A3701))</f>
        <v/>
      </c>
      <c r="J3701" s="16" t="str">
        <f aca="false">IF(B3701="","",IF(A3701=_xlfn.MINIFS($A$2:$A$5001,$B$2:$B$5001,B3701),1,0))</f>
        <v/>
      </c>
      <c r="K3701" s="16" t="str">
        <f aca="false">IF(B3701="","",IF(AND(D3701="Formalização",E3701="Concluído"),IF(COUNTIFS($B$2:$B$5001,B3701,$E$2:$E$5001,"Em ajustes",$A$2:$A$5001,"&lt;"&amp;I3701)&gt;0,1,0),0))</f>
        <v/>
      </c>
      <c r="L3701" s="16" t="str">
        <f aca="false">IF(B3701="","",IF(A3701=_xlfn.MAXIFS($A$2:$A$5001,$B$2:$B$5001,B3701,$I$2:$I$5001,I3701),1,0))</f>
        <v/>
      </c>
    </row>
    <row r="3702" customFormat="false" ht="15" hidden="false" customHeight="false" outlineLevel="0" collapsed="false">
      <c r="I3702" s="15" t="str">
        <f aca="false">IF(A3702="","",INT(A3702))</f>
        <v/>
      </c>
      <c r="J3702" s="16" t="str">
        <f aca="false">IF(B3702="","",IF(A3702=_xlfn.MINIFS($A$2:$A$5001,$B$2:$B$5001,B3702),1,0))</f>
        <v/>
      </c>
      <c r="K3702" s="16" t="str">
        <f aca="false">IF(B3702="","",IF(AND(D3702="Formalização",E3702="Concluído"),IF(COUNTIFS($B$2:$B$5001,B3702,$E$2:$E$5001,"Em ajustes",$A$2:$A$5001,"&lt;"&amp;I3702)&gt;0,1,0),0))</f>
        <v/>
      </c>
      <c r="L3702" s="16" t="str">
        <f aca="false">IF(B3702="","",IF(A3702=_xlfn.MAXIFS($A$2:$A$5001,$B$2:$B$5001,B3702,$I$2:$I$5001,I3702),1,0))</f>
        <v/>
      </c>
    </row>
    <row r="3703" customFormat="false" ht="15" hidden="false" customHeight="false" outlineLevel="0" collapsed="false">
      <c r="I3703" s="15" t="str">
        <f aca="false">IF(A3703="","",INT(A3703))</f>
        <v/>
      </c>
      <c r="J3703" s="16" t="str">
        <f aca="false">IF(B3703="","",IF(A3703=_xlfn.MINIFS($A$2:$A$5001,$B$2:$B$5001,B3703),1,0))</f>
        <v/>
      </c>
      <c r="K3703" s="16" t="str">
        <f aca="false">IF(B3703="","",IF(AND(D3703="Formalização",E3703="Concluído"),IF(COUNTIFS($B$2:$B$5001,B3703,$E$2:$E$5001,"Em ajustes",$A$2:$A$5001,"&lt;"&amp;I3703)&gt;0,1,0),0))</f>
        <v/>
      </c>
      <c r="L3703" s="16" t="str">
        <f aca="false">IF(B3703="","",IF(A3703=_xlfn.MAXIFS($A$2:$A$5001,$B$2:$B$5001,B3703,$I$2:$I$5001,I3703),1,0))</f>
        <v/>
      </c>
    </row>
    <row r="3704" customFormat="false" ht="15" hidden="false" customHeight="false" outlineLevel="0" collapsed="false">
      <c r="I3704" s="15" t="str">
        <f aca="false">IF(A3704="","",INT(A3704))</f>
        <v/>
      </c>
      <c r="J3704" s="16" t="str">
        <f aca="false">IF(B3704="","",IF(A3704=_xlfn.MINIFS($A$2:$A$5001,$B$2:$B$5001,B3704),1,0))</f>
        <v/>
      </c>
      <c r="K3704" s="16" t="str">
        <f aca="false">IF(B3704="","",IF(AND(D3704="Formalização",E3704="Concluído"),IF(COUNTIFS($B$2:$B$5001,B3704,$E$2:$E$5001,"Em ajustes",$A$2:$A$5001,"&lt;"&amp;I3704)&gt;0,1,0),0))</f>
        <v/>
      </c>
      <c r="L3704" s="16" t="str">
        <f aca="false">IF(B3704="","",IF(A3704=_xlfn.MAXIFS($A$2:$A$5001,$B$2:$B$5001,B3704,$I$2:$I$5001,I3704),1,0))</f>
        <v/>
      </c>
    </row>
    <row r="3705" customFormat="false" ht="15" hidden="false" customHeight="false" outlineLevel="0" collapsed="false">
      <c r="I3705" s="15" t="str">
        <f aca="false">IF(A3705="","",INT(A3705))</f>
        <v/>
      </c>
      <c r="J3705" s="16" t="str">
        <f aca="false">IF(B3705="","",IF(A3705=_xlfn.MINIFS($A$2:$A$5001,$B$2:$B$5001,B3705),1,0))</f>
        <v/>
      </c>
      <c r="K3705" s="16" t="str">
        <f aca="false">IF(B3705="","",IF(AND(D3705="Formalização",E3705="Concluído"),IF(COUNTIFS($B$2:$B$5001,B3705,$E$2:$E$5001,"Em ajustes",$A$2:$A$5001,"&lt;"&amp;I3705)&gt;0,1,0),0))</f>
        <v/>
      </c>
      <c r="L3705" s="16" t="str">
        <f aca="false">IF(B3705="","",IF(A3705=_xlfn.MAXIFS($A$2:$A$5001,$B$2:$B$5001,B3705,$I$2:$I$5001,I3705),1,0))</f>
        <v/>
      </c>
    </row>
    <row r="3706" customFormat="false" ht="15" hidden="false" customHeight="false" outlineLevel="0" collapsed="false">
      <c r="I3706" s="15" t="str">
        <f aca="false">IF(A3706="","",INT(A3706))</f>
        <v/>
      </c>
      <c r="J3706" s="16" t="str">
        <f aca="false">IF(B3706="","",IF(A3706=_xlfn.MINIFS($A$2:$A$5001,$B$2:$B$5001,B3706),1,0))</f>
        <v/>
      </c>
      <c r="K3706" s="16" t="str">
        <f aca="false">IF(B3706="","",IF(AND(D3706="Formalização",E3706="Concluído"),IF(COUNTIFS($B$2:$B$5001,B3706,$E$2:$E$5001,"Em ajustes",$A$2:$A$5001,"&lt;"&amp;I3706)&gt;0,1,0),0))</f>
        <v/>
      </c>
      <c r="L3706" s="16" t="str">
        <f aca="false">IF(B3706="","",IF(A3706=_xlfn.MAXIFS($A$2:$A$5001,$B$2:$B$5001,B3706,$I$2:$I$5001,I3706),1,0))</f>
        <v/>
      </c>
    </row>
    <row r="3707" customFormat="false" ht="15" hidden="false" customHeight="false" outlineLevel="0" collapsed="false">
      <c r="I3707" s="15" t="str">
        <f aca="false">IF(A3707="","",INT(A3707))</f>
        <v/>
      </c>
      <c r="J3707" s="16" t="str">
        <f aca="false">IF(B3707="","",IF(A3707=_xlfn.MINIFS($A$2:$A$5001,$B$2:$B$5001,B3707),1,0))</f>
        <v/>
      </c>
      <c r="K3707" s="16" t="str">
        <f aca="false">IF(B3707="","",IF(AND(D3707="Formalização",E3707="Concluído"),IF(COUNTIFS($B$2:$B$5001,B3707,$E$2:$E$5001,"Em ajustes",$A$2:$A$5001,"&lt;"&amp;I3707)&gt;0,1,0),0))</f>
        <v/>
      </c>
      <c r="L3707" s="16" t="str">
        <f aca="false">IF(B3707="","",IF(A3707=_xlfn.MAXIFS($A$2:$A$5001,$B$2:$B$5001,B3707,$I$2:$I$5001,I3707),1,0))</f>
        <v/>
      </c>
    </row>
    <row r="3708" customFormat="false" ht="15" hidden="false" customHeight="false" outlineLevel="0" collapsed="false">
      <c r="I3708" s="15" t="str">
        <f aca="false">IF(A3708="","",INT(A3708))</f>
        <v/>
      </c>
      <c r="J3708" s="16" t="str">
        <f aca="false">IF(B3708="","",IF(A3708=_xlfn.MINIFS($A$2:$A$5001,$B$2:$B$5001,B3708),1,0))</f>
        <v/>
      </c>
      <c r="K3708" s="16" t="str">
        <f aca="false">IF(B3708="","",IF(AND(D3708="Formalização",E3708="Concluído"),IF(COUNTIFS($B$2:$B$5001,B3708,$E$2:$E$5001,"Em ajustes",$A$2:$A$5001,"&lt;"&amp;I3708)&gt;0,1,0),0))</f>
        <v/>
      </c>
      <c r="L3708" s="16" t="str">
        <f aca="false">IF(B3708="","",IF(A3708=_xlfn.MAXIFS($A$2:$A$5001,$B$2:$B$5001,B3708,$I$2:$I$5001,I3708),1,0))</f>
        <v/>
      </c>
    </row>
    <row r="3709" customFormat="false" ht="15" hidden="false" customHeight="false" outlineLevel="0" collapsed="false">
      <c r="I3709" s="15" t="str">
        <f aca="false">IF(A3709="","",INT(A3709))</f>
        <v/>
      </c>
      <c r="J3709" s="16" t="str">
        <f aca="false">IF(B3709="","",IF(A3709=_xlfn.MINIFS($A$2:$A$5001,$B$2:$B$5001,B3709),1,0))</f>
        <v/>
      </c>
      <c r="K3709" s="16" t="str">
        <f aca="false">IF(B3709="","",IF(AND(D3709="Formalização",E3709="Concluído"),IF(COUNTIFS($B$2:$B$5001,B3709,$E$2:$E$5001,"Em ajustes",$A$2:$A$5001,"&lt;"&amp;I3709)&gt;0,1,0),0))</f>
        <v/>
      </c>
      <c r="L3709" s="16" t="str">
        <f aca="false">IF(B3709="","",IF(A3709=_xlfn.MAXIFS($A$2:$A$5001,$B$2:$B$5001,B3709,$I$2:$I$5001,I3709),1,0))</f>
        <v/>
      </c>
    </row>
    <row r="3710" customFormat="false" ht="15" hidden="false" customHeight="false" outlineLevel="0" collapsed="false">
      <c r="I3710" s="15" t="str">
        <f aca="false">IF(A3710="","",INT(A3710))</f>
        <v/>
      </c>
      <c r="J3710" s="16" t="str">
        <f aca="false">IF(B3710="","",IF(A3710=_xlfn.MINIFS($A$2:$A$5001,$B$2:$B$5001,B3710),1,0))</f>
        <v/>
      </c>
      <c r="K3710" s="16" t="str">
        <f aca="false">IF(B3710="","",IF(AND(D3710="Formalização",E3710="Concluído"),IF(COUNTIFS($B$2:$B$5001,B3710,$E$2:$E$5001,"Em ajustes",$A$2:$A$5001,"&lt;"&amp;I3710)&gt;0,1,0),0))</f>
        <v/>
      </c>
      <c r="L3710" s="16" t="str">
        <f aca="false">IF(B3710="","",IF(A3710=_xlfn.MAXIFS($A$2:$A$5001,$B$2:$B$5001,B3710,$I$2:$I$5001,I3710),1,0))</f>
        <v/>
      </c>
    </row>
    <row r="3711" customFormat="false" ht="15" hidden="false" customHeight="false" outlineLevel="0" collapsed="false">
      <c r="I3711" s="15" t="str">
        <f aca="false">IF(A3711="","",INT(A3711))</f>
        <v/>
      </c>
      <c r="J3711" s="16" t="str">
        <f aca="false">IF(B3711="","",IF(A3711=_xlfn.MINIFS($A$2:$A$5001,$B$2:$B$5001,B3711),1,0))</f>
        <v/>
      </c>
      <c r="K3711" s="16" t="str">
        <f aca="false">IF(B3711="","",IF(AND(D3711="Formalização",E3711="Concluído"),IF(COUNTIFS($B$2:$B$5001,B3711,$E$2:$E$5001,"Em ajustes",$A$2:$A$5001,"&lt;"&amp;I3711)&gt;0,1,0),0))</f>
        <v/>
      </c>
      <c r="L3711" s="16" t="str">
        <f aca="false">IF(B3711="","",IF(A3711=_xlfn.MAXIFS($A$2:$A$5001,$B$2:$B$5001,B3711,$I$2:$I$5001,I3711),1,0))</f>
        <v/>
      </c>
    </row>
    <row r="3712" customFormat="false" ht="15" hidden="false" customHeight="false" outlineLevel="0" collapsed="false">
      <c r="I3712" s="15" t="str">
        <f aca="false">IF(A3712="","",INT(A3712))</f>
        <v/>
      </c>
      <c r="J3712" s="16" t="str">
        <f aca="false">IF(B3712="","",IF(A3712=_xlfn.MINIFS($A$2:$A$5001,$B$2:$B$5001,B3712),1,0))</f>
        <v/>
      </c>
      <c r="K3712" s="16" t="str">
        <f aca="false">IF(B3712="","",IF(AND(D3712="Formalização",E3712="Concluído"),IF(COUNTIFS($B$2:$B$5001,B3712,$E$2:$E$5001,"Em ajustes",$A$2:$A$5001,"&lt;"&amp;I3712)&gt;0,1,0),0))</f>
        <v/>
      </c>
      <c r="L3712" s="16" t="str">
        <f aca="false">IF(B3712="","",IF(A3712=_xlfn.MAXIFS($A$2:$A$5001,$B$2:$B$5001,B3712,$I$2:$I$5001,I3712),1,0))</f>
        <v/>
      </c>
    </row>
    <row r="3713" customFormat="false" ht="15" hidden="false" customHeight="false" outlineLevel="0" collapsed="false">
      <c r="I3713" s="15" t="str">
        <f aca="false">IF(A3713="","",INT(A3713))</f>
        <v/>
      </c>
      <c r="J3713" s="16" t="str">
        <f aca="false">IF(B3713="","",IF(A3713=_xlfn.MINIFS($A$2:$A$5001,$B$2:$B$5001,B3713),1,0))</f>
        <v/>
      </c>
      <c r="K3713" s="16" t="str">
        <f aca="false">IF(B3713="","",IF(AND(D3713="Formalização",E3713="Concluído"),IF(COUNTIFS($B$2:$B$5001,B3713,$E$2:$E$5001,"Em ajustes",$A$2:$A$5001,"&lt;"&amp;I3713)&gt;0,1,0),0))</f>
        <v/>
      </c>
      <c r="L3713" s="16" t="str">
        <f aca="false">IF(B3713="","",IF(A3713=_xlfn.MAXIFS($A$2:$A$5001,$B$2:$B$5001,B3713,$I$2:$I$5001,I3713),1,0))</f>
        <v/>
      </c>
    </row>
    <row r="3714" customFormat="false" ht="15" hidden="false" customHeight="false" outlineLevel="0" collapsed="false">
      <c r="I3714" s="15" t="str">
        <f aca="false">IF(A3714="","",INT(A3714))</f>
        <v/>
      </c>
      <c r="J3714" s="16" t="str">
        <f aca="false">IF(B3714="","",IF(A3714=_xlfn.MINIFS($A$2:$A$5001,$B$2:$B$5001,B3714),1,0))</f>
        <v/>
      </c>
      <c r="K3714" s="16" t="str">
        <f aca="false">IF(B3714="","",IF(AND(D3714="Formalização",E3714="Concluído"),IF(COUNTIFS($B$2:$B$5001,B3714,$E$2:$E$5001,"Em ajustes",$A$2:$A$5001,"&lt;"&amp;I3714)&gt;0,1,0),0))</f>
        <v/>
      </c>
      <c r="L3714" s="16" t="str">
        <f aca="false">IF(B3714="","",IF(A3714=_xlfn.MAXIFS($A$2:$A$5001,$B$2:$B$5001,B3714,$I$2:$I$5001,I3714),1,0))</f>
        <v/>
      </c>
    </row>
    <row r="3715" customFormat="false" ht="15" hidden="false" customHeight="false" outlineLevel="0" collapsed="false">
      <c r="I3715" s="15" t="str">
        <f aca="false">IF(A3715="","",INT(A3715))</f>
        <v/>
      </c>
      <c r="J3715" s="16" t="str">
        <f aca="false">IF(B3715="","",IF(A3715=_xlfn.MINIFS($A$2:$A$5001,$B$2:$B$5001,B3715),1,0))</f>
        <v/>
      </c>
      <c r="K3715" s="16" t="str">
        <f aca="false">IF(B3715="","",IF(AND(D3715="Formalização",E3715="Concluído"),IF(COUNTIFS($B$2:$B$5001,B3715,$E$2:$E$5001,"Em ajustes",$A$2:$A$5001,"&lt;"&amp;I3715)&gt;0,1,0),0))</f>
        <v/>
      </c>
      <c r="L3715" s="16" t="str">
        <f aca="false">IF(B3715="","",IF(A3715=_xlfn.MAXIFS($A$2:$A$5001,$B$2:$B$5001,B3715,$I$2:$I$5001,I3715),1,0))</f>
        <v/>
      </c>
    </row>
    <row r="3716" customFormat="false" ht="15" hidden="false" customHeight="false" outlineLevel="0" collapsed="false">
      <c r="I3716" s="15" t="str">
        <f aca="false">IF(A3716="","",INT(A3716))</f>
        <v/>
      </c>
      <c r="J3716" s="16" t="str">
        <f aca="false">IF(B3716="","",IF(A3716=_xlfn.MINIFS($A$2:$A$5001,$B$2:$B$5001,B3716),1,0))</f>
        <v/>
      </c>
      <c r="K3716" s="16" t="str">
        <f aca="false">IF(B3716="","",IF(AND(D3716="Formalização",E3716="Concluído"),IF(COUNTIFS($B$2:$B$5001,B3716,$E$2:$E$5001,"Em ajustes",$A$2:$A$5001,"&lt;"&amp;I3716)&gt;0,1,0),0))</f>
        <v/>
      </c>
      <c r="L3716" s="16" t="str">
        <f aca="false">IF(B3716="","",IF(A3716=_xlfn.MAXIFS($A$2:$A$5001,$B$2:$B$5001,B3716,$I$2:$I$5001,I3716),1,0))</f>
        <v/>
      </c>
    </row>
    <row r="3717" customFormat="false" ht="15" hidden="false" customHeight="false" outlineLevel="0" collapsed="false">
      <c r="I3717" s="15" t="str">
        <f aca="false">IF(A3717="","",INT(A3717))</f>
        <v/>
      </c>
      <c r="J3717" s="16" t="str">
        <f aca="false">IF(B3717="","",IF(A3717=_xlfn.MINIFS($A$2:$A$5001,$B$2:$B$5001,B3717),1,0))</f>
        <v/>
      </c>
      <c r="K3717" s="16" t="str">
        <f aca="false">IF(B3717="","",IF(AND(D3717="Formalização",E3717="Concluído"),IF(COUNTIFS($B$2:$B$5001,B3717,$E$2:$E$5001,"Em ajustes",$A$2:$A$5001,"&lt;"&amp;I3717)&gt;0,1,0),0))</f>
        <v/>
      </c>
      <c r="L3717" s="16" t="str">
        <f aca="false">IF(B3717="","",IF(A3717=_xlfn.MAXIFS($A$2:$A$5001,$B$2:$B$5001,B3717,$I$2:$I$5001,I3717),1,0))</f>
        <v/>
      </c>
    </row>
    <row r="3718" customFormat="false" ht="15" hidden="false" customHeight="false" outlineLevel="0" collapsed="false">
      <c r="I3718" s="15" t="str">
        <f aca="false">IF(A3718="","",INT(A3718))</f>
        <v/>
      </c>
      <c r="J3718" s="16" t="str">
        <f aca="false">IF(B3718="","",IF(A3718=_xlfn.MINIFS($A$2:$A$5001,$B$2:$B$5001,B3718),1,0))</f>
        <v/>
      </c>
      <c r="K3718" s="16" t="str">
        <f aca="false">IF(B3718="","",IF(AND(D3718="Formalização",E3718="Concluído"),IF(COUNTIFS($B$2:$B$5001,B3718,$E$2:$E$5001,"Em ajustes",$A$2:$A$5001,"&lt;"&amp;I3718)&gt;0,1,0),0))</f>
        <v/>
      </c>
      <c r="L3718" s="16" t="str">
        <f aca="false">IF(B3718="","",IF(A3718=_xlfn.MAXIFS($A$2:$A$5001,$B$2:$B$5001,B3718,$I$2:$I$5001,I3718),1,0))</f>
        <v/>
      </c>
    </row>
    <row r="3719" customFormat="false" ht="15" hidden="false" customHeight="false" outlineLevel="0" collapsed="false">
      <c r="I3719" s="15" t="str">
        <f aca="false">IF(A3719="","",INT(A3719))</f>
        <v/>
      </c>
      <c r="J3719" s="16" t="str">
        <f aca="false">IF(B3719="","",IF(A3719=_xlfn.MINIFS($A$2:$A$5001,$B$2:$B$5001,B3719),1,0))</f>
        <v/>
      </c>
      <c r="K3719" s="16" t="str">
        <f aca="false">IF(B3719="","",IF(AND(D3719="Formalização",E3719="Concluído"),IF(COUNTIFS($B$2:$B$5001,B3719,$E$2:$E$5001,"Em ajustes",$A$2:$A$5001,"&lt;"&amp;I3719)&gt;0,1,0),0))</f>
        <v/>
      </c>
      <c r="L3719" s="16" t="str">
        <f aca="false">IF(B3719="","",IF(A3719=_xlfn.MAXIFS($A$2:$A$5001,$B$2:$B$5001,B3719,$I$2:$I$5001,I3719),1,0))</f>
        <v/>
      </c>
    </row>
    <row r="3720" customFormat="false" ht="15" hidden="false" customHeight="false" outlineLevel="0" collapsed="false">
      <c r="I3720" s="15" t="str">
        <f aca="false">IF(A3720="","",INT(A3720))</f>
        <v/>
      </c>
      <c r="J3720" s="16" t="str">
        <f aca="false">IF(B3720="","",IF(A3720=_xlfn.MINIFS($A$2:$A$5001,$B$2:$B$5001,B3720),1,0))</f>
        <v/>
      </c>
      <c r="K3720" s="16" t="str">
        <f aca="false">IF(B3720="","",IF(AND(D3720="Formalização",E3720="Concluído"),IF(COUNTIFS($B$2:$B$5001,B3720,$E$2:$E$5001,"Em ajustes",$A$2:$A$5001,"&lt;"&amp;I3720)&gt;0,1,0),0))</f>
        <v/>
      </c>
      <c r="L3720" s="16" t="str">
        <f aca="false">IF(B3720="","",IF(A3720=_xlfn.MAXIFS($A$2:$A$5001,$B$2:$B$5001,B3720,$I$2:$I$5001,I3720),1,0))</f>
        <v/>
      </c>
    </row>
    <row r="3721" customFormat="false" ht="15" hidden="false" customHeight="false" outlineLevel="0" collapsed="false">
      <c r="I3721" s="15" t="str">
        <f aca="false">IF(A3721="","",INT(A3721))</f>
        <v/>
      </c>
      <c r="J3721" s="16" t="str">
        <f aca="false">IF(B3721="","",IF(A3721=_xlfn.MINIFS($A$2:$A$5001,$B$2:$B$5001,B3721),1,0))</f>
        <v/>
      </c>
      <c r="K3721" s="16" t="str">
        <f aca="false">IF(B3721="","",IF(AND(D3721="Formalização",E3721="Concluído"),IF(COUNTIFS($B$2:$B$5001,B3721,$E$2:$E$5001,"Em ajustes",$A$2:$A$5001,"&lt;"&amp;I3721)&gt;0,1,0),0))</f>
        <v/>
      </c>
      <c r="L3721" s="16" t="str">
        <f aca="false">IF(B3721="","",IF(A3721=_xlfn.MAXIFS($A$2:$A$5001,$B$2:$B$5001,B3721,$I$2:$I$5001,I3721),1,0))</f>
        <v/>
      </c>
    </row>
    <row r="3722" customFormat="false" ht="15" hidden="false" customHeight="false" outlineLevel="0" collapsed="false">
      <c r="I3722" s="15" t="str">
        <f aca="false">IF(A3722="","",INT(A3722))</f>
        <v/>
      </c>
      <c r="J3722" s="16" t="str">
        <f aca="false">IF(B3722="","",IF(A3722=_xlfn.MINIFS($A$2:$A$5001,$B$2:$B$5001,B3722),1,0))</f>
        <v/>
      </c>
      <c r="K3722" s="16" t="str">
        <f aca="false">IF(B3722="","",IF(AND(D3722="Formalização",E3722="Concluído"),IF(COUNTIFS($B$2:$B$5001,B3722,$E$2:$E$5001,"Em ajustes",$A$2:$A$5001,"&lt;"&amp;I3722)&gt;0,1,0),0))</f>
        <v/>
      </c>
      <c r="L3722" s="16" t="str">
        <f aca="false">IF(B3722="","",IF(A3722=_xlfn.MAXIFS($A$2:$A$5001,$B$2:$B$5001,B3722,$I$2:$I$5001,I3722),1,0))</f>
        <v/>
      </c>
    </row>
    <row r="3723" customFormat="false" ht="15" hidden="false" customHeight="false" outlineLevel="0" collapsed="false">
      <c r="I3723" s="15" t="str">
        <f aca="false">IF(A3723="","",INT(A3723))</f>
        <v/>
      </c>
      <c r="J3723" s="16" t="str">
        <f aca="false">IF(B3723="","",IF(A3723=_xlfn.MINIFS($A$2:$A$5001,$B$2:$B$5001,B3723),1,0))</f>
        <v/>
      </c>
      <c r="K3723" s="16" t="str">
        <f aca="false">IF(B3723="","",IF(AND(D3723="Formalização",E3723="Concluído"),IF(COUNTIFS($B$2:$B$5001,B3723,$E$2:$E$5001,"Em ajustes",$A$2:$A$5001,"&lt;"&amp;I3723)&gt;0,1,0),0))</f>
        <v/>
      </c>
      <c r="L3723" s="16" t="str">
        <f aca="false">IF(B3723="","",IF(A3723=_xlfn.MAXIFS($A$2:$A$5001,$B$2:$B$5001,B3723,$I$2:$I$5001,I3723),1,0))</f>
        <v/>
      </c>
    </row>
    <row r="3724" customFormat="false" ht="15" hidden="false" customHeight="false" outlineLevel="0" collapsed="false">
      <c r="I3724" s="15" t="str">
        <f aca="false">IF(A3724="","",INT(A3724))</f>
        <v/>
      </c>
      <c r="J3724" s="16" t="str">
        <f aca="false">IF(B3724="","",IF(A3724=_xlfn.MINIFS($A$2:$A$5001,$B$2:$B$5001,B3724),1,0))</f>
        <v/>
      </c>
      <c r="K3724" s="16" t="str">
        <f aca="false">IF(B3724="","",IF(AND(D3724="Formalização",E3724="Concluído"),IF(COUNTIFS($B$2:$B$5001,B3724,$E$2:$E$5001,"Em ajustes",$A$2:$A$5001,"&lt;"&amp;I3724)&gt;0,1,0),0))</f>
        <v/>
      </c>
      <c r="L3724" s="16" t="str">
        <f aca="false">IF(B3724="","",IF(A3724=_xlfn.MAXIFS($A$2:$A$5001,$B$2:$B$5001,B3724,$I$2:$I$5001,I3724),1,0))</f>
        <v/>
      </c>
    </row>
    <row r="3725" customFormat="false" ht="15" hidden="false" customHeight="false" outlineLevel="0" collapsed="false">
      <c r="I3725" s="15" t="str">
        <f aca="false">IF(A3725="","",INT(A3725))</f>
        <v/>
      </c>
      <c r="J3725" s="16" t="str">
        <f aca="false">IF(B3725="","",IF(A3725=_xlfn.MINIFS($A$2:$A$5001,$B$2:$B$5001,B3725),1,0))</f>
        <v/>
      </c>
      <c r="K3725" s="16" t="str">
        <f aca="false">IF(B3725="","",IF(AND(D3725="Formalização",E3725="Concluído"),IF(COUNTIFS($B$2:$B$5001,B3725,$E$2:$E$5001,"Em ajustes",$A$2:$A$5001,"&lt;"&amp;I3725)&gt;0,1,0),0))</f>
        <v/>
      </c>
      <c r="L3725" s="16" t="str">
        <f aca="false">IF(B3725="","",IF(A3725=_xlfn.MAXIFS($A$2:$A$5001,$B$2:$B$5001,B3725,$I$2:$I$5001,I3725),1,0))</f>
        <v/>
      </c>
    </row>
    <row r="3726" customFormat="false" ht="15" hidden="false" customHeight="false" outlineLevel="0" collapsed="false">
      <c r="I3726" s="15" t="str">
        <f aca="false">IF(A3726="","",INT(A3726))</f>
        <v/>
      </c>
      <c r="J3726" s="16" t="str">
        <f aca="false">IF(B3726="","",IF(A3726=_xlfn.MINIFS($A$2:$A$5001,$B$2:$B$5001,B3726),1,0))</f>
        <v/>
      </c>
      <c r="K3726" s="16" t="str">
        <f aca="false">IF(B3726="","",IF(AND(D3726="Formalização",E3726="Concluído"),IF(COUNTIFS($B$2:$B$5001,B3726,$E$2:$E$5001,"Em ajustes",$A$2:$A$5001,"&lt;"&amp;I3726)&gt;0,1,0),0))</f>
        <v/>
      </c>
      <c r="L3726" s="16" t="str">
        <f aca="false">IF(B3726="","",IF(A3726=_xlfn.MAXIFS($A$2:$A$5001,$B$2:$B$5001,B3726,$I$2:$I$5001,I3726),1,0))</f>
        <v/>
      </c>
    </row>
    <row r="3727" customFormat="false" ht="15" hidden="false" customHeight="false" outlineLevel="0" collapsed="false">
      <c r="I3727" s="15" t="str">
        <f aca="false">IF(A3727="","",INT(A3727))</f>
        <v/>
      </c>
      <c r="J3727" s="16" t="str">
        <f aca="false">IF(B3727="","",IF(A3727=_xlfn.MINIFS($A$2:$A$5001,$B$2:$B$5001,B3727),1,0))</f>
        <v/>
      </c>
      <c r="K3727" s="16" t="str">
        <f aca="false">IF(B3727="","",IF(AND(D3727="Formalização",E3727="Concluído"),IF(COUNTIFS($B$2:$B$5001,B3727,$E$2:$E$5001,"Em ajustes",$A$2:$A$5001,"&lt;"&amp;I3727)&gt;0,1,0),0))</f>
        <v/>
      </c>
      <c r="L3727" s="16" t="str">
        <f aca="false">IF(B3727="","",IF(A3727=_xlfn.MAXIFS($A$2:$A$5001,$B$2:$B$5001,B3727,$I$2:$I$5001,I3727),1,0))</f>
        <v/>
      </c>
    </row>
    <row r="3728" customFormat="false" ht="15" hidden="false" customHeight="false" outlineLevel="0" collapsed="false">
      <c r="I3728" s="15" t="str">
        <f aca="false">IF(A3728="","",INT(A3728))</f>
        <v/>
      </c>
      <c r="J3728" s="16" t="str">
        <f aca="false">IF(B3728="","",IF(A3728=_xlfn.MINIFS($A$2:$A$5001,$B$2:$B$5001,B3728),1,0))</f>
        <v/>
      </c>
      <c r="K3728" s="16" t="str">
        <f aca="false">IF(B3728="","",IF(AND(D3728="Formalização",E3728="Concluído"),IF(COUNTIFS($B$2:$B$5001,B3728,$E$2:$E$5001,"Em ajustes",$A$2:$A$5001,"&lt;"&amp;I3728)&gt;0,1,0),0))</f>
        <v/>
      </c>
      <c r="L3728" s="16" t="str">
        <f aca="false">IF(B3728="","",IF(A3728=_xlfn.MAXIFS($A$2:$A$5001,$B$2:$B$5001,B3728,$I$2:$I$5001,I3728),1,0))</f>
        <v/>
      </c>
    </row>
    <row r="3729" customFormat="false" ht="15" hidden="false" customHeight="false" outlineLevel="0" collapsed="false">
      <c r="I3729" s="15" t="str">
        <f aca="false">IF(A3729="","",INT(A3729))</f>
        <v/>
      </c>
      <c r="J3729" s="16" t="str">
        <f aca="false">IF(B3729="","",IF(A3729=_xlfn.MINIFS($A$2:$A$5001,$B$2:$B$5001,B3729),1,0))</f>
        <v/>
      </c>
      <c r="K3729" s="16" t="str">
        <f aca="false">IF(B3729="","",IF(AND(D3729="Formalização",E3729="Concluído"),IF(COUNTIFS($B$2:$B$5001,B3729,$E$2:$E$5001,"Em ajustes",$A$2:$A$5001,"&lt;"&amp;I3729)&gt;0,1,0),0))</f>
        <v/>
      </c>
      <c r="L3729" s="16" t="str">
        <f aca="false">IF(B3729="","",IF(A3729=_xlfn.MAXIFS($A$2:$A$5001,$B$2:$B$5001,B3729,$I$2:$I$5001,I3729),1,0))</f>
        <v/>
      </c>
    </row>
    <row r="3730" customFormat="false" ht="15" hidden="false" customHeight="false" outlineLevel="0" collapsed="false">
      <c r="I3730" s="15" t="str">
        <f aca="false">IF(A3730="","",INT(A3730))</f>
        <v/>
      </c>
      <c r="J3730" s="16" t="str">
        <f aca="false">IF(B3730="","",IF(A3730=_xlfn.MINIFS($A$2:$A$5001,$B$2:$B$5001,B3730),1,0))</f>
        <v/>
      </c>
      <c r="K3730" s="16" t="str">
        <f aca="false">IF(B3730="","",IF(AND(D3730="Formalização",E3730="Concluído"),IF(COUNTIFS($B$2:$B$5001,B3730,$E$2:$E$5001,"Em ajustes",$A$2:$A$5001,"&lt;"&amp;I3730)&gt;0,1,0),0))</f>
        <v/>
      </c>
      <c r="L3730" s="16" t="str">
        <f aca="false">IF(B3730="","",IF(A3730=_xlfn.MAXIFS($A$2:$A$5001,$B$2:$B$5001,B3730,$I$2:$I$5001,I3730),1,0))</f>
        <v/>
      </c>
    </row>
    <row r="3731" customFormat="false" ht="15" hidden="false" customHeight="false" outlineLevel="0" collapsed="false">
      <c r="I3731" s="15" t="str">
        <f aca="false">IF(A3731="","",INT(A3731))</f>
        <v/>
      </c>
      <c r="J3731" s="16" t="str">
        <f aca="false">IF(B3731="","",IF(A3731=_xlfn.MINIFS($A$2:$A$5001,$B$2:$B$5001,B3731),1,0))</f>
        <v/>
      </c>
      <c r="K3731" s="16" t="str">
        <f aca="false">IF(B3731="","",IF(AND(D3731="Formalização",E3731="Concluído"),IF(COUNTIFS($B$2:$B$5001,B3731,$E$2:$E$5001,"Em ajustes",$A$2:$A$5001,"&lt;"&amp;I3731)&gt;0,1,0),0))</f>
        <v/>
      </c>
      <c r="L3731" s="16" t="str">
        <f aca="false">IF(B3731="","",IF(A3731=_xlfn.MAXIFS($A$2:$A$5001,$B$2:$B$5001,B3731,$I$2:$I$5001,I3731),1,0))</f>
        <v/>
      </c>
    </row>
    <row r="3732" customFormat="false" ht="15" hidden="false" customHeight="false" outlineLevel="0" collapsed="false">
      <c r="I3732" s="15" t="str">
        <f aca="false">IF(A3732="","",INT(A3732))</f>
        <v/>
      </c>
      <c r="J3732" s="16" t="str">
        <f aca="false">IF(B3732="","",IF(A3732=_xlfn.MINIFS($A$2:$A$5001,$B$2:$B$5001,B3732),1,0))</f>
        <v/>
      </c>
      <c r="K3732" s="16" t="str">
        <f aca="false">IF(B3732="","",IF(AND(D3732="Formalização",E3732="Concluído"),IF(COUNTIFS($B$2:$B$5001,B3732,$E$2:$E$5001,"Em ajustes",$A$2:$A$5001,"&lt;"&amp;I3732)&gt;0,1,0),0))</f>
        <v/>
      </c>
      <c r="L3732" s="16" t="str">
        <f aca="false">IF(B3732="","",IF(A3732=_xlfn.MAXIFS($A$2:$A$5001,$B$2:$B$5001,B3732,$I$2:$I$5001,I3732),1,0))</f>
        <v/>
      </c>
    </row>
    <row r="3733" customFormat="false" ht="15" hidden="false" customHeight="false" outlineLevel="0" collapsed="false">
      <c r="I3733" s="15" t="str">
        <f aca="false">IF(A3733="","",INT(A3733))</f>
        <v/>
      </c>
      <c r="J3733" s="16" t="str">
        <f aca="false">IF(B3733="","",IF(A3733=_xlfn.MINIFS($A$2:$A$5001,$B$2:$B$5001,B3733),1,0))</f>
        <v/>
      </c>
      <c r="K3733" s="16" t="str">
        <f aca="false">IF(B3733="","",IF(AND(D3733="Formalização",E3733="Concluído"),IF(COUNTIFS($B$2:$B$5001,B3733,$E$2:$E$5001,"Em ajustes",$A$2:$A$5001,"&lt;"&amp;I3733)&gt;0,1,0),0))</f>
        <v/>
      </c>
      <c r="L3733" s="16" t="str">
        <f aca="false">IF(B3733="","",IF(A3733=_xlfn.MAXIFS($A$2:$A$5001,$B$2:$B$5001,B3733,$I$2:$I$5001,I3733),1,0))</f>
        <v/>
      </c>
    </row>
    <row r="3734" customFormat="false" ht="15" hidden="false" customHeight="false" outlineLevel="0" collapsed="false">
      <c r="I3734" s="15" t="str">
        <f aca="false">IF(A3734="","",INT(A3734))</f>
        <v/>
      </c>
      <c r="J3734" s="16" t="str">
        <f aca="false">IF(B3734="","",IF(A3734=_xlfn.MINIFS($A$2:$A$5001,$B$2:$B$5001,B3734),1,0))</f>
        <v/>
      </c>
      <c r="K3734" s="16" t="str">
        <f aca="false">IF(B3734="","",IF(AND(D3734="Formalização",E3734="Concluído"),IF(COUNTIFS($B$2:$B$5001,B3734,$E$2:$E$5001,"Em ajustes",$A$2:$A$5001,"&lt;"&amp;I3734)&gt;0,1,0),0))</f>
        <v/>
      </c>
      <c r="L3734" s="16" t="str">
        <f aca="false">IF(B3734="","",IF(A3734=_xlfn.MAXIFS($A$2:$A$5001,$B$2:$B$5001,B3734,$I$2:$I$5001,I3734),1,0))</f>
        <v/>
      </c>
    </row>
    <row r="3735" customFormat="false" ht="15" hidden="false" customHeight="false" outlineLevel="0" collapsed="false">
      <c r="I3735" s="15" t="str">
        <f aca="false">IF(A3735="","",INT(A3735))</f>
        <v/>
      </c>
      <c r="J3735" s="16" t="str">
        <f aca="false">IF(B3735="","",IF(A3735=_xlfn.MINIFS($A$2:$A$5001,$B$2:$B$5001,B3735),1,0))</f>
        <v/>
      </c>
      <c r="K3735" s="16" t="str">
        <f aca="false">IF(B3735="","",IF(AND(D3735="Formalização",E3735="Concluído"),IF(COUNTIFS($B$2:$B$5001,B3735,$E$2:$E$5001,"Em ajustes",$A$2:$A$5001,"&lt;"&amp;I3735)&gt;0,1,0),0))</f>
        <v/>
      </c>
      <c r="L3735" s="16" t="str">
        <f aca="false">IF(B3735="","",IF(A3735=_xlfn.MAXIFS($A$2:$A$5001,$B$2:$B$5001,B3735,$I$2:$I$5001,I3735),1,0))</f>
        <v/>
      </c>
    </row>
    <row r="3736" customFormat="false" ht="15" hidden="false" customHeight="false" outlineLevel="0" collapsed="false">
      <c r="I3736" s="15" t="str">
        <f aca="false">IF(A3736="","",INT(A3736))</f>
        <v/>
      </c>
      <c r="J3736" s="16" t="str">
        <f aca="false">IF(B3736="","",IF(A3736=_xlfn.MINIFS($A$2:$A$5001,$B$2:$B$5001,B3736),1,0))</f>
        <v/>
      </c>
      <c r="K3736" s="16" t="str">
        <f aca="false">IF(B3736="","",IF(AND(D3736="Formalização",E3736="Concluído"),IF(COUNTIFS($B$2:$B$5001,B3736,$E$2:$E$5001,"Em ajustes",$A$2:$A$5001,"&lt;"&amp;I3736)&gt;0,1,0),0))</f>
        <v/>
      </c>
      <c r="L3736" s="16" t="str">
        <f aca="false">IF(B3736="","",IF(A3736=_xlfn.MAXIFS($A$2:$A$5001,$B$2:$B$5001,B3736,$I$2:$I$5001,I3736),1,0))</f>
        <v/>
      </c>
    </row>
    <row r="3737" customFormat="false" ht="15" hidden="false" customHeight="false" outlineLevel="0" collapsed="false">
      <c r="I3737" s="15" t="str">
        <f aca="false">IF(A3737="","",INT(A3737))</f>
        <v/>
      </c>
      <c r="J3737" s="16" t="str">
        <f aca="false">IF(B3737="","",IF(A3737=_xlfn.MINIFS($A$2:$A$5001,$B$2:$B$5001,B3737),1,0))</f>
        <v/>
      </c>
      <c r="K3737" s="16" t="str">
        <f aca="false">IF(B3737="","",IF(AND(D3737="Formalização",E3737="Concluído"),IF(COUNTIFS($B$2:$B$5001,B3737,$E$2:$E$5001,"Em ajustes",$A$2:$A$5001,"&lt;"&amp;I3737)&gt;0,1,0),0))</f>
        <v/>
      </c>
      <c r="L3737" s="16" t="str">
        <f aca="false">IF(B3737="","",IF(A3737=_xlfn.MAXIFS($A$2:$A$5001,$B$2:$B$5001,B3737,$I$2:$I$5001,I3737),1,0))</f>
        <v/>
      </c>
    </row>
    <row r="3738" customFormat="false" ht="15" hidden="false" customHeight="false" outlineLevel="0" collapsed="false">
      <c r="I3738" s="15" t="str">
        <f aca="false">IF(A3738="","",INT(A3738))</f>
        <v/>
      </c>
      <c r="J3738" s="16" t="str">
        <f aca="false">IF(B3738="","",IF(A3738=_xlfn.MINIFS($A$2:$A$5001,$B$2:$B$5001,B3738),1,0))</f>
        <v/>
      </c>
      <c r="K3738" s="16" t="str">
        <f aca="false">IF(B3738="","",IF(AND(D3738="Formalização",E3738="Concluído"),IF(COUNTIFS($B$2:$B$5001,B3738,$E$2:$E$5001,"Em ajustes",$A$2:$A$5001,"&lt;"&amp;I3738)&gt;0,1,0),0))</f>
        <v/>
      </c>
      <c r="L3738" s="16" t="str">
        <f aca="false">IF(B3738="","",IF(A3738=_xlfn.MAXIFS($A$2:$A$5001,$B$2:$B$5001,B3738,$I$2:$I$5001,I3738),1,0))</f>
        <v/>
      </c>
    </row>
    <row r="3739" customFormat="false" ht="15" hidden="false" customHeight="false" outlineLevel="0" collapsed="false">
      <c r="I3739" s="15" t="str">
        <f aca="false">IF(A3739="","",INT(A3739))</f>
        <v/>
      </c>
      <c r="J3739" s="16" t="str">
        <f aca="false">IF(B3739="","",IF(A3739=_xlfn.MINIFS($A$2:$A$5001,$B$2:$B$5001,B3739),1,0))</f>
        <v/>
      </c>
      <c r="K3739" s="16" t="str">
        <f aca="false">IF(B3739="","",IF(AND(D3739="Formalização",E3739="Concluído"),IF(COUNTIFS($B$2:$B$5001,B3739,$E$2:$E$5001,"Em ajustes",$A$2:$A$5001,"&lt;"&amp;I3739)&gt;0,1,0),0))</f>
        <v/>
      </c>
      <c r="L3739" s="16" t="str">
        <f aca="false">IF(B3739="","",IF(A3739=_xlfn.MAXIFS($A$2:$A$5001,$B$2:$B$5001,B3739,$I$2:$I$5001,I3739),1,0))</f>
        <v/>
      </c>
    </row>
    <row r="3740" customFormat="false" ht="15" hidden="false" customHeight="false" outlineLevel="0" collapsed="false">
      <c r="I3740" s="15" t="str">
        <f aca="false">IF(A3740="","",INT(A3740))</f>
        <v/>
      </c>
      <c r="J3740" s="16" t="str">
        <f aca="false">IF(B3740="","",IF(A3740=_xlfn.MINIFS($A$2:$A$5001,$B$2:$B$5001,B3740),1,0))</f>
        <v/>
      </c>
      <c r="K3740" s="16" t="str">
        <f aca="false">IF(B3740="","",IF(AND(D3740="Formalização",E3740="Concluído"),IF(COUNTIFS($B$2:$B$5001,B3740,$E$2:$E$5001,"Em ajustes",$A$2:$A$5001,"&lt;"&amp;I3740)&gt;0,1,0),0))</f>
        <v/>
      </c>
      <c r="L3740" s="16" t="str">
        <f aca="false">IF(B3740="","",IF(A3740=_xlfn.MAXIFS($A$2:$A$5001,$B$2:$B$5001,B3740,$I$2:$I$5001,I3740),1,0))</f>
        <v/>
      </c>
    </row>
    <row r="3741" customFormat="false" ht="15" hidden="false" customHeight="false" outlineLevel="0" collapsed="false">
      <c r="I3741" s="15" t="str">
        <f aca="false">IF(A3741="","",INT(A3741))</f>
        <v/>
      </c>
      <c r="J3741" s="16" t="str">
        <f aca="false">IF(B3741="","",IF(A3741=_xlfn.MINIFS($A$2:$A$5001,$B$2:$B$5001,B3741),1,0))</f>
        <v/>
      </c>
      <c r="K3741" s="16" t="str">
        <f aca="false">IF(B3741="","",IF(AND(D3741="Formalização",E3741="Concluído"),IF(COUNTIFS($B$2:$B$5001,B3741,$E$2:$E$5001,"Em ajustes",$A$2:$A$5001,"&lt;"&amp;I3741)&gt;0,1,0),0))</f>
        <v/>
      </c>
      <c r="L3741" s="16" t="str">
        <f aca="false">IF(B3741="","",IF(A3741=_xlfn.MAXIFS($A$2:$A$5001,$B$2:$B$5001,B3741,$I$2:$I$5001,I3741),1,0))</f>
        <v/>
      </c>
    </row>
    <row r="3742" customFormat="false" ht="15" hidden="false" customHeight="false" outlineLevel="0" collapsed="false">
      <c r="I3742" s="15" t="str">
        <f aca="false">IF(A3742="","",INT(A3742))</f>
        <v/>
      </c>
      <c r="J3742" s="16" t="str">
        <f aca="false">IF(B3742="","",IF(A3742=_xlfn.MINIFS($A$2:$A$5001,$B$2:$B$5001,B3742),1,0))</f>
        <v/>
      </c>
      <c r="K3742" s="16" t="str">
        <f aca="false">IF(B3742="","",IF(AND(D3742="Formalização",E3742="Concluído"),IF(COUNTIFS($B$2:$B$5001,B3742,$E$2:$E$5001,"Em ajustes",$A$2:$A$5001,"&lt;"&amp;I3742)&gt;0,1,0),0))</f>
        <v/>
      </c>
      <c r="L3742" s="16" t="str">
        <f aca="false">IF(B3742="","",IF(A3742=_xlfn.MAXIFS($A$2:$A$5001,$B$2:$B$5001,B3742,$I$2:$I$5001,I3742),1,0))</f>
        <v/>
      </c>
    </row>
    <row r="3743" customFormat="false" ht="15" hidden="false" customHeight="false" outlineLevel="0" collapsed="false">
      <c r="I3743" s="15" t="str">
        <f aca="false">IF(A3743="","",INT(A3743))</f>
        <v/>
      </c>
      <c r="J3743" s="16" t="str">
        <f aca="false">IF(B3743="","",IF(A3743=_xlfn.MINIFS($A$2:$A$5001,$B$2:$B$5001,B3743),1,0))</f>
        <v/>
      </c>
      <c r="K3743" s="16" t="str">
        <f aca="false">IF(B3743="","",IF(AND(D3743="Formalização",E3743="Concluído"),IF(COUNTIFS($B$2:$B$5001,B3743,$E$2:$E$5001,"Em ajustes",$A$2:$A$5001,"&lt;"&amp;I3743)&gt;0,1,0),0))</f>
        <v/>
      </c>
      <c r="L3743" s="16" t="str">
        <f aca="false">IF(B3743="","",IF(A3743=_xlfn.MAXIFS($A$2:$A$5001,$B$2:$B$5001,B3743,$I$2:$I$5001,I3743),1,0))</f>
        <v/>
      </c>
    </row>
    <row r="3744" customFormat="false" ht="15" hidden="false" customHeight="false" outlineLevel="0" collapsed="false">
      <c r="I3744" s="15" t="str">
        <f aca="false">IF(A3744="","",INT(A3744))</f>
        <v/>
      </c>
      <c r="J3744" s="16" t="str">
        <f aca="false">IF(B3744="","",IF(A3744=_xlfn.MINIFS($A$2:$A$5001,$B$2:$B$5001,B3744),1,0))</f>
        <v/>
      </c>
      <c r="K3744" s="16" t="str">
        <f aca="false">IF(B3744="","",IF(AND(D3744="Formalização",E3744="Concluído"),IF(COUNTIFS($B$2:$B$5001,B3744,$E$2:$E$5001,"Em ajustes",$A$2:$A$5001,"&lt;"&amp;I3744)&gt;0,1,0),0))</f>
        <v/>
      </c>
      <c r="L3744" s="16" t="str">
        <f aca="false">IF(B3744="","",IF(A3744=_xlfn.MAXIFS($A$2:$A$5001,$B$2:$B$5001,B3744,$I$2:$I$5001,I3744),1,0))</f>
        <v/>
      </c>
    </row>
    <row r="3745" customFormat="false" ht="15" hidden="false" customHeight="false" outlineLevel="0" collapsed="false">
      <c r="I3745" s="15" t="str">
        <f aca="false">IF(A3745="","",INT(A3745))</f>
        <v/>
      </c>
      <c r="J3745" s="16" t="str">
        <f aca="false">IF(B3745="","",IF(A3745=_xlfn.MINIFS($A$2:$A$5001,$B$2:$B$5001,B3745),1,0))</f>
        <v/>
      </c>
      <c r="K3745" s="16" t="str">
        <f aca="false">IF(B3745="","",IF(AND(D3745="Formalização",E3745="Concluído"),IF(COUNTIFS($B$2:$B$5001,B3745,$E$2:$E$5001,"Em ajustes",$A$2:$A$5001,"&lt;"&amp;I3745)&gt;0,1,0),0))</f>
        <v/>
      </c>
      <c r="L3745" s="16" t="str">
        <f aca="false">IF(B3745="","",IF(A3745=_xlfn.MAXIFS($A$2:$A$5001,$B$2:$B$5001,B3745,$I$2:$I$5001,I3745),1,0))</f>
        <v/>
      </c>
    </row>
    <row r="3746" customFormat="false" ht="15" hidden="false" customHeight="false" outlineLevel="0" collapsed="false">
      <c r="I3746" s="15" t="str">
        <f aca="false">IF(A3746="","",INT(A3746))</f>
        <v/>
      </c>
      <c r="J3746" s="16" t="str">
        <f aca="false">IF(B3746="","",IF(A3746=_xlfn.MINIFS($A$2:$A$5001,$B$2:$B$5001,B3746),1,0))</f>
        <v/>
      </c>
      <c r="K3746" s="16" t="str">
        <f aca="false">IF(B3746="","",IF(AND(D3746="Formalização",E3746="Concluído"),IF(COUNTIFS($B$2:$B$5001,B3746,$E$2:$E$5001,"Em ajustes",$A$2:$A$5001,"&lt;"&amp;I3746)&gt;0,1,0),0))</f>
        <v/>
      </c>
      <c r="L3746" s="16" t="str">
        <f aca="false">IF(B3746="","",IF(A3746=_xlfn.MAXIFS($A$2:$A$5001,$B$2:$B$5001,B3746,$I$2:$I$5001,I3746),1,0))</f>
        <v/>
      </c>
    </row>
    <row r="3747" customFormat="false" ht="15" hidden="false" customHeight="false" outlineLevel="0" collapsed="false">
      <c r="I3747" s="15" t="str">
        <f aca="false">IF(A3747="","",INT(A3747))</f>
        <v/>
      </c>
      <c r="J3747" s="16" t="str">
        <f aca="false">IF(B3747="","",IF(A3747=_xlfn.MINIFS($A$2:$A$5001,$B$2:$B$5001,B3747),1,0))</f>
        <v/>
      </c>
      <c r="K3747" s="16" t="str">
        <f aca="false">IF(B3747="","",IF(AND(D3747="Formalização",E3747="Concluído"),IF(COUNTIFS($B$2:$B$5001,B3747,$E$2:$E$5001,"Em ajustes",$A$2:$A$5001,"&lt;"&amp;I3747)&gt;0,1,0),0))</f>
        <v/>
      </c>
      <c r="L3747" s="16" t="str">
        <f aca="false">IF(B3747="","",IF(A3747=_xlfn.MAXIFS($A$2:$A$5001,$B$2:$B$5001,B3747,$I$2:$I$5001,I3747),1,0))</f>
        <v/>
      </c>
    </row>
    <row r="3748" customFormat="false" ht="15" hidden="false" customHeight="false" outlineLevel="0" collapsed="false">
      <c r="I3748" s="15" t="str">
        <f aca="false">IF(A3748="","",INT(A3748))</f>
        <v/>
      </c>
      <c r="J3748" s="16" t="str">
        <f aca="false">IF(B3748="","",IF(A3748=_xlfn.MINIFS($A$2:$A$5001,$B$2:$B$5001,B3748),1,0))</f>
        <v/>
      </c>
      <c r="K3748" s="16" t="str">
        <f aca="false">IF(B3748="","",IF(AND(D3748="Formalização",E3748="Concluído"),IF(COUNTIFS($B$2:$B$5001,B3748,$E$2:$E$5001,"Em ajustes",$A$2:$A$5001,"&lt;"&amp;I3748)&gt;0,1,0),0))</f>
        <v/>
      </c>
      <c r="L3748" s="16" t="str">
        <f aca="false">IF(B3748="","",IF(A3748=_xlfn.MAXIFS($A$2:$A$5001,$B$2:$B$5001,B3748,$I$2:$I$5001,I3748),1,0))</f>
        <v/>
      </c>
    </row>
    <row r="3749" customFormat="false" ht="15" hidden="false" customHeight="false" outlineLevel="0" collapsed="false">
      <c r="I3749" s="15" t="str">
        <f aca="false">IF(A3749="","",INT(A3749))</f>
        <v/>
      </c>
      <c r="J3749" s="16" t="str">
        <f aca="false">IF(B3749="","",IF(A3749=_xlfn.MINIFS($A$2:$A$5001,$B$2:$B$5001,B3749),1,0))</f>
        <v/>
      </c>
      <c r="K3749" s="16" t="str">
        <f aca="false">IF(B3749="","",IF(AND(D3749="Formalização",E3749="Concluído"),IF(COUNTIFS($B$2:$B$5001,B3749,$E$2:$E$5001,"Em ajustes",$A$2:$A$5001,"&lt;"&amp;I3749)&gt;0,1,0),0))</f>
        <v/>
      </c>
      <c r="L3749" s="16" t="str">
        <f aca="false">IF(B3749="","",IF(A3749=_xlfn.MAXIFS($A$2:$A$5001,$B$2:$B$5001,B3749,$I$2:$I$5001,I3749),1,0))</f>
        <v/>
      </c>
    </row>
    <row r="3750" customFormat="false" ht="15" hidden="false" customHeight="false" outlineLevel="0" collapsed="false">
      <c r="I3750" s="15" t="str">
        <f aca="false">IF(A3750="","",INT(A3750))</f>
        <v/>
      </c>
      <c r="J3750" s="16" t="str">
        <f aca="false">IF(B3750="","",IF(A3750=_xlfn.MINIFS($A$2:$A$5001,$B$2:$B$5001,B3750),1,0))</f>
        <v/>
      </c>
      <c r="K3750" s="16" t="str">
        <f aca="false">IF(B3750="","",IF(AND(D3750="Formalização",E3750="Concluído"),IF(COUNTIFS($B$2:$B$5001,B3750,$E$2:$E$5001,"Em ajustes",$A$2:$A$5001,"&lt;"&amp;I3750)&gt;0,1,0),0))</f>
        <v/>
      </c>
      <c r="L3750" s="16" t="str">
        <f aca="false">IF(B3750="","",IF(A3750=_xlfn.MAXIFS($A$2:$A$5001,$B$2:$B$5001,B3750,$I$2:$I$5001,I3750),1,0))</f>
        <v/>
      </c>
    </row>
    <row r="3751" customFormat="false" ht="15" hidden="false" customHeight="false" outlineLevel="0" collapsed="false">
      <c r="I3751" s="15" t="str">
        <f aca="false">IF(A3751="","",INT(A3751))</f>
        <v/>
      </c>
      <c r="J3751" s="16" t="str">
        <f aca="false">IF(B3751="","",IF(A3751=_xlfn.MINIFS($A$2:$A$5001,$B$2:$B$5001,B3751),1,0))</f>
        <v/>
      </c>
      <c r="K3751" s="16" t="str">
        <f aca="false">IF(B3751="","",IF(AND(D3751="Formalização",E3751="Concluído"),IF(COUNTIFS($B$2:$B$5001,B3751,$E$2:$E$5001,"Em ajustes",$A$2:$A$5001,"&lt;"&amp;I3751)&gt;0,1,0),0))</f>
        <v/>
      </c>
      <c r="L3751" s="16" t="str">
        <f aca="false">IF(B3751="","",IF(A3751=_xlfn.MAXIFS($A$2:$A$5001,$B$2:$B$5001,B3751,$I$2:$I$5001,I3751),1,0))</f>
        <v/>
      </c>
    </row>
    <row r="3752" customFormat="false" ht="15" hidden="false" customHeight="false" outlineLevel="0" collapsed="false">
      <c r="I3752" s="15" t="str">
        <f aca="false">IF(A3752="","",INT(A3752))</f>
        <v/>
      </c>
      <c r="J3752" s="16" t="str">
        <f aca="false">IF(B3752="","",IF(A3752=_xlfn.MINIFS($A$2:$A$5001,$B$2:$B$5001,B3752),1,0))</f>
        <v/>
      </c>
      <c r="K3752" s="16" t="str">
        <f aca="false">IF(B3752="","",IF(AND(D3752="Formalização",E3752="Concluído"),IF(COUNTIFS($B$2:$B$5001,B3752,$E$2:$E$5001,"Em ajustes",$A$2:$A$5001,"&lt;"&amp;I3752)&gt;0,1,0),0))</f>
        <v/>
      </c>
      <c r="L3752" s="16" t="str">
        <f aca="false">IF(B3752="","",IF(A3752=_xlfn.MAXIFS($A$2:$A$5001,$B$2:$B$5001,B3752,$I$2:$I$5001,I3752),1,0))</f>
        <v/>
      </c>
    </row>
    <row r="3753" customFormat="false" ht="15" hidden="false" customHeight="false" outlineLevel="0" collapsed="false">
      <c r="I3753" s="15" t="str">
        <f aca="false">IF(A3753="","",INT(A3753))</f>
        <v/>
      </c>
      <c r="J3753" s="16" t="str">
        <f aca="false">IF(B3753="","",IF(A3753=_xlfn.MINIFS($A$2:$A$5001,$B$2:$B$5001,B3753),1,0))</f>
        <v/>
      </c>
      <c r="K3753" s="16" t="str">
        <f aca="false">IF(B3753="","",IF(AND(D3753="Formalização",E3753="Concluído"),IF(COUNTIFS($B$2:$B$5001,B3753,$E$2:$E$5001,"Em ajustes",$A$2:$A$5001,"&lt;"&amp;I3753)&gt;0,1,0),0))</f>
        <v/>
      </c>
      <c r="L3753" s="16" t="str">
        <f aca="false">IF(B3753="","",IF(A3753=_xlfn.MAXIFS($A$2:$A$5001,$B$2:$B$5001,B3753,$I$2:$I$5001,I3753),1,0))</f>
        <v/>
      </c>
    </row>
    <row r="3754" customFormat="false" ht="15" hidden="false" customHeight="false" outlineLevel="0" collapsed="false">
      <c r="I3754" s="15" t="str">
        <f aca="false">IF(A3754="","",INT(A3754))</f>
        <v/>
      </c>
      <c r="J3754" s="16" t="str">
        <f aca="false">IF(B3754="","",IF(A3754=_xlfn.MINIFS($A$2:$A$5001,$B$2:$B$5001,B3754),1,0))</f>
        <v/>
      </c>
      <c r="K3754" s="16" t="str">
        <f aca="false">IF(B3754="","",IF(AND(D3754="Formalização",E3754="Concluído"),IF(COUNTIFS($B$2:$B$5001,B3754,$E$2:$E$5001,"Em ajustes",$A$2:$A$5001,"&lt;"&amp;I3754)&gt;0,1,0),0))</f>
        <v/>
      </c>
      <c r="L3754" s="16" t="str">
        <f aca="false">IF(B3754="","",IF(A3754=_xlfn.MAXIFS($A$2:$A$5001,$B$2:$B$5001,B3754,$I$2:$I$5001,I3754),1,0))</f>
        <v/>
      </c>
    </row>
    <row r="3755" customFormat="false" ht="15" hidden="false" customHeight="false" outlineLevel="0" collapsed="false">
      <c r="I3755" s="15" t="str">
        <f aca="false">IF(A3755="","",INT(A3755))</f>
        <v/>
      </c>
      <c r="J3755" s="16" t="str">
        <f aca="false">IF(B3755="","",IF(A3755=_xlfn.MINIFS($A$2:$A$5001,$B$2:$B$5001,B3755),1,0))</f>
        <v/>
      </c>
      <c r="K3755" s="16" t="str">
        <f aca="false">IF(B3755="","",IF(AND(D3755="Formalização",E3755="Concluído"),IF(COUNTIFS($B$2:$B$5001,B3755,$E$2:$E$5001,"Em ajustes",$A$2:$A$5001,"&lt;"&amp;I3755)&gt;0,1,0),0))</f>
        <v/>
      </c>
      <c r="L3755" s="16" t="str">
        <f aca="false">IF(B3755="","",IF(A3755=_xlfn.MAXIFS($A$2:$A$5001,$B$2:$B$5001,B3755,$I$2:$I$5001,I3755),1,0))</f>
        <v/>
      </c>
    </row>
    <row r="3756" customFormat="false" ht="15" hidden="false" customHeight="false" outlineLevel="0" collapsed="false">
      <c r="I3756" s="15" t="str">
        <f aca="false">IF(A3756="","",INT(A3756))</f>
        <v/>
      </c>
      <c r="J3756" s="16" t="str">
        <f aca="false">IF(B3756="","",IF(A3756=_xlfn.MINIFS($A$2:$A$5001,$B$2:$B$5001,B3756),1,0))</f>
        <v/>
      </c>
      <c r="K3756" s="16" t="str">
        <f aca="false">IF(B3756="","",IF(AND(D3756="Formalização",E3756="Concluído"),IF(COUNTIFS($B$2:$B$5001,B3756,$E$2:$E$5001,"Em ajustes",$A$2:$A$5001,"&lt;"&amp;I3756)&gt;0,1,0),0))</f>
        <v/>
      </c>
      <c r="L3756" s="16" t="str">
        <f aca="false">IF(B3756="","",IF(A3756=_xlfn.MAXIFS($A$2:$A$5001,$B$2:$B$5001,B3756,$I$2:$I$5001,I3756),1,0))</f>
        <v/>
      </c>
    </row>
    <row r="3757" customFormat="false" ht="15" hidden="false" customHeight="false" outlineLevel="0" collapsed="false">
      <c r="I3757" s="15" t="str">
        <f aca="false">IF(A3757="","",INT(A3757))</f>
        <v/>
      </c>
      <c r="J3757" s="16" t="str">
        <f aca="false">IF(B3757="","",IF(A3757=_xlfn.MINIFS($A$2:$A$5001,$B$2:$B$5001,B3757),1,0))</f>
        <v/>
      </c>
      <c r="K3757" s="16" t="str">
        <f aca="false">IF(B3757="","",IF(AND(D3757="Formalização",E3757="Concluído"),IF(COUNTIFS($B$2:$B$5001,B3757,$E$2:$E$5001,"Em ajustes",$A$2:$A$5001,"&lt;"&amp;I3757)&gt;0,1,0),0))</f>
        <v/>
      </c>
      <c r="L3757" s="16" t="str">
        <f aca="false">IF(B3757="","",IF(A3757=_xlfn.MAXIFS($A$2:$A$5001,$B$2:$B$5001,B3757,$I$2:$I$5001,I3757),1,0))</f>
        <v/>
      </c>
    </row>
    <row r="3758" customFormat="false" ht="15" hidden="false" customHeight="false" outlineLevel="0" collapsed="false">
      <c r="I3758" s="15" t="str">
        <f aca="false">IF(A3758="","",INT(A3758))</f>
        <v/>
      </c>
      <c r="J3758" s="16" t="str">
        <f aca="false">IF(B3758="","",IF(A3758=_xlfn.MINIFS($A$2:$A$5001,$B$2:$B$5001,B3758),1,0))</f>
        <v/>
      </c>
      <c r="K3758" s="16" t="str">
        <f aca="false">IF(B3758="","",IF(AND(D3758="Formalização",E3758="Concluído"),IF(COUNTIFS($B$2:$B$5001,B3758,$E$2:$E$5001,"Em ajustes",$A$2:$A$5001,"&lt;"&amp;I3758)&gt;0,1,0),0))</f>
        <v/>
      </c>
      <c r="L3758" s="16" t="str">
        <f aca="false">IF(B3758="","",IF(A3758=_xlfn.MAXIFS($A$2:$A$5001,$B$2:$B$5001,B3758,$I$2:$I$5001,I3758),1,0))</f>
        <v/>
      </c>
    </row>
    <row r="3759" customFormat="false" ht="15" hidden="false" customHeight="false" outlineLevel="0" collapsed="false">
      <c r="I3759" s="15" t="str">
        <f aca="false">IF(A3759="","",INT(A3759))</f>
        <v/>
      </c>
      <c r="J3759" s="16" t="str">
        <f aca="false">IF(B3759="","",IF(A3759=_xlfn.MINIFS($A$2:$A$5001,$B$2:$B$5001,B3759),1,0))</f>
        <v/>
      </c>
      <c r="K3759" s="16" t="str">
        <f aca="false">IF(B3759="","",IF(AND(D3759="Formalização",E3759="Concluído"),IF(COUNTIFS($B$2:$B$5001,B3759,$E$2:$E$5001,"Em ajustes",$A$2:$A$5001,"&lt;"&amp;I3759)&gt;0,1,0),0))</f>
        <v/>
      </c>
      <c r="L3759" s="16" t="str">
        <f aca="false">IF(B3759="","",IF(A3759=_xlfn.MAXIFS($A$2:$A$5001,$B$2:$B$5001,B3759,$I$2:$I$5001,I3759),1,0))</f>
        <v/>
      </c>
    </row>
    <row r="3760" customFormat="false" ht="15" hidden="false" customHeight="false" outlineLevel="0" collapsed="false">
      <c r="I3760" s="15" t="str">
        <f aca="false">IF(A3760="","",INT(A3760))</f>
        <v/>
      </c>
      <c r="J3760" s="16" t="str">
        <f aca="false">IF(B3760="","",IF(A3760=_xlfn.MINIFS($A$2:$A$5001,$B$2:$B$5001,B3760),1,0))</f>
        <v/>
      </c>
      <c r="K3760" s="16" t="str">
        <f aca="false">IF(B3760="","",IF(AND(D3760="Formalização",E3760="Concluído"),IF(COUNTIFS($B$2:$B$5001,B3760,$E$2:$E$5001,"Em ajustes",$A$2:$A$5001,"&lt;"&amp;I3760)&gt;0,1,0),0))</f>
        <v/>
      </c>
      <c r="L3760" s="16" t="str">
        <f aca="false">IF(B3760="","",IF(A3760=_xlfn.MAXIFS($A$2:$A$5001,$B$2:$B$5001,B3760,$I$2:$I$5001,I3760),1,0))</f>
        <v/>
      </c>
    </row>
    <row r="3761" customFormat="false" ht="15" hidden="false" customHeight="false" outlineLevel="0" collapsed="false">
      <c r="I3761" s="15" t="str">
        <f aca="false">IF(A3761="","",INT(A3761))</f>
        <v/>
      </c>
      <c r="J3761" s="16" t="str">
        <f aca="false">IF(B3761="","",IF(A3761=_xlfn.MINIFS($A$2:$A$5001,$B$2:$B$5001,B3761),1,0))</f>
        <v/>
      </c>
      <c r="K3761" s="16" t="str">
        <f aca="false">IF(B3761="","",IF(AND(D3761="Formalização",E3761="Concluído"),IF(COUNTIFS($B$2:$B$5001,B3761,$E$2:$E$5001,"Em ajustes",$A$2:$A$5001,"&lt;"&amp;I3761)&gt;0,1,0),0))</f>
        <v/>
      </c>
      <c r="L3761" s="16" t="str">
        <f aca="false">IF(B3761="","",IF(A3761=_xlfn.MAXIFS($A$2:$A$5001,$B$2:$B$5001,B3761,$I$2:$I$5001,I3761),1,0))</f>
        <v/>
      </c>
    </row>
    <row r="3762" customFormat="false" ht="15" hidden="false" customHeight="false" outlineLevel="0" collapsed="false">
      <c r="I3762" s="15" t="str">
        <f aca="false">IF(A3762="","",INT(A3762))</f>
        <v/>
      </c>
      <c r="J3762" s="16" t="str">
        <f aca="false">IF(B3762="","",IF(A3762=_xlfn.MINIFS($A$2:$A$5001,$B$2:$B$5001,B3762),1,0))</f>
        <v/>
      </c>
      <c r="K3762" s="16" t="str">
        <f aca="false">IF(B3762="","",IF(AND(D3762="Formalização",E3762="Concluído"),IF(COUNTIFS($B$2:$B$5001,B3762,$E$2:$E$5001,"Em ajustes",$A$2:$A$5001,"&lt;"&amp;I3762)&gt;0,1,0),0))</f>
        <v/>
      </c>
      <c r="L3762" s="16" t="str">
        <f aca="false">IF(B3762="","",IF(A3762=_xlfn.MAXIFS($A$2:$A$5001,$B$2:$B$5001,B3762,$I$2:$I$5001,I3762),1,0))</f>
        <v/>
      </c>
    </row>
    <row r="3763" customFormat="false" ht="15" hidden="false" customHeight="false" outlineLevel="0" collapsed="false">
      <c r="I3763" s="15" t="str">
        <f aca="false">IF(A3763="","",INT(A3763))</f>
        <v/>
      </c>
      <c r="J3763" s="16" t="str">
        <f aca="false">IF(B3763="","",IF(A3763=_xlfn.MINIFS($A$2:$A$5001,$B$2:$B$5001,B3763),1,0))</f>
        <v/>
      </c>
      <c r="K3763" s="16" t="str">
        <f aca="false">IF(B3763="","",IF(AND(D3763="Formalização",E3763="Concluído"),IF(COUNTIFS($B$2:$B$5001,B3763,$E$2:$E$5001,"Em ajustes",$A$2:$A$5001,"&lt;"&amp;I3763)&gt;0,1,0),0))</f>
        <v/>
      </c>
      <c r="L3763" s="16" t="str">
        <f aca="false">IF(B3763="","",IF(A3763=_xlfn.MAXIFS($A$2:$A$5001,$B$2:$B$5001,B3763,$I$2:$I$5001,I3763),1,0))</f>
        <v/>
      </c>
    </row>
    <row r="3764" customFormat="false" ht="15" hidden="false" customHeight="false" outlineLevel="0" collapsed="false">
      <c r="I3764" s="15" t="str">
        <f aca="false">IF(A3764="","",INT(A3764))</f>
        <v/>
      </c>
      <c r="J3764" s="16" t="str">
        <f aca="false">IF(B3764="","",IF(A3764=_xlfn.MINIFS($A$2:$A$5001,$B$2:$B$5001,B3764),1,0))</f>
        <v/>
      </c>
      <c r="K3764" s="16" t="str">
        <f aca="false">IF(B3764="","",IF(AND(D3764="Formalização",E3764="Concluído"),IF(COUNTIFS($B$2:$B$5001,B3764,$E$2:$E$5001,"Em ajustes",$A$2:$A$5001,"&lt;"&amp;I3764)&gt;0,1,0),0))</f>
        <v/>
      </c>
      <c r="L3764" s="16" t="str">
        <f aca="false">IF(B3764="","",IF(A3764=_xlfn.MAXIFS($A$2:$A$5001,$B$2:$B$5001,B3764,$I$2:$I$5001,I3764),1,0))</f>
        <v/>
      </c>
    </row>
    <row r="3765" customFormat="false" ht="15" hidden="false" customHeight="false" outlineLevel="0" collapsed="false">
      <c r="I3765" s="15" t="str">
        <f aca="false">IF(A3765="","",INT(A3765))</f>
        <v/>
      </c>
      <c r="J3765" s="16" t="str">
        <f aca="false">IF(B3765="","",IF(A3765=_xlfn.MINIFS($A$2:$A$5001,$B$2:$B$5001,B3765),1,0))</f>
        <v/>
      </c>
      <c r="K3765" s="16" t="str">
        <f aca="false">IF(B3765="","",IF(AND(D3765="Formalização",E3765="Concluído"),IF(COUNTIFS($B$2:$B$5001,B3765,$E$2:$E$5001,"Em ajustes",$A$2:$A$5001,"&lt;"&amp;I3765)&gt;0,1,0),0))</f>
        <v/>
      </c>
      <c r="L3765" s="16" t="str">
        <f aca="false">IF(B3765="","",IF(A3765=_xlfn.MAXIFS($A$2:$A$5001,$B$2:$B$5001,B3765,$I$2:$I$5001,I3765),1,0))</f>
        <v/>
      </c>
    </row>
    <row r="3766" customFormat="false" ht="15" hidden="false" customHeight="false" outlineLevel="0" collapsed="false">
      <c r="I3766" s="15" t="str">
        <f aca="false">IF(A3766="","",INT(A3766))</f>
        <v/>
      </c>
      <c r="J3766" s="16" t="str">
        <f aca="false">IF(B3766="","",IF(A3766=_xlfn.MINIFS($A$2:$A$5001,$B$2:$B$5001,B3766),1,0))</f>
        <v/>
      </c>
      <c r="K3766" s="16" t="str">
        <f aca="false">IF(B3766="","",IF(AND(D3766="Formalização",E3766="Concluído"),IF(COUNTIFS($B$2:$B$5001,B3766,$E$2:$E$5001,"Em ajustes",$A$2:$A$5001,"&lt;"&amp;I3766)&gt;0,1,0),0))</f>
        <v/>
      </c>
      <c r="L3766" s="16" t="str">
        <f aca="false">IF(B3766="","",IF(A3766=_xlfn.MAXIFS($A$2:$A$5001,$B$2:$B$5001,B3766,$I$2:$I$5001,I3766),1,0))</f>
        <v/>
      </c>
    </row>
    <row r="3767" customFormat="false" ht="15" hidden="false" customHeight="false" outlineLevel="0" collapsed="false">
      <c r="I3767" s="15" t="str">
        <f aca="false">IF(A3767="","",INT(A3767))</f>
        <v/>
      </c>
      <c r="J3767" s="16" t="str">
        <f aca="false">IF(B3767="","",IF(A3767=_xlfn.MINIFS($A$2:$A$5001,$B$2:$B$5001,B3767),1,0))</f>
        <v/>
      </c>
      <c r="K3767" s="16" t="str">
        <f aca="false">IF(B3767="","",IF(AND(D3767="Formalização",E3767="Concluído"),IF(COUNTIFS($B$2:$B$5001,B3767,$E$2:$E$5001,"Em ajustes",$A$2:$A$5001,"&lt;"&amp;I3767)&gt;0,1,0),0))</f>
        <v/>
      </c>
      <c r="L3767" s="16" t="str">
        <f aca="false">IF(B3767="","",IF(A3767=_xlfn.MAXIFS($A$2:$A$5001,$B$2:$B$5001,B3767,$I$2:$I$5001,I3767),1,0))</f>
        <v/>
      </c>
    </row>
    <row r="3768" customFormat="false" ht="15" hidden="false" customHeight="false" outlineLevel="0" collapsed="false">
      <c r="I3768" s="15" t="str">
        <f aca="false">IF(A3768="","",INT(A3768))</f>
        <v/>
      </c>
      <c r="J3768" s="16" t="str">
        <f aca="false">IF(B3768="","",IF(A3768=_xlfn.MINIFS($A$2:$A$5001,$B$2:$B$5001,B3768),1,0))</f>
        <v/>
      </c>
      <c r="K3768" s="16" t="str">
        <f aca="false">IF(B3768="","",IF(AND(D3768="Formalização",E3768="Concluído"),IF(COUNTIFS($B$2:$B$5001,B3768,$E$2:$E$5001,"Em ajustes",$A$2:$A$5001,"&lt;"&amp;I3768)&gt;0,1,0),0))</f>
        <v/>
      </c>
      <c r="L3768" s="16" t="str">
        <f aca="false">IF(B3768="","",IF(A3768=_xlfn.MAXIFS($A$2:$A$5001,$B$2:$B$5001,B3768,$I$2:$I$5001,I3768),1,0))</f>
        <v/>
      </c>
    </row>
    <row r="3769" customFormat="false" ht="15" hidden="false" customHeight="false" outlineLevel="0" collapsed="false">
      <c r="I3769" s="15" t="str">
        <f aca="false">IF(A3769="","",INT(A3769))</f>
        <v/>
      </c>
      <c r="J3769" s="16" t="str">
        <f aca="false">IF(B3769="","",IF(A3769=_xlfn.MINIFS($A$2:$A$5001,$B$2:$B$5001,B3769),1,0))</f>
        <v/>
      </c>
      <c r="K3769" s="16" t="str">
        <f aca="false">IF(B3769="","",IF(AND(D3769="Formalização",E3769="Concluído"),IF(COUNTIFS($B$2:$B$5001,B3769,$E$2:$E$5001,"Em ajustes",$A$2:$A$5001,"&lt;"&amp;I3769)&gt;0,1,0),0))</f>
        <v/>
      </c>
      <c r="L3769" s="16" t="str">
        <f aca="false">IF(B3769="","",IF(A3769=_xlfn.MAXIFS($A$2:$A$5001,$B$2:$B$5001,B3769,$I$2:$I$5001,I3769),1,0))</f>
        <v/>
      </c>
    </row>
    <row r="3770" customFormat="false" ht="15" hidden="false" customHeight="false" outlineLevel="0" collapsed="false">
      <c r="I3770" s="15" t="str">
        <f aca="false">IF(A3770="","",INT(A3770))</f>
        <v/>
      </c>
      <c r="J3770" s="16" t="str">
        <f aca="false">IF(B3770="","",IF(A3770=_xlfn.MINIFS($A$2:$A$5001,$B$2:$B$5001,B3770),1,0))</f>
        <v/>
      </c>
      <c r="K3770" s="16" t="str">
        <f aca="false">IF(B3770="","",IF(AND(D3770="Formalização",E3770="Concluído"),IF(COUNTIFS($B$2:$B$5001,B3770,$E$2:$E$5001,"Em ajustes",$A$2:$A$5001,"&lt;"&amp;I3770)&gt;0,1,0),0))</f>
        <v/>
      </c>
      <c r="L3770" s="16" t="str">
        <f aca="false">IF(B3770="","",IF(A3770=_xlfn.MAXIFS($A$2:$A$5001,$B$2:$B$5001,B3770,$I$2:$I$5001,I3770),1,0))</f>
        <v/>
      </c>
    </row>
    <row r="3771" customFormat="false" ht="15" hidden="false" customHeight="false" outlineLevel="0" collapsed="false">
      <c r="I3771" s="15" t="str">
        <f aca="false">IF(A3771="","",INT(A3771))</f>
        <v/>
      </c>
      <c r="J3771" s="16" t="str">
        <f aca="false">IF(B3771="","",IF(A3771=_xlfn.MINIFS($A$2:$A$5001,$B$2:$B$5001,B3771),1,0))</f>
        <v/>
      </c>
      <c r="K3771" s="16" t="str">
        <f aca="false">IF(B3771="","",IF(AND(D3771="Formalização",E3771="Concluído"),IF(COUNTIFS($B$2:$B$5001,B3771,$E$2:$E$5001,"Em ajustes",$A$2:$A$5001,"&lt;"&amp;I3771)&gt;0,1,0),0))</f>
        <v/>
      </c>
      <c r="L3771" s="16" t="str">
        <f aca="false">IF(B3771="","",IF(A3771=_xlfn.MAXIFS($A$2:$A$5001,$B$2:$B$5001,B3771,$I$2:$I$5001,I3771),1,0))</f>
        <v/>
      </c>
    </row>
    <row r="3772" customFormat="false" ht="15" hidden="false" customHeight="false" outlineLevel="0" collapsed="false">
      <c r="I3772" s="15" t="str">
        <f aca="false">IF(A3772="","",INT(A3772))</f>
        <v/>
      </c>
      <c r="J3772" s="16" t="str">
        <f aca="false">IF(B3772="","",IF(A3772=_xlfn.MINIFS($A$2:$A$5001,$B$2:$B$5001,B3772),1,0))</f>
        <v/>
      </c>
      <c r="K3772" s="16" t="str">
        <f aca="false">IF(B3772="","",IF(AND(D3772="Formalização",E3772="Concluído"),IF(COUNTIFS($B$2:$B$5001,B3772,$E$2:$E$5001,"Em ajustes",$A$2:$A$5001,"&lt;"&amp;I3772)&gt;0,1,0),0))</f>
        <v/>
      </c>
      <c r="L3772" s="16" t="str">
        <f aca="false">IF(B3772="","",IF(A3772=_xlfn.MAXIFS($A$2:$A$5001,$B$2:$B$5001,B3772,$I$2:$I$5001,I3772),1,0))</f>
        <v/>
      </c>
    </row>
    <row r="3773" customFormat="false" ht="15" hidden="false" customHeight="false" outlineLevel="0" collapsed="false">
      <c r="I3773" s="15" t="str">
        <f aca="false">IF(A3773="","",INT(A3773))</f>
        <v/>
      </c>
      <c r="J3773" s="16" t="str">
        <f aca="false">IF(B3773="","",IF(A3773=_xlfn.MINIFS($A$2:$A$5001,$B$2:$B$5001,B3773),1,0))</f>
        <v/>
      </c>
      <c r="K3773" s="16" t="str">
        <f aca="false">IF(B3773="","",IF(AND(D3773="Formalização",E3773="Concluído"),IF(COUNTIFS($B$2:$B$5001,B3773,$E$2:$E$5001,"Em ajustes",$A$2:$A$5001,"&lt;"&amp;I3773)&gt;0,1,0),0))</f>
        <v/>
      </c>
      <c r="L3773" s="16" t="str">
        <f aca="false">IF(B3773="","",IF(A3773=_xlfn.MAXIFS($A$2:$A$5001,$B$2:$B$5001,B3773,$I$2:$I$5001,I3773),1,0))</f>
        <v/>
      </c>
    </row>
    <row r="3774" customFormat="false" ht="15" hidden="false" customHeight="false" outlineLevel="0" collapsed="false">
      <c r="I3774" s="15" t="str">
        <f aca="false">IF(A3774="","",INT(A3774))</f>
        <v/>
      </c>
      <c r="J3774" s="16" t="str">
        <f aca="false">IF(B3774="","",IF(A3774=_xlfn.MINIFS($A$2:$A$5001,$B$2:$B$5001,B3774),1,0))</f>
        <v/>
      </c>
      <c r="K3774" s="16" t="str">
        <f aca="false">IF(B3774="","",IF(AND(D3774="Formalização",E3774="Concluído"),IF(COUNTIFS($B$2:$B$5001,B3774,$E$2:$E$5001,"Em ajustes",$A$2:$A$5001,"&lt;"&amp;I3774)&gt;0,1,0),0))</f>
        <v/>
      </c>
      <c r="L3774" s="16" t="str">
        <f aca="false">IF(B3774="","",IF(A3774=_xlfn.MAXIFS($A$2:$A$5001,$B$2:$B$5001,B3774,$I$2:$I$5001,I3774),1,0))</f>
        <v/>
      </c>
    </row>
    <row r="3775" customFormat="false" ht="15" hidden="false" customHeight="false" outlineLevel="0" collapsed="false">
      <c r="I3775" s="15" t="str">
        <f aca="false">IF(A3775="","",INT(A3775))</f>
        <v/>
      </c>
      <c r="J3775" s="16" t="str">
        <f aca="false">IF(B3775="","",IF(A3775=_xlfn.MINIFS($A$2:$A$5001,$B$2:$B$5001,B3775),1,0))</f>
        <v/>
      </c>
      <c r="K3775" s="16" t="str">
        <f aca="false">IF(B3775="","",IF(AND(D3775="Formalização",E3775="Concluído"),IF(COUNTIFS($B$2:$B$5001,B3775,$E$2:$E$5001,"Em ajustes",$A$2:$A$5001,"&lt;"&amp;I3775)&gt;0,1,0),0))</f>
        <v/>
      </c>
      <c r="L3775" s="16" t="str">
        <f aca="false">IF(B3775="","",IF(A3775=_xlfn.MAXIFS($A$2:$A$5001,$B$2:$B$5001,B3775,$I$2:$I$5001,I3775),1,0))</f>
        <v/>
      </c>
    </row>
    <row r="3776" customFormat="false" ht="15" hidden="false" customHeight="false" outlineLevel="0" collapsed="false">
      <c r="I3776" s="15" t="str">
        <f aca="false">IF(A3776="","",INT(A3776))</f>
        <v/>
      </c>
      <c r="J3776" s="16" t="str">
        <f aca="false">IF(B3776="","",IF(A3776=_xlfn.MINIFS($A$2:$A$5001,$B$2:$B$5001,B3776),1,0))</f>
        <v/>
      </c>
      <c r="K3776" s="16" t="str">
        <f aca="false">IF(B3776="","",IF(AND(D3776="Formalização",E3776="Concluído"),IF(COUNTIFS($B$2:$B$5001,B3776,$E$2:$E$5001,"Em ajustes",$A$2:$A$5001,"&lt;"&amp;I3776)&gt;0,1,0),0))</f>
        <v/>
      </c>
      <c r="L3776" s="16" t="str">
        <f aca="false">IF(B3776="","",IF(A3776=_xlfn.MAXIFS($A$2:$A$5001,$B$2:$B$5001,B3776,$I$2:$I$5001,I3776),1,0))</f>
        <v/>
      </c>
    </row>
    <row r="3777" customFormat="false" ht="15" hidden="false" customHeight="false" outlineLevel="0" collapsed="false">
      <c r="I3777" s="15" t="str">
        <f aca="false">IF(A3777="","",INT(A3777))</f>
        <v/>
      </c>
      <c r="J3777" s="16" t="str">
        <f aca="false">IF(B3777="","",IF(A3777=_xlfn.MINIFS($A$2:$A$5001,$B$2:$B$5001,B3777),1,0))</f>
        <v/>
      </c>
      <c r="K3777" s="16" t="str">
        <f aca="false">IF(B3777="","",IF(AND(D3777="Formalização",E3777="Concluído"),IF(COUNTIFS($B$2:$B$5001,B3777,$E$2:$E$5001,"Em ajustes",$A$2:$A$5001,"&lt;"&amp;I3777)&gt;0,1,0),0))</f>
        <v/>
      </c>
      <c r="L3777" s="16" t="str">
        <f aca="false">IF(B3777="","",IF(A3777=_xlfn.MAXIFS($A$2:$A$5001,$B$2:$B$5001,B3777,$I$2:$I$5001,I3777),1,0))</f>
        <v/>
      </c>
    </row>
    <row r="3778" customFormat="false" ht="15" hidden="false" customHeight="false" outlineLevel="0" collapsed="false">
      <c r="I3778" s="15" t="str">
        <f aca="false">IF(A3778="","",INT(A3778))</f>
        <v/>
      </c>
      <c r="J3778" s="16" t="str">
        <f aca="false">IF(B3778="","",IF(A3778=_xlfn.MINIFS($A$2:$A$5001,$B$2:$B$5001,B3778),1,0))</f>
        <v/>
      </c>
      <c r="K3778" s="16" t="str">
        <f aca="false">IF(B3778="","",IF(AND(D3778="Formalização",E3778="Concluído"),IF(COUNTIFS($B$2:$B$5001,B3778,$E$2:$E$5001,"Em ajustes",$A$2:$A$5001,"&lt;"&amp;I3778)&gt;0,1,0),0))</f>
        <v/>
      </c>
      <c r="L3778" s="16" t="str">
        <f aca="false">IF(B3778="","",IF(A3778=_xlfn.MAXIFS($A$2:$A$5001,$B$2:$B$5001,B3778,$I$2:$I$5001,I3778),1,0))</f>
        <v/>
      </c>
    </row>
    <row r="3779" customFormat="false" ht="15" hidden="false" customHeight="false" outlineLevel="0" collapsed="false">
      <c r="I3779" s="15" t="str">
        <f aca="false">IF(A3779="","",INT(A3779))</f>
        <v/>
      </c>
      <c r="J3779" s="16" t="str">
        <f aca="false">IF(B3779="","",IF(A3779=_xlfn.MINIFS($A$2:$A$5001,$B$2:$B$5001,B3779),1,0))</f>
        <v/>
      </c>
      <c r="K3779" s="16" t="str">
        <f aca="false">IF(B3779="","",IF(AND(D3779="Formalização",E3779="Concluído"),IF(COUNTIFS($B$2:$B$5001,B3779,$E$2:$E$5001,"Em ajustes",$A$2:$A$5001,"&lt;"&amp;I3779)&gt;0,1,0),0))</f>
        <v/>
      </c>
      <c r="L3779" s="16" t="str">
        <f aca="false">IF(B3779="","",IF(A3779=_xlfn.MAXIFS($A$2:$A$5001,$B$2:$B$5001,B3779,$I$2:$I$5001,I3779),1,0))</f>
        <v/>
      </c>
    </row>
    <row r="3780" customFormat="false" ht="15" hidden="false" customHeight="false" outlineLevel="0" collapsed="false">
      <c r="I3780" s="15" t="str">
        <f aca="false">IF(A3780="","",INT(A3780))</f>
        <v/>
      </c>
      <c r="J3780" s="16" t="str">
        <f aca="false">IF(B3780="","",IF(A3780=_xlfn.MINIFS($A$2:$A$5001,$B$2:$B$5001,B3780),1,0))</f>
        <v/>
      </c>
      <c r="K3780" s="16" t="str">
        <f aca="false">IF(B3780="","",IF(AND(D3780="Formalização",E3780="Concluído"),IF(COUNTIFS($B$2:$B$5001,B3780,$E$2:$E$5001,"Em ajustes",$A$2:$A$5001,"&lt;"&amp;I3780)&gt;0,1,0),0))</f>
        <v/>
      </c>
      <c r="L3780" s="16" t="str">
        <f aca="false">IF(B3780="","",IF(A3780=_xlfn.MAXIFS($A$2:$A$5001,$B$2:$B$5001,B3780,$I$2:$I$5001,I3780),1,0))</f>
        <v/>
      </c>
    </row>
    <row r="3781" customFormat="false" ht="15" hidden="false" customHeight="false" outlineLevel="0" collapsed="false">
      <c r="I3781" s="15" t="str">
        <f aca="false">IF(A3781="","",INT(A3781))</f>
        <v/>
      </c>
      <c r="J3781" s="16" t="str">
        <f aca="false">IF(B3781="","",IF(A3781=_xlfn.MINIFS($A$2:$A$5001,$B$2:$B$5001,B3781),1,0))</f>
        <v/>
      </c>
      <c r="K3781" s="16" t="str">
        <f aca="false">IF(B3781="","",IF(AND(D3781="Formalização",E3781="Concluído"),IF(COUNTIFS($B$2:$B$5001,B3781,$E$2:$E$5001,"Em ajustes",$A$2:$A$5001,"&lt;"&amp;I3781)&gt;0,1,0),0))</f>
        <v/>
      </c>
      <c r="L3781" s="16" t="str">
        <f aca="false">IF(B3781="","",IF(A3781=_xlfn.MAXIFS($A$2:$A$5001,$B$2:$B$5001,B3781,$I$2:$I$5001,I3781),1,0))</f>
        <v/>
      </c>
    </row>
    <row r="3782" customFormat="false" ht="15" hidden="false" customHeight="false" outlineLevel="0" collapsed="false">
      <c r="I3782" s="15" t="str">
        <f aca="false">IF(A3782="","",INT(A3782))</f>
        <v/>
      </c>
      <c r="J3782" s="16" t="str">
        <f aca="false">IF(B3782="","",IF(A3782=_xlfn.MINIFS($A$2:$A$5001,$B$2:$B$5001,B3782),1,0))</f>
        <v/>
      </c>
      <c r="K3782" s="16" t="str">
        <f aca="false">IF(B3782="","",IF(AND(D3782="Formalização",E3782="Concluído"),IF(COUNTIFS($B$2:$B$5001,B3782,$E$2:$E$5001,"Em ajustes",$A$2:$A$5001,"&lt;"&amp;I3782)&gt;0,1,0),0))</f>
        <v/>
      </c>
      <c r="L3782" s="16" t="str">
        <f aca="false">IF(B3782="","",IF(A3782=_xlfn.MAXIFS($A$2:$A$5001,$B$2:$B$5001,B3782,$I$2:$I$5001,I3782),1,0))</f>
        <v/>
      </c>
    </row>
    <row r="3783" customFormat="false" ht="15" hidden="false" customHeight="false" outlineLevel="0" collapsed="false">
      <c r="I3783" s="15" t="str">
        <f aca="false">IF(A3783="","",INT(A3783))</f>
        <v/>
      </c>
      <c r="J3783" s="16" t="str">
        <f aca="false">IF(B3783="","",IF(A3783=_xlfn.MINIFS($A$2:$A$5001,$B$2:$B$5001,B3783),1,0))</f>
        <v/>
      </c>
      <c r="K3783" s="16" t="str">
        <f aca="false">IF(B3783="","",IF(AND(D3783="Formalização",E3783="Concluído"),IF(COUNTIFS($B$2:$B$5001,B3783,$E$2:$E$5001,"Em ajustes",$A$2:$A$5001,"&lt;"&amp;I3783)&gt;0,1,0),0))</f>
        <v/>
      </c>
      <c r="L3783" s="16" t="str">
        <f aca="false">IF(B3783="","",IF(A3783=_xlfn.MAXIFS($A$2:$A$5001,$B$2:$B$5001,B3783,$I$2:$I$5001,I3783),1,0))</f>
        <v/>
      </c>
    </row>
    <row r="3784" customFormat="false" ht="15" hidden="false" customHeight="false" outlineLevel="0" collapsed="false">
      <c r="I3784" s="15" t="str">
        <f aca="false">IF(A3784="","",INT(A3784))</f>
        <v/>
      </c>
      <c r="J3784" s="16" t="str">
        <f aca="false">IF(B3784="","",IF(A3784=_xlfn.MINIFS($A$2:$A$5001,$B$2:$B$5001,B3784),1,0))</f>
        <v/>
      </c>
      <c r="K3784" s="16" t="str">
        <f aca="false">IF(B3784="","",IF(AND(D3784="Formalização",E3784="Concluído"),IF(COUNTIFS($B$2:$B$5001,B3784,$E$2:$E$5001,"Em ajustes",$A$2:$A$5001,"&lt;"&amp;I3784)&gt;0,1,0),0))</f>
        <v/>
      </c>
      <c r="L3784" s="16" t="str">
        <f aca="false">IF(B3784="","",IF(A3784=_xlfn.MAXIFS($A$2:$A$5001,$B$2:$B$5001,B3784,$I$2:$I$5001,I3784),1,0))</f>
        <v/>
      </c>
    </row>
    <row r="3785" customFormat="false" ht="15" hidden="false" customHeight="false" outlineLevel="0" collapsed="false">
      <c r="I3785" s="15" t="str">
        <f aca="false">IF(A3785="","",INT(A3785))</f>
        <v/>
      </c>
      <c r="J3785" s="16" t="str">
        <f aca="false">IF(B3785="","",IF(A3785=_xlfn.MINIFS($A$2:$A$5001,$B$2:$B$5001,B3785),1,0))</f>
        <v/>
      </c>
      <c r="K3785" s="16" t="str">
        <f aca="false">IF(B3785="","",IF(AND(D3785="Formalização",E3785="Concluído"),IF(COUNTIFS($B$2:$B$5001,B3785,$E$2:$E$5001,"Em ajustes",$A$2:$A$5001,"&lt;"&amp;I3785)&gt;0,1,0),0))</f>
        <v/>
      </c>
      <c r="L3785" s="16" t="str">
        <f aca="false">IF(B3785="","",IF(A3785=_xlfn.MAXIFS($A$2:$A$5001,$B$2:$B$5001,B3785,$I$2:$I$5001,I3785),1,0))</f>
        <v/>
      </c>
    </row>
    <row r="3786" customFormat="false" ht="15" hidden="false" customHeight="false" outlineLevel="0" collapsed="false">
      <c r="I3786" s="15" t="str">
        <f aca="false">IF(A3786="","",INT(A3786))</f>
        <v/>
      </c>
      <c r="J3786" s="16" t="str">
        <f aca="false">IF(B3786="","",IF(A3786=_xlfn.MINIFS($A$2:$A$5001,$B$2:$B$5001,B3786),1,0))</f>
        <v/>
      </c>
      <c r="K3786" s="16" t="str">
        <f aca="false">IF(B3786="","",IF(AND(D3786="Formalização",E3786="Concluído"),IF(COUNTIFS($B$2:$B$5001,B3786,$E$2:$E$5001,"Em ajustes",$A$2:$A$5001,"&lt;"&amp;I3786)&gt;0,1,0),0))</f>
        <v/>
      </c>
      <c r="L3786" s="16" t="str">
        <f aca="false">IF(B3786="","",IF(A3786=_xlfn.MAXIFS($A$2:$A$5001,$B$2:$B$5001,B3786,$I$2:$I$5001,I3786),1,0))</f>
        <v/>
      </c>
    </row>
    <row r="3787" customFormat="false" ht="15" hidden="false" customHeight="false" outlineLevel="0" collapsed="false">
      <c r="I3787" s="15" t="str">
        <f aca="false">IF(A3787="","",INT(A3787))</f>
        <v/>
      </c>
      <c r="J3787" s="16" t="str">
        <f aca="false">IF(B3787="","",IF(A3787=_xlfn.MINIFS($A$2:$A$5001,$B$2:$B$5001,B3787),1,0))</f>
        <v/>
      </c>
      <c r="K3787" s="16" t="str">
        <f aca="false">IF(B3787="","",IF(AND(D3787="Formalização",E3787="Concluído"),IF(COUNTIFS($B$2:$B$5001,B3787,$E$2:$E$5001,"Em ajustes",$A$2:$A$5001,"&lt;"&amp;I3787)&gt;0,1,0),0))</f>
        <v/>
      </c>
      <c r="L3787" s="16" t="str">
        <f aca="false">IF(B3787="","",IF(A3787=_xlfn.MAXIFS($A$2:$A$5001,$B$2:$B$5001,B3787,$I$2:$I$5001,I3787),1,0))</f>
        <v/>
      </c>
    </row>
    <row r="3788" customFormat="false" ht="15" hidden="false" customHeight="false" outlineLevel="0" collapsed="false">
      <c r="I3788" s="15" t="str">
        <f aca="false">IF(A3788="","",INT(A3788))</f>
        <v/>
      </c>
      <c r="J3788" s="16" t="str">
        <f aca="false">IF(B3788="","",IF(A3788=_xlfn.MINIFS($A$2:$A$5001,$B$2:$B$5001,B3788),1,0))</f>
        <v/>
      </c>
      <c r="K3788" s="16" t="str">
        <f aca="false">IF(B3788="","",IF(AND(D3788="Formalização",E3788="Concluído"),IF(COUNTIFS($B$2:$B$5001,B3788,$E$2:$E$5001,"Em ajustes",$A$2:$A$5001,"&lt;"&amp;I3788)&gt;0,1,0),0))</f>
        <v/>
      </c>
      <c r="L3788" s="16" t="str">
        <f aca="false">IF(B3788="","",IF(A3788=_xlfn.MAXIFS($A$2:$A$5001,$B$2:$B$5001,B3788,$I$2:$I$5001,I3788),1,0))</f>
        <v/>
      </c>
    </row>
    <row r="3789" customFormat="false" ht="15" hidden="false" customHeight="false" outlineLevel="0" collapsed="false">
      <c r="I3789" s="15" t="str">
        <f aca="false">IF(A3789="","",INT(A3789))</f>
        <v/>
      </c>
      <c r="J3789" s="16" t="str">
        <f aca="false">IF(B3789="","",IF(A3789=_xlfn.MINIFS($A$2:$A$5001,$B$2:$B$5001,B3789),1,0))</f>
        <v/>
      </c>
      <c r="K3789" s="16" t="str">
        <f aca="false">IF(B3789="","",IF(AND(D3789="Formalização",E3789="Concluído"),IF(COUNTIFS($B$2:$B$5001,B3789,$E$2:$E$5001,"Em ajustes",$A$2:$A$5001,"&lt;"&amp;I3789)&gt;0,1,0),0))</f>
        <v/>
      </c>
      <c r="L3789" s="16" t="str">
        <f aca="false">IF(B3789="","",IF(A3789=_xlfn.MAXIFS($A$2:$A$5001,$B$2:$B$5001,B3789,$I$2:$I$5001,I3789),1,0))</f>
        <v/>
      </c>
    </row>
    <row r="3790" customFormat="false" ht="15" hidden="false" customHeight="false" outlineLevel="0" collapsed="false">
      <c r="I3790" s="15" t="str">
        <f aca="false">IF(A3790="","",INT(A3790))</f>
        <v/>
      </c>
      <c r="J3790" s="16" t="str">
        <f aca="false">IF(B3790="","",IF(A3790=_xlfn.MINIFS($A$2:$A$5001,$B$2:$B$5001,B3790),1,0))</f>
        <v/>
      </c>
      <c r="K3790" s="16" t="str">
        <f aca="false">IF(B3790="","",IF(AND(D3790="Formalização",E3790="Concluído"),IF(COUNTIFS($B$2:$B$5001,B3790,$E$2:$E$5001,"Em ajustes",$A$2:$A$5001,"&lt;"&amp;I3790)&gt;0,1,0),0))</f>
        <v/>
      </c>
      <c r="L3790" s="16" t="str">
        <f aca="false">IF(B3790="","",IF(A3790=_xlfn.MAXIFS($A$2:$A$5001,$B$2:$B$5001,B3790,$I$2:$I$5001,I3790),1,0))</f>
        <v/>
      </c>
    </row>
    <row r="3791" customFormat="false" ht="15" hidden="false" customHeight="false" outlineLevel="0" collapsed="false">
      <c r="I3791" s="15" t="str">
        <f aca="false">IF(A3791="","",INT(A3791))</f>
        <v/>
      </c>
      <c r="J3791" s="16" t="str">
        <f aca="false">IF(B3791="","",IF(A3791=_xlfn.MINIFS($A$2:$A$5001,$B$2:$B$5001,B3791),1,0))</f>
        <v/>
      </c>
      <c r="K3791" s="16" t="str">
        <f aca="false">IF(B3791="","",IF(AND(D3791="Formalização",E3791="Concluído"),IF(COUNTIFS($B$2:$B$5001,B3791,$E$2:$E$5001,"Em ajustes",$A$2:$A$5001,"&lt;"&amp;I3791)&gt;0,1,0),0))</f>
        <v/>
      </c>
      <c r="L3791" s="16" t="str">
        <f aca="false">IF(B3791="","",IF(A3791=_xlfn.MAXIFS($A$2:$A$5001,$B$2:$B$5001,B3791,$I$2:$I$5001,I3791),1,0))</f>
        <v/>
      </c>
    </row>
    <row r="3792" customFormat="false" ht="15" hidden="false" customHeight="false" outlineLevel="0" collapsed="false">
      <c r="I3792" s="15" t="str">
        <f aca="false">IF(A3792="","",INT(A3792))</f>
        <v/>
      </c>
      <c r="J3792" s="16" t="str">
        <f aca="false">IF(B3792="","",IF(A3792=_xlfn.MINIFS($A$2:$A$5001,$B$2:$B$5001,B3792),1,0))</f>
        <v/>
      </c>
      <c r="K3792" s="16" t="str">
        <f aca="false">IF(B3792="","",IF(AND(D3792="Formalização",E3792="Concluído"),IF(COUNTIFS($B$2:$B$5001,B3792,$E$2:$E$5001,"Em ajustes",$A$2:$A$5001,"&lt;"&amp;I3792)&gt;0,1,0),0))</f>
        <v/>
      </c>
      <c r="L3792" s="16" t="str">
        <f aca="false">IF(B3792="","",IF(A3792=_xlfn.MAXIFS($A$2:$A$5001,$B$2:$B$5001,B3792,$I$2:$I$5001,I3792),1,0))</f>
        <v/>
      </c>
    </row>
    <row r="3793" customFormat="false" ht="15" hidden="false" customHeight="false" outlineLevel="0" collapsed="false">
      <c r="I3793" s="15" t="str">
        <f aca="false">IF(A3793="","",INT(A3793))</f>
        <v/>
      </c>
      <c r="J3793" s="16" t="str">
        <f aca="false">IF(B3793="","",IF(A3793=_xlfn.MINIFS($A$2:$A$5001,$B$2:$B$5001,B3793),1,0))</f>
        <v/>
      </c>
      <c r="K3793" s="16" t="str">
        <f aca="false">IF(B3793="","",IF(AND(D3793="Formalização",E3793="Concluído"),IF(COUNTIFS($B$2:$B$5001,B3793,$E$2:$E$5001,"Em ajustes",$A$2:$A$5001,"&lt;"&amp;I3793)&gt;0,1,0),0))</f>
        <v/>
      </c>
      <c r="L3793" s="16" t="str">
        <f aca="false">IF(B3793="","",IF(A3793=_xlfn.MAXIFS($A$2:$A$5001,$B$2:$B$5001,B3793,$I$2:$I$5001,I3793),1,0))</f>
        <v/>
      </c>
    </row>
    <row r="3794" customFormat="false" ht="15" hidden="false" customHeight="false" outlineLevel="0" collapsed="false">
      <c r="I3794" s="15" t="str">
        <f aca="false">IF(A3794="","",INT(A3794))</f>
        <v/>
      </c>
      <c r="J3794" s="16" t="str">
        <f aca="false">IF(B3794="","",IF(A3794=_xlfn.MINIFS($A$2:$A$5001,$B$2:$B$5001,B3794),1,0))</f>
        <v/>
      </c>
      <c r="K3794" s="16" t="str">
        <f aca="false">IF(B3794="","",IF(AND(D3794="Formalização",E3794="Concluído"),IF(COUNTIFS($B$2:$B$5001,B3794,$E$2:$E$5001,"Em ajustes",$A$2:$A$5001,"&lt;"&amp;I3794)&gt;0,1,0),0))</f>
        <v/>
      </c>
      <c r="L3794" s="16" t="str">
        <f aca="false">IF(B3794="","",IF(A3794=_xlfn.MAXIFS($A$2:$A$5001,$B$2:$B$5001,B3794,$I$2:$I$5001,I3794),1,0))</f>
        <v/>
      </c>
    </row>
    <row r="3795" customFormat="false" ht="15" hidden="false" customHeight="false" outlineLevel="0" collapsed="false">
      <c r="I3795" s="15" t="str">
        <f aca="false">IF(A3795="","",INT(A3795))</f>
        <v/>
      </c>
      <c r="J3795" s="16" t="str">
        <f aca="false">IF(B3795="","",IF(A3795=_xlfn.MINIFS($A$2:$A$5001,$B$2:$B$5001,B3795),1,0))</f>
        <v/>
      </c>
      <c r="K3795" s="16" t="str">
        <f aca="false">IF(B3795="","",IF(AND(D3795="Formalização",E3795="Concluído"),IF(COUNTIFS($B$2:$B$5001,B3795,$E$2:$E$5001,"Em ajustes",$A$2:$A$5001,"&lt;"&amp;I3795)&gt;0,1,0),0))</f>
        <v/>
      </c>
      <c r="L3795" s="16" t="str">
        <f aca="false">IF(B3795="","",IF(A3795=_xlfn.MAXIFS($A$2:$A$5001,$B$2:$B$5001,B3795,$I$2:$I$5001,I3795),1,0))</f>
        <v/>
      </c>
    </row>
    <row r="3796" customFormat="false" ht="15" hidden="false" customHeight="false" outlineLevel="0" collapsed="false">
      <c r="I3796" s="15" t="str">
        <f aca="false">IF(A3796="","",INT(A3796))</f>
        <v/>
      </c>
      <c r="J3796" s="16" t="str">
        <f aca="false">IF(B3796="","",IF(A3796=_xlfn.MINIFS($A$2:$A$5001,$B$2:$B$5001,B3796),1,0))</f>
        <v/>
      </c>
      <c r="K3796" s="16" t="str">
        <f aca="false">IF(B3796="","",IF(AND(D3796="Formalização",E3796="Concluído"),IF(COUNTIFS($B$2:$B$5001,B3796,$E$2:$E$5001,"Em ajustes",$A$2:$A$5001,"&lt;"&amp;I3796)&gt;0,1,0),0))</f>
        <v/>
      </c>
      <c r="L3796" s="16" t="str">
        <f aca="false">IF(B3796="","",IF(A3796=_xlfn.MAXIFS($A$2:$A$5001,$B$2:$B$5001,B3796,$I$2:$I$5001,I3796),1,0))</f>
        <v/>
      </c>
    </row>
    <row r="3797" customFormat="false" ht="15" hidden="false" customHeight="false" outlineLevel="0" collapsed="false">
      <c r="I3797" s="15" t="str">
        <f aca="false">IF(A3797="","",INT(A3797))</f>
        <v/>
      </c>
      <c r="J3797" s="16" t="str">
        <f aca="false">IF(B3797="","",IF(A3797=_xlfn.MINIFS($A$2:$A$5001,$B$2:$B$5001,B3797),1,0))</f>
        <v/>
      </c>
      <c r="K3797" s="16" t="str">
        <f aca="false">IF(B3797="","",IF(AND(D3797="Formalização",E3797="Concluído"),IF(COUNTIFS($B$2:$B$5001,B3797,$E$2:$E$5001,"Em ajustes",$A$2:$A$5001,"&lt;"&amp;I3797)&gt;0,1,0),0))</f>
        <v/>
      </c>
      <c r="L3797" s="16" t="str">
        <f aca="false">IF(B3797="","",IF(A3797=_xlfn.MAXIFS($A$2:$A$5001,$B$2:$B$5001,B3797,$I$2:$I$5001,I3797),1,0))</f>
        <v/>
      </c>
    </row>
    <row r="3798" customFormat="false" ht="15" hidden="false" customHeight="false" outlineLevel="0" collapsed="false">
      <c r="I3798" s="15" t="str">
        <f aca="false">IF(A3798="","",INT(A3798))</f>
        <v/>
      </c>
      <c r="J3798" s="16" t="str">
        <f aca="false">IF(B3798="","",IF(A3798=_xlfn.MINIFS($A$2:$A$5001,$B$2:$B$5001,B3798),1,0))</f>
        <v/>
      </c>
      <c r="K3798" s="16" t="str">
        <f aca="false">IF(B3798="","",IF(AND(D3798="Formalização",E3798="Concluído"),IF(COUNTIFS($B$2:$B$5001,B3798,$E$2:$E$5001,"Em ajustes",$A$2:$A$5001,"&lt;"&amp;I3798)&gt;0,1,0),0))</f>
        <v/>
      </c>
      <c r="L3798" s="16" t="str">
        <f aca="false">IF(B3798="","",IF(A3798=_xlfn.MAXIFS($A$2:$A$5001,$B$2:$B$5001,B3798,$I$2:$I$5001,I3798),1,0))</f>
        <v/>
      </c>
    </row>
    <row r="3799" customFormat="false" ht="15" hidden="false" customHeight="false" outlineLevel="0" collapsed="false">
      <c r="I3799" s="15" t="str">
        <f aca="false">IF(A3799="","",INT(A3799))</f>
        <v/>
      </c>
      <c r="J3799" s="16" t="str">
        <f aca="false">IF(B3799="","",IF(A3799=_xlfn.MINIFS($A$2:$A$5001,$B$2:$B$5001,B3799),1,0))</f>
        <v/>
      </c>
      <c r="K3799" s="16" t="str">
        <f aca="false">IF(B3799="","",IF(AND(D3799="Formalização",E3799="Concluído"),IF(COUNTIFS($B$2:$B$5001,B3799,$E$2:$E$5001,"Em ajustes",$A$2:$A$5001,"&lt;"&amp;I3799)&gt;0,1,0),0))</f>
        <v/>
      </c>
      <c r="L3799" s="16" t="str">
        <f aca="false">IF(B3799="","",IF(A3799=_xlfn.MAXIFS($A$2:$A$5001,$B$2:$B$5001,B3799,$I$2:$I$5001,I3799),1,0))</f>
        <v/>
      </c>
    </row>
    <row r="3800" customFormat="false" ht="15" hidden="false" customHeight="false" outlineLevel="0" collapsed="false">
      <c r="I3800" s="15" t="str">
        <f aca="false">IF(A3800="","",INT(A3800))</f>
        <v/>
      </c>
      <c r="J3800" s="16" t="str">
        <f aca="false">IF(B3800="","",IF(A3800=_xlfn.MINIFS($A$2:$A$5001,$B$2:$B$5001,B3800),1,0))</f>
        <v/>
      </c>
      <c r="K3800" s="16" t="str">
        <f aca="false">IF(B3800="","",IF(AND(D3800="Formalização",E3800="Concluído"),IF(COUNTIFS($B$2:$B$5001,B3800,$E$2:$E$5001,"Em ajustes",$A$2:$A$5001,"&lt;"&amp;I3800)&gt;0,1,0),0))</f>
        <v/>
      </c>
      <c r="L3800" s="16" t="str">
        <f aca="false">IF(B3800="","",IF(A3800=_xlfn.MAXIFS($A$2:$A$5001,$B$2:$B$5001,B3800,$I$2:$I$5001,I3800),1,0))</f>
        <v/>
      </c>
    </row>
    <row r="3801" customFormat="false" ht="15" hidden="false" customHeight="false" outlineLevel="0" collapsed="false">
      <c r="I3801" s="15" t="str">
        <f aca="false">IF(A3801="","",INT(A3801))</f>
        <v/>
      </c>
      <c r="J3801" s="16" t="str">
        <f aca="false">IF(B3801="","",IF(A3801=_xlfn.MINIFS($A$2:$A$5001,$B$2:$B$5001,B3801),1,0))</f>
        <v/>
      </c>
      <c r="K3801" s="16" t="str">
        <f aca="false">IF(B3801="","",IF(AND(D3801="Formalização",E3801="Concluído"),IF(COUNTIFS($B$2:$B$5001,B3801,$E$2:$E$5001,"Em ajustes",$A$2:$A$5001,"&lt;"&amp;I3801)&gt;0,1,0),0))</f>
        <v/>
      </c>
      <c r="L3801" s="16" t="str">
        <f aca="false">IF(B3801="","",IF(A3801=_xlfn.MAXIFS($A$2:$A$5001,$B$2:$B$5001,B3801,$I$2:$I$5001,I3801),1,0))</f>
        <v/>
      </c>
    </row>
    <row r="3802" customFormat="false" ht="15" hidden="false" customHeight="false" outlineLevel="0" collapsed="false">
      <c r="I3802" s="15" t="str">
        <f aca="false">IF(A3802="","",INT(A3802))</f>
        <v/>
      </c>
      <c r="J3802" s="16" t="str">
        <f aca="false">IF(B3802="","",IF(A3802=_xlfn.MINIFS($A$2:$A$5001,$B$2:$B$5001,B3802),1,0))</f>
        <v/>
      </c>
      <c r="K3802" s="16" t="str">
        <f aca="false">IF(B3802="","",IF(AND(D3802="Formalização",E3802="Concluído"),IF(COUNTIFS($B$2:$B$5001,B3802,$E$2:$E$5001,"Em ajustes",$A$2:$A$5001,"&lt;"&amp;I3802)&gt;0,1,0),0))</f>
        <v/>
      </c>
      <c r="L3802" s="16" t="str">
        <f aca="false">IF(B3802="","",IF(A3802=_xlfn.MAXIFS($A$2:$A$5001,$B$2:$B$5001,B3802,$I$2:$I$5001,I3802),1,0))</f>
        <v/>
      </c>
    </row>
    <row r="3803" customFormat="false" ht="15" hidden="false" customHeight="false" outlineLevel="0" collapsed="false">
      <c r="I3803" s="15" t="str">
        <f aca="false">IF(A3803="","",INT(A3803))</f>
        <v/>
      </c>
      <c r="J3803" s="16" t="str">
        <f aca="false">IF(B3803="","",IF(A3803=_xlfn.MINIFS($A$2:$A$5001,$B$2:$B$5001,B3803),1,0))</f>
        <v/>
      </c>
      <c r="K3803" s="16" t="str">
        <f aca="false">IF(B3803="","",IF(AND(D3803="Formalização",E3803="Concluído"),IF(COUNTIFS($B$2:$B$5001,B3803,$E$2:$E$5001,"Em ajustes",$A$2:$A$5001,"&lt;"&amp;I3803)&gt;0,1,0),0))</f>
        <v/>
      </c>
      <c r="L3803" s="16" t="str">
        <f aca="false">IF(B3803="","",IF(A3803=_xlfn.MAXIFS($A$2:$A$5001,$B$2:$B$5001,B3803,$I$2:$I$5001,I3803),1,0))</f>
        <v/>
      </c>
    </row>
    <row r="3804" customFormat="false" ht="15" hidden="false" customHeight="false" outlineLevel="0" collapsed="false">
      <c r="I3804" s="15" t="str">
        <f aca="false">IF(A3804="","",INT(A3804))</f>
        <v/>
      </c>
      <c r="J3804" s="16" t="str">
        <f aca="false">IF(B3804="","",IF(A3804=_xlfn.MINIFS($A$2:$A$5001,$B$2:$B$5001,B3804),1,0))</f>
        <v/>
      </c>
      <c r="K3804" s="16" t="str">
        <f aca="false">IF(B3804="","",IF(AND(D3804="Formalização",E3804="Concluído"),IF(COUNTIFS($B$2:$B$5001,B3804,$E$2:$E$5001,"Em ajustes",$A$2:$A$5001,"&lt;"&amp;I3804)&gt;0,1,0),0))</f>
        <v/>
      </c>
      <c r="L3804" s="16" t="str">
        <f aca="false">IF(B3804="","",IF(A3804=_xlfn.MAXIFS($A$2:$A$5001,$B$2:$B$5001,B3804,$I$2:$I$5001,I3804),1,0))</f>
        <v/>
      </c>
    </row>
    <row r="3805" customFormat="false" ht="15" hidden="false" customHeight="false" outlineLevel="0" collapsed="false">
      <c r="I3805" s="15" t="str">
        <f aca="false">IF(A3805="","",INT(A3805))</f>
        <v/>
      </c>
      <c r="J3805" s="16" t="str">
        <f aca="false">IF(B3805="","",IF(A3805=_xlfn.MINIFS($A$2:$A$5001,$B$2:$B$5001,B3805),1,0))</f>
        <v/>
      </c>
      <c r="K3805" s="16" t="str">
        <f aca="false">IF(B3805="","",IF(AND(D3805="Formalização",E3805="Concluído"),IF(COUNTIFS($B$2:$B$5001,B3805,$E$2:$E$5001,"Em ajustes",$A$2:$A$5001,"&lt;"&amp;I3805)&gt;0,1,0),0))</f>
        <v/>
      </c>
      <c r="L3805" s="16" t="str">
        <f aca="false">IF(B3805="","",IF(A3805=_xlfn.MAXIFS($A$2:$A$5001,$B$2:$B$5001,B3805,$I$2:$I$5001,I3805),1,0))</f>
        <v/>
      </c>
    </row>
    <row r="3806" customFormat="false" ht="15" hidden="false" customHeight="false" outlineLevel="0" collapsed="false">
      <c r="I3806" s="15" t="str">
        <f aca="false">IF(A3806="","",INT(A3806))</f>
        <v/>
      </c>
      <c r="J3806" s="16" t="str">
        <f aca="false">IF(B3806="","",IF(A3806=_xlfn.MINIFS($A$2:$A$5001,$B$2:$B$5001,B3806),1,0))</f>
        <v/>
      </c>
      <c r="K3806" s="16" t="str">
        <f aca="false">IF(B3806="","",IF(AND(D3806="Formalização",E3806="Concluído"),IF(COUNTIFS($B$2:$B$5001,B3806,$E$2:$E$5001,"Em ajustes",$A$2:$A$5001,"&lt;"&amp;I3806)&gt;0,1,0),0))</f>
        <v/>
      </c>
      <c r="L3806" s="16" t="str">
        <f aca="false">IF(B3806="","",IF(A3806=_xlfn.MAXIFS($A$2:$A$5001,$B$2:$B$5001,B3806,$I$2:$I$5001,I3806),1,0))</f>
        <v/>
      </c>
    </row>
    <row r="3807" customFormat="false" ht="15" hidden="false" customHeight="false" outlineLevel="0" collapsed="false">
      <c r="I3807" s="15" t="str">
        <f aca="false">IF(A3807="","",INT(A3807))</f>
        <v/>
      </c>
      <c r="J3807" s="16" t="str">
        <f aca="false">IF(B3807="","",IF(A3807=_xlfn.MINIFS($A$2:$A$5001,$B$2:$B$5001,B3807),1,0))</f>
        <v/>
      </c>
      <c r="K3807" s="16" t="str">
        <f aca="false">IF(B3807="","",IF(AND(D3807="Formalização",E3807="Concluído"),IF(COUNTIFS($B$2:$B$5001,B3807,$E$2:$E$5001,"Em ajustes",$A$2:$A$5001,"&lt;"&amp;I3807)&gt;0,1,0),0))</f>
        <v/>
      </c>
      <c r="L3807" s="16" t="str">
        <f aca="false">IF(B3807="","",IF(A3807=_xlfn.MAXIFS($A$2:$A$5001,$B$2:$B$5001,B3807,$I$2:$I$5001,I3807),1,0))</f>
        <v/>
      </c>
    </row>
    <row r="3808" customFormat="false" ht="15" hidden="false" customHeight="false" outlineLevel="0" collapsed="false">
      <c r="I3808" s="15" t="str">
        <f aca="false">IF(A3808="","",INT(A3808))</f>
        <v/>
      </c>
      <c r="J3808" s="16" t="str">
        <f aca="false">IF(B3808="","",IF(A3808=_xlfn.MINIFS($A$2:$A$5001,$B$2:$B$5001,B3808),1,0))</f>
        <v/>
      </c>
      <c r="K3808" s="16" t="str">
        <f aca="false">IF(B3808="","",IF(AND(D3808="Formalização",E3808="Concluído"),IF(COUNTIFS($B$2:$B$5001,B3808,$E$2:$E$5001,"Em ajustes",$A$2:$A$5001,"&lt;"&amp;I3808)&gt;0,1,0),0))</f>
        <v/>
      </c>
      <c r="L3808" s="16" t="str">
        <f aca="false">IF(B3808="","",IF(A3808=_xlfn.MAXIFS($A$2:$A$5001,$B$2:$B$5001,B3808,$I$2:$I$5001,I3808),1,0))</f>
        <v/>
      </c>
    </row>
    <row r="3809" customFormat="false" ht="15" hidden="false" customHeight="false" outlineLevel="0" collapsed="false">
      <c r="I3809" s="15" t="str">
        <f aca="false">IF(A3809="","",INT(A3809))</f>
        <v/>
      </c>
      <c r="J3809" s="16" t="str">
        <f aca="false">IF(B3809="","",IF(A3809=_xlfn.MINIFS($A$2:$A$5001,$B$2:$B$5001,B3809),1,0))</f>
        <v/>
      </c>
      <c r="K3809" s="16" t="str">
        <f aca="false">IF(B3809="","",IF(AND(D3809="Formalização",E3809="Concluído"),IF(COUNTIFS($B$2:$B$5001,B3809,$E$2:$E$5001,"Em ajustes",$A$2:$A$5001,"&lt;"&amp;I3809)&gt;0,1,0),0))</f>
        <v/>
      </c>
      <c r="L3809" s="16" t="str">
        <f aca="false">IF(B3809="","",IF(A3809=_xlfn.MAXIFS($A$2:$A$5001,$B$2:$B$5001,B3809,$I$2:$I$5001,I3809),1,0))</f>
        <v/>
      </c>
    </row>
    <row r="3810" customFormat="false" ht="15" hidden="false" customHeight="false" outlineLevel="0" collapsed="false">
      <c r="I3810" s="15" t="str">
        <f aca="false">IF(A3810="","",INT(A3810))</f>
        <v/>
      </c>
      <c r="J3810" s="16" t="str">
        <f aca="false">IF(B3810="","",IF(A3810=_xlfn.MINIFS($A$2:$A$5001,$B$2:$B$5001,B3810),1,0))</f>
        <v/>
      </c>
      <c r="K3810" s="16" t="str">
        <f aca="false">IF(B3810="","",IF(AND(D3810="Formalização",E3810="Concluído"),IF(COUNTIFS($B$2:$B$5001,B3810,$E$2:$E$5001,"Em ajustes",$A$2:$A$5001,"&lt;"&amp;I3810)&gt;0,1,0),0))</f>
        <v/>
      </c>
      <c r="L3810" s="16" t="str">
        <f aca="false">IF(B3810="","",IF(A3810=_xlfn.MAXIFS($A$2:$A$5001,$B$2:$B$5001,B3810,$I$2:$I$5001,I3810),1,0))</f>
        <v/>
      </c>
    </row>
    <row r="3811" customFormat="false" ht="15" hidden="false" customHeight="false" outlineLevel="0" collapsed="false">
      <c r="I3811" s="15" t="str">
        <f aca="false">IF(A3811="","",INT(A3811))</f>
        <v/>
      </c>
      <c r="J3811" s="16" t="str">
        <f aca="false">IF(B3811="","",IF(A3811=_xlfn.MINIFS($A$2:$A$5001,$B$2:$B$5001,B3811),1,0))</f>
        <v/>
      </c>
      <c r="K3811" s="16" t="str">
        <f aca="false">IF(B3811="","",IF(AND(D3811="Formalização",E3811="Concluído"),IF(COUNTIFS($B$2:$B$5001,B3811,$E$2:$E$5001,"Em ajustes",$A$2:$A$5001,"&lt;"&amp;I3811)&gt;0,1,0),0))</f>
        <v/>
      </c>
      <c r="L3811" s="16" t="str">
        <f aca="false">IF(B3811="","",IF(A3811=_xlfn.MAXIFS($A$2:$A$5001,$B$2:$B$5001,B3811,$I$2:$I$5001,I3811),1,0))</f>
        <v/>
      </c>
    </row>
    <row r="3812" customFormat="false" ht="15" hidden="false" customHeight="false" outlineLevel="0" collapsed="false">
      <c r="I3812" s="15" t="str">
        <f aca="false">IF(A3812="","",INT(A3812))</f>
        <v/>
      </c>
      <c r="J3812" s="16" t="str">
        <f aca="false">IF(B3812="","",IF(A3812=_xlfn.MINIFS($A$2:$A$5001,$B$2:$B$5001,B3812),1,0))</f>
        <v/>
      </c>
      <c r="K3812" s="16" t="str">
        <f aca="false">IF(B3812="","",IF(AND(D3812="Formalização",E3812="Concluído"),IF(COUNTIFS($B$2:$B$5001,B3812,$E$2:$E$5001,"Em ajustes",$A$2:$A$5001,"&lt;"&amp;I3812)&gt;0,1,0),0))</f>
        <v/>
      </c>
      <c r="L3812" s="16" t="str">
        <f aca="false">IF(B3812="","",IF(A3812=_xlfn.MAXIFS($A$2:$A$5001,$B$2:$B$5001,B3812,$I$2:$I$5001,I3812),1,0))</f>
        <v/>
      </c>
    </row>
    <row r="3813" customFormat="false" ht="15" hidden="false" customHeight="false" outlineLevel="0" collapsed="false">
      <c r="I3813" s="15" t="str">
        <f aca="false">IF(A3813="","",INT(A3813))</f>
        <v/>
      </c>
      <c r="J3813" s="16" t="str">
        <f aca="false">IF(B3813="","",IF(A3813=_xlfn.MINIFS($A$2:$A$5001,$B$2:$B$5001,B3813),1,0))</f>
        <v/>
      </c>
      <c r="K3813" s="16" t="str">
        <f aca="false">IF(B3813="","",IF(AND(D3813="Formalização",E3813="Concluído"),IF(COUNTIFS($B$2:$B$5001,B3813,$E$2:$E$5001,"Em ajustes",$A$2:$A$5001,"&lt;"&amp;I3813)&gt;0,1,0),0))</f>
        <v/>
      </c>
      <c r="L3813" s="16" t="str">
        <f aca="false">IF(B3813="","",IF(A3813=_xlfn.MAXIFS($A$2:$A$5001,$B$2:$B$5001,B3813,$I$2:$I$5001,I3813),1,0))</f>
        <v/>
      </c>
    </row>
    <row r="3814" customFormat="false" ht="15" hidden="false" customHeight="false" outlineLevel="0" collapsed="false">
      <c r="I3814" s="15" t="str">
        <f aca="false">IF(A3814="","",INT(A3814))</f>
        <v/>
      </c>
      <c r="J3814" s="16" t="str">
        <f aca="false">IF(B3814="","",IF(A3814=_xlfn.MINIFS($A$2:$A$5001,$B$2:$B$5001,B3814),1,0))</f>
        <v/>
      </c>
      <c r="K3814" s="16" t="str">
        <f aca="false">IF(B3814="","",IF(AND(D3814="Formalização",E3814="Concluído"),IF(COUNTIFS($B$2:$B$5001,B3814,$E$2:$E$5001,"Em ajustes",$A$2:$A$5001,"&lt;"&amp;I3814)&gt;0,1,0),0))</f>
        <v/>
      </c>
      <c r="L3814" s="16" t="str">
        <f aca="false">IF(B3814="","",IF(A3814=_xlfn.MAXIFS($A$2:$A$5001,$B$2:$B$5001,B3814,$I$2:$I$5001,I3814),1,0))</f>
        <v/>
      </c>
    </row>
    <row r="3815" customFormat="false" ht="15" hidden="false" customHeight="false" outlineLevel="0" collapsed="false">
      <c r="I3815" s="15" t="str">
        <f aca="false">IF(A3815="","",INT(A3815))</f>
        <v/>
      </c>
      <c r="J3815" s="16" t="str">
        <f aca="false">IF(B3815="","",IF(A3815=_xlfn.MINIFS($A$2:$A$5001,$B$2:$B$5001,B3815),1,0))</f>
        <v/>
      </c>
      <c r="K3815" s="16" t="str">
        <f aca="false">IF(B3815="","",IF(AND(D3815="Formalização",E3815="Concluído"),IF(COUNTIFS($B$2:$B$5001,B3815,$E$2:$E$5001,"Em ajustes",$A$2:$A$5001,"&lt;"&amp;I3815)&gt;0,1,0),0))</f>
        <v/>
      </c>
      <c r="L3815" s="16" t="str">
        <f aca="false">IF(B3815="","",IF(A3815=_xlfn.MAXIFS($A$2:$A$5001,$B$2:$B$5001,B3815,$I$2:$I$5001,I3815),1,0))</f>
        <v/>
      </c>
    </row>
    <row r="3816" customFormat="false" ht="15" hidden="false" customHeight="false" outlineLevel="0" collapsed="false">
      <c r="I3816" s="15" t="str">
        <f aca="false">IF(A3816="","",INT(A3816))</f>
        <v/>
      </c>
      <c r="J3816" s="16" t="str">
        <f aca="false">IF(B3816="","",IF(A3816=_xlfn.MINIFS($A$2:$A$5001,$B$2:$B$5001,B3816),1,0))</f>
        <v/>
      </c>
      <c r="K3816" s="16" t="str">
        <f aca="false">IF(B3816="","",IF(AND(D3816="Formalização",E3816="Concluído"),IF(COUNTIFS($B$2:$B$5001,B3816,$E$2:$E$5001,"Em ajustes",$A$2:$A$5001,"&lt;"&amp;I3816)&gt;0,1,0),0))</f>
        <v/>
      </c>
      <c r="L3816" s="16" t="str">
        <f aca="false">IF(B3816="","",IF(A3816=_xlfn.MAXIFS($A$2:$A$5001,$B$2:$B$5001,B3816,$I$2:$I$5001,I3816),1,0))</f>
        <v/>
      </c>
    </row>
    <row r="3817" customFormat="false" ht="15" hidden="false" customHeight="false" outlineLevel="0" collapsed="false">
      <c r="I3817" s="15" t="str">
        <f aca="false">IF(A3817="","",INT(A3817))</f>
        <v/>
      </c>
      <c r="J3817" s="16" t="str">
        <f aca="false">IF(B3817="","",IF(A3817=_xlfn.MINIFS($A$2:$A$5001,$B$2:$B$5001,B3817),1,0))</f>
        <v/>
      </c>
      <c r="K3817" s="16" t="str">
        <f aca="false">IF(B3817="","",IF(AND(D3817="Formalização",E3817="Concluído"),IF(COUNTIFS($B$2:$B$5001,B3817,$E$2:$E$5001,"Em ajustes",$A$2:$A$5001,"&lt;"&amp;I3817)&gt;0,1,0),0))</f>
        <v/>
      </c>
      <c r="L3817" s="16" t="str">
        <f aca="false">IF(B3817="","",IF(A3817=_xlfn.MAXIFS($A$2:$A$5001,$B$2:$B$5001,B3817,$I$2:$I$5001,I3817),1,0))</f>
        <v/>
      </c>
    </row>
    <row r="3818" customFormat="false" ht="15" hidden="false" customHeight="false" outlineLevel="0" collapsed="false">
      <c r="I3818" s="15" t="str">
        <f aca="false">IF(A3818="","",INT(A3818))</f>
        <v/>
      </c>
      <c r="J3818" s="16" t="str">
        <f aca="false">IF(B3818="","",IF(A3818=_xlfn.MINIFS($A$2:$A$5001,$B$2:$B$5001,B3818),1,0))</f>
        <v/>
      </c>
      <c r="K3818" s="16" t="str">
        <f aca="false">IF(B3818="","",IF(AND(D3818="Formalização",E3818="Concluído"),IF(COUNTIFS($B$2:$B$5001,B3818,$E$2:$E$5001,"Em ajustes",$A$2:$A$5001,"&lt;"&amp;I3818)&gt;0,1,0),0))</f>
        <v/>
      </c>
      <c r="L3818" s="16" t="str">
        <f aca="false">IF(B3818="","",IF(A3818=_xlfn.MAXIFS($A$2:$A$5001,$B$2:$B$5001,B3818,$I$2:$I$5001,I3818),1,0))</f>
        <v/>
      </c>
    </row>
    <row r="3819" customFormat="false" ht="15" hidden="false" customHeight="false" outlineLevel="0" collapsed="false">
      <c r="I3819" s="15" t="str">
        <f aca="false">IF(A3819="","",INT(A3819))</f>
        <v/>
      </c>
      <c r="J3819" s="16" t="str">
        <f aca="false">IF(B3819="","",IF(A3819=_xlfn.MINIFS($A$2:$A$5001,$B$2:$B$5001,B3819),1,0))</f>
        <v/>
      </c>
      <c r="K3819" s="16" t="str">
        <f aca="false">IF(B3819="","",IF(AND(D3819="Formalização",E3819="Concluído"),IF(COUNTIFS($B$2:$B$5001,B3819,$E$2:$E$5001,"Em ajustes",$A$2:$A$5001,"&lt;"&amp;I3819)&gt;0,1,0),0))</f>
        <v/>
      </c>
      <c r="L3819" s="16" t="str">
        <f aca="false">IF(B3819="","",IF(A3819=_xlfn.MAXIFS($A$2:$A$5001,$B$2:$B$5001,B3819,$I$2:$I$5001,I3819),1,0))</f>
        <v/>
      </c>
    </row>
    <row r="3820" customFormat="false" ht="15" hidden="false" customHeight="false" outlineLevel="0" collapsed="false">
      <c r="I3820" s="15" t="str">
        <f aca="false">IF(A3820="","",INT(A3820))</f>
        <v/>
      </c>
      <c r="J3820" s="16" t="str">
        <f aca="false">IF(B3820="","",IF(A3820=_xlfn.MINIFS($A$2:$A$5001,$B$2:$B$5001,B3820),1,0))</f>
        <v/>
      </c>
      <c r="K3820" s="16" t="str">
        <f aca="false">IF(B3820="","",IF(AND(D3820="Formalização",E3820="Concluído"),IF(COUNTIFS($B$2:$B$5001,B3820,$E$2:$E$5001,"Em ajustes",$A$2:$A$5001,"&lt;"&amp;I3820)&gt;0,1,0),0))</f>
        <v/>
      </c>
      <c r="L3820" s="16" t="str">
        <f aca="false">IF(B3820="","",IF(A3820=_xlfn.MAXIFS($A$2:$A$5001,$B$2:$B$5001,B3820,$I$2:$I$5001,I3820),1,0))</f>
        <v/>
      </c>
    </row>
    <row r="3821" customFormat="false" ht="15" hidden="false" customHeight="false" outlineLevel="0" collapsed="false">
      <c r="I3821" s="15" t="str">
        <f aca="false">IF(A3821="","",INT(A3821))</f>
        <v/>
      </c>
      <c r="J3821" s="16" t="str">
        <f aca="false">IF(B3821="","",IF(A3821=_xlfn.MINIFS($A$2:$A$5001,$B$2:$B$5001,B3821),1,0))</f>
        <v/>
      </c>
      <c r="K3821" s="16" t="str">
        <f aca="false">IF(B3821="","",IF(AND(D3821="Formalização",E3821="Concluído"),IF(COUNTIFS($B$2:$B$5001,B3821,$E$2:$E$5001,"Em ajustes",$A$2:$A$5001,"&lt;"&amp;I3821)&gt;0,1,0),0))</f>
        <v/>
      </c>
      <c r="L3821" s="16" t="str">
        <f aca="false">IF(B3821="","",IF(A3821=_xlfn.MAXIFS($A$2:$A$5001,$B$2:$B$5001,B3821,$I$2:$I$5001,I3821),1,0))</f>
        <v/>
      </c>
    </row>
    <row r="3822" customFormat="false" ht="15" hidden="false" customHeight="false" outlineLevel="0" collapsed="false">
      <c r="I3822" s="15" t="str">
        <f aca="false">IF(A3822="","",INT(A3822))</f>
        <v/>
      </c>
      <c r="J3822" s="16" t="str">
        <f aca="false">IF(B3822="","",IF(A3822=_xlfn.MINIFS($A$2:$A$5001,$B$2:$B$5001,B3822),1,0))</f>
        <v/>
      </c>
      <c r="K3822" s="16" t="str">
        <f aca="false">IF(B3822="","",IF(AND(D3822="Formalização",E3822="Concluído"),IF(COUNTIFS($B$2:$B$5001,B3822,$E$2:$E$5001,"Em ajustes",$A$2:$A$5001,"&lt;"&amp;I3822)&gt;0,1,0),0))</f>
        <v/>
      </c>
      <c r="L3822" s="16" t="str">
        <f aca="false">IF(B3822="","",IF(A3822=_xlfn.MAXIFS($A$2:$A$5001,$B$2:$B$5001,B3822,$I$2:$I$5001,I3822),1,0))</f>
        <v/>
      </c>
    </row>
    <row r="3823" customFormat="false" ht="15" hidden="false" customHeight="false" outlineLevel="0" collapsed="false">
      <c r="I3823" s="15" t="str">
        <f aca="false">IF(A3823="","",INT(A3823))</f>
        <v/>
      </c>
      <c r="J3823" s="16" t="str">
        <f aca="false">IF(B3823="","",IF(A3823=_xlfn.MINIFS($A$2:$A$5001,$B$2:$B$5001,B3823),1,0))</f>
        <v/>
      </c>
      <c r="K3823" s="16" t="str">
        <f aca="false">IF(B3823="","",IF(AND(D3823="Formalização",E3823="Concluído"),IF(COUNTIFS($B$2:$B$5001,B3823,$E$2:$E$5001,"Em ajustes",$A$2:$A$5001,"&lt;"&amp;I3823)&gt;0,1,0),0))</f>
        <v/>
      </c>
      <c r="L3823" s="16" t="str">
        <f aca="false">IF(B3823="","",IF(A3823=_xlfn.MAXIFS($A$2:$A$5001,$B$2:$B$5001,B3823,$I$2:$I$5001,I3823),1,0))</f>
        <v/>
      </c>
    </row>
    <row r="3824" customFormat="false" ht="15" hidden="false" customHeight="false" outlineLevel="0" collapsed="false">
      <c r="I3824" s="15" t="str">
        <f aca="false">IF(A3824="","",INT(A3824))</f>
        <v/>
      </c>
      <c r="J3824" s="16" t="str">
        <f aca="false">IF(B3824="","",IF(A3824=_xlfn.MINIFS($A$2:$A$5001,$B$2:$B$5001,B3824),1,0))</f>
        <v/>
      </c>
      <c r="K3824" s="16" t="str">
        <f aca="false">IF(B3824="","",IF(AND(D3824="Formalização",E3824="Concluído"),IF(COUNTIFS($B$2:$B$5001,B3824,$E$2:$E$5001,"Em ajustes",$A$2:$A$5001,"&lt;"&amp;I3824)&gt;0,1,0),0))</f>
        <v/>
      </c>
      <c r="L3824" s="16" t="str">
        <f aca="false">IF(B3824="","",IF(A3824=_xlfn.MAXIFS($A$2:$A$5001,$B$2:$B$5001,B3824,$I$2:$I$5001,I3824),1,0))</f>
        <v/>
      </c>
    </row>
    <row r="3825" customFormat="false" ht="15" hidden="false" customHeight="false" outlineLevel="0" collapsed="false">
      <c r="I3825" s="15" t="str">
        <f aca="false">IF(A3825="","",INT(A3825))</f>
        <v/>
      </c>
      <c r="J3825" s="16" t="str">
        <f aca="false">IF(B3825="","",IF(A3825=_xlfn.MINIFS($A$2:$A$5001,$B$2:$B$5001,B3825),1,0))</f>
        <v/>
      </c>
      <c r="K3825" s="16" t="str">
        <f aca="false">IF(B3825="","",IF(AND(D3825="Formalização",E3825="Concluído"),IF(COUNTIFS($B$2:$B$5001,B3825,$E$2:$E$5001,"Em ajustes",$A$2:$A$5001,"&lt;"&amp;I3825)&gt;0,1,0),0))</f>
        <v/>
      </c>
      <c r="L3825" s="16" t="str">
        <f aca="false">IF(B3825="","",IF(A3825=_xlfn.MAXIFS($A$2:$A$5001,$B$2:$B$5001,B3825,$I$2:$I$5001,I3825),1,0))</f>
        <v/>
      </c>
    </row>
    <row r="3826" customFormat="false" ht="15" hidden="false" customHeight="false" outlineLevel="0" collapsed="false">
      <c r="I3826" s="15" t="str">
        <f aca="false">IF(A3826="","",INT(A3826))</f>
        <v/>
      </c>
      <c r="J3826" s="16" t="str">
        <f aca="false">IF(B3826="","",IF(A3826=_xlfn.MINIFS($A$2:$A$5001,$B$2:$B$5001,B3826),1,0))</f>
        <v/>
      </c>
      <c r="K3826" s="16" t="str">
        <f aca="false">IF(B3826="","",IF(AND(D3826="Formalização",E3826="Concluído"),IF(COUNTIFS($B$2:$B$5001,B3826,$E$2:$E$5001,"Em ajustes",$A$2:$A$5001,"&lt;"&amp;I3826)&gt;0,1,0),0))</f>
        <v/>
      </c>
      <c r="L3826" s="16" t="str">
        <f aca="false">IF(B3826="","",IF(A3826=_xlfn.MAXIFS($A$2:$A$5001,$B$2:$B$5001,B3826,$I$2:$I$5001,I3826),1,0))</f>
        <v/>
      </c>
    </row>
    <row r="3827" customFormat="false" ht="15" hidden="false" customHeight="false" outlineLevel="0" collapsed="false">
      <c r="I3827" s="15" t="str">
        <f aca="false">IF(A3827="","",INT(A3827))</f>
        <v/>
      </c>
      <c r="J3827" s="16" t="str">
        <f aca="false">IF(B3827="","",IF(A3827=_xlfn.MINIFS($A$2:$A$5001,$B$2:$B$5001,B3827),1,0))</f>
        <v/>
      </c>
      <c r="K3827" s="16" t="str">
        <f aca="false">IF(B3827="","",IF(AND(D3827="Formalização",E3827="Concluído"),IF(COUNTIFS($B$2:$B$5001,B3827,$E$2:$E$5001,"Em ajustes",$A$2:$A$5001,"&lt;"&amp;I3827)&gt;0,1,0),0))</f>
        <v/>
      </c>
      <c r="L3827" s="16" t="str">
        <f aca="false">IF(B3827="","",IF(A3827=_xlfn.MAXIFS($A$2:$A$5001,$B$2:$B$5001,B3827,$I$2:$I$5001,I3827),1,0))</f>
        <v/>
      </c>
    </row>
    <row r="3828" customFormat="false" ht="15" hidden="false" customHeight="false" outlineLevel="0" collapsed="false">
      <c r="I3828" s="15" t="str">
        <f aca="false">IF(A3828="","",INT(A3828))</f>
        <v/>
      </c>
      <c r="J3828" s="16" t="str">
        <f aca="false">IF(B3828="","",IF(A3828=_xlfn.MINIFS($A$2:$A$5001,$B$2:$B$5001,B3828),1,0))</f>
        <v/>
      </c>
      <c r="K3828" s="16" t="str">
        <f aca="false">IF(B3828="","",IF(AND(D3828="Formalização",E3828="Concluído"),IF(COUNTIFS($B$2:$B$5001,B3828,$E$2:$E$5001,"Em ajustes",$A$2:$A$5001,"&lt;"&amp;I3828)&gt;0,1,0),0))</f>
        <v/>
      </c>
      <c r="L3828" s="16" t="str">
        <f aca="false">IF(B3828="","",IF(A3828=_xlfn.MAXIFS($A$2:$A$5001,$B$2:$B$5001,B3828,$I$2:$I$5001,I3828),1,0))</f>
        <v/>
      </c>
    </row>
    <row r="3829" customFormat="false" ht="15" hidden="false" customHeight="false" outlineLevel="0" collapsed="false">
      <c r="I3829" s="15" t="str">
        <f aca="false">IF(A3829="","",INT(A3829))</f>
        <v/>
      </c>
      <c r="J3829" s="16" t="str">
        <f aca="false">IF(B3829="","",IF(A3829=_xlfn.MINIFS($A$2:$A$5001,$B$2:$B$5001,B3829),1,0))</f>
        <v/>
      </c>
      <c r="K3829" s="16" t="str">
        <f aca="false">IF(B3829="","",IF(AND(D3829="Formalização",E3829="Concluído"),IF(COUNTIFS($B$2:$B$5001,B3829,$E$2:$E$5001,"Em ajustes",$A$2:$A$5001,"&lt;"&amp;I3829)&gt;0,1,0),0))</f>
        <v/>
      </c>
      <c r="L3829" s="16" t="str">
        <f aca="false">IF(B3829="","",IF(A3829=_xlfn.MAXIFS($A$2:$A$5001,$B$2:$B$5001,B3829,$I$2:$I$5001,I3829),1,0))</f>
        <v/>
      </c>
    </row>
    <row r="3830" customFormat="false" ht="15" hidden="false" customHeight="false" outlineLevel="0" collapsed="false">
      <c r="I3830" s="15" t="str">
        <f aca="false">IF(A3830="","",INT(A3830))</f>
        <v/>
      </c>
      <c r="J3830" s="16" t="str">
        <f aca="false">IF(B3830="","",IF(A3830=_xlfn.MINIFS($A$2:$A$5001,$B$2:$B$5001,B3830),1,0))</f>
        <v/>
      </c>
      <c r="K3830" s="16" t="str">
        <f aca="false">IF(B3830="","",IF(AND(D3830="Formalização",E3830="Concluído"),IF(COUNTIFS($B$2:$B$5001,B3830,$E$2:$E$5001,"Em ajustes",$A$2:$A$5001,"&lt;"&amp;I3830)&gt;0,1,0),0))</f>
        <v/>
      </c>
      <c r="L3830" s="16" t="str">
        <f aca="false">IF(B3830="","",IF(A3830=_xlfn.MAXIFS($A$2:$A$5001,$B$2:$B$5001,B3830,$I$2:$I$5001,I3830),1,0))</f>
        <v/>
      </c>
    </row>
    <row r="3831" customFormat="false" ht="15" hidden="false" customHeight="false" outlineLevel="0" collapsed="false">
      <c r="I3831" s="15" t="str">
        <f aca="false">IF(A3831="","",INT(A3831))</f>
        <v/>
      </c>
      <c r="J3831" s="16" t="str">
        <f aca="false">IF(B3831="","",IF(A3831=_xlfn.MINIFS($A$2:$A$5001,$B$2:$B$5001,B3831),1,0))</f>
        <v/>
      </c>
      <c r="K3831" s="16" t="str">
        <f aca="false">IF(B3831="","",IF(AND(D3831="Formalização",E3831="Concluído"),IF(COUNTIFS($B$2:$B$5001,B3831,$E$2:$E$5001,"Em ajustes",$A$2:$A$5001,"&lt;"&amp;I3831)&gt;0,1,0),0))</f>
        <v/>
      </c>
      <c r="L3831" s="16" t="str">
        <f aca="false">IF(B3831="","",IF(A3831=_xlfn.MAXIFS($A$2:$A$5001,$B$2:$B$5001,B3831,$I$2:$I$5001,I3831),1,0))</f>
        <v/>
      </c>
    </row>
    <row r="3832" customFormat="false" ht="15" hidden="false" customHeight="false" outlineLevel="0" collapsed="false">
      <c r="I3832" s="15" t="str">
        <f aca="false">IF(A3832="","",INT(A3832))</f>
        <v/>
      </c>
      <c r="J3832" s="16" t="str">
        <f aca="false">IF(B3832="","",IF(A3832=_xlfn.MINIFS($A$2:$A$5001,$B$2:$B$5001,B3832),1,0))</f>
        <v/>
      </c>
      <c r="K3832" s="16" t="str">
        <f aca="false">IF(B3832="","",IF(AND(D3832="Formalização",E3832="Concluído"),IF(COUNTIFS($B$2:$B$5001,B3832,$E$2:$E$5001,"Em ajustes",$A$2:$A$5001,"&lt;"&amp;I3832)&gt;0,1,0),0))</f>
        <v/>
      </c>
      <c r="L3832" s="16" t="str">
        <f aca="false">IF(B3832="","",IF(A3832=_xlfn.MAXIFS($A$2:$A$5001,$B$2:$B$5001,B3832,$I$2:$I$5001,I3832),1,0))</f>
        <v/>
      </c>
    </row>
    <row r="3833" customFormat="false" ht="15" hidden="false" customHeight="false" outlineLevel="0" collapsed="false">
      <c r="I3833" s="15" t="str">
        <f aca="false">IF(A3833="","",INT(A3833))</f>
        <v/>
      </c>
      <c r="J3833" s="16" t="str">
        <f aca="false">IF(B3833="","",IF(A3833=_xlfn.MINIFS($A$2:$A$5001,$B$2:$B$5001,B3833),1,0))</f>
        <v/>
      </c>
      <c r="K3833" s="16" t="str">
        <f aca="false">IF(B3833="","",IF(AND(D3833="Formalização",E3833="Concluído"),IF(COUNTIFS($B$2:$B$5001,B3833,$E$2:$E$5001,"Em ajustes",$A$2:$A$5001,"&lt;"&amp;I3833)&gt;0,1,0),0))</f>
        <v/>
      </c>
      <c r="L3833" s="16" t="str">
        <f aca="false">IF(B3833="","",IF(A3833=_xlfn.MAXIFS($A$2:$A$5001,$B$2:$B$5001,B3833,$I$2:$I$5001,I3833),1,0))</f>
        <v/>
      </c>
    </row>
    <row r="3834" customFormat="false" ht="15" hidden="false" customHeight="false" outlineLevel="0" collapsed="false">
      <c r="I3834" s="15" t="str">
        <f aca="false">IF(A3834="","",INT(A3834))</f>
        <v/>
      </c>
      <c r="J3834" s="16" t="str">
        <f aca="false">IF(B3834="","",IF(A3834=_xlfn.MINIFS($A$2:$A$5001,$B$2:$B$5001,B3834),1,0))</f>
        <v/>
      </c>
      <c r="K3834" s="16" t="str">
        <f aca="false">IF(B3834="","",IF(AND(D3834="Formalização",E3834="Concluído"),IF(COUNTIFS($B$2:$B$5001,B3834,$E$2:$E$5001,"Em ajustes",$A$2:$A$5001,"&lt;"&amp;I3834)&gt;0,1,0),0))</f>
        <v/>
      </c>
      <c r="L3834" s="16" t="str">
        <f aca="false">IF(B3834="","",IF(A3834=_xlfn.MAXIFS($A$2:$A$5001,$B$2:$B$5001,B3834,$I$2:$I$5001,I3834),1,0))</f>
        <v/>
      </c>
    </row>
    <row r="3835" customFormat="false" ht="15" hidden="false" customHeight="false" outlineLevel="0" collapsed="false">
      <c r="I3835" s="15" t="str">
        <f aca="false">IF(A3835="","",INT(A3835))</f>
        <v/>
      </c>
      <c r="J3835" s="16" t="str">
        <f aca="false">IF(B3835="","",IF(A3835=_xlfn.MINIFS($A$2:$A$5001,$B$2:$B$5001,B3835),1,0))</f>
        <v/>
      </c>
      <c r="K3835" s="16" t="str">
        <f aca="false">IF(B3835="","",IF(AND(D3835="Formalização",E3835="Concluído"),IF(COUNTIFS($B$2:$B$5001,B3835,$E$2:$E$5001,"Em ajustes",$A$2:$A$5001,"&lt;"&amp;I3835)&gt;0,1,0),0))</f>
        <v/>
      </c>
      <c r="L3835" s="16" t="str">
        <f aca="false">IF(B3835="","",IF(A3835=_xlfn.MAXIFS($A$2:$A$5001,$B$2:$B$5001,B3835,$I$2:$I$5001,I3835),1,0))</f>
        <v/>
      </c>
    </row>
    <row r="3836" customFormat="false" ht="15" hidden="false" customHeight="false" outlineLevel="0" collapsed="false">
      <c r="I3836" s="15" t="str">
        <f aca="false">IF(A3836="","",INT(A3836))</f>
        <v/>
      </c>
      <c r="J3836" s="16" t="str">
        <f aca="false">IF(B3836="","",IF(A3836=_xlfn.MINIFS($A$2:$A$5001,$B$2:$B$5001,B3836),1,0))</f>
        <v/>
      </c>
      <c r="K3836" s="16" t="str">
        <f aca="false">IF(B3836="","",IF(AND(D3836="Formalização",E3836="Concluído"),IF(COUNTIFS($B$2:$B$5001,B3836,$E$2:$E$5001,"Em ajustes",$A$2:$A$5001,"&lt;"&amp;I3836)&gt;0,1,0),0))</f>
        <v/>
      </c>
      <c r="L3836" s="16" t="str">
        <f aca="false">IF(B3836="","",IF(A3836=_xlfn.MAXIFS($A$2:$A$5001,$B$2:$B$5001,B3836,$I$2:$I$5001,I3836),1,0))</f>
        <v/>
      </c>
    </row>
    <row r="3837" customFormat="false" ht="15" hidden="false" customHeight="false" outlineLevel="0" collapsed="false">
      <c r="I3837" s="15" t="str">
        <f aca="false">IF(A3837="","",INT(A3837))</f>
        <v/>
      </c>
      <c r="J3837" s="16" t="str">
        <f aca="false">IF(B3837="","",IF(A3837=_xlfn.MINIFS($A$2:$A$5001,$B$2:$B$5001,B3837),1,0))</f>
        <v/>
      </c>
      <c r="K3837" s="16" t="str">
        <f aca="false">IF(B3837="","",IF(AND(D3837="Formalização",E3837="Concluído"),IF(COUNTIFS($B$2:$B$5001,B3837,$E$2:$E$5001,"Em ajustes",$A$2:$A$5001,"&lt;"&amp;I3837)&gt;0,1,0),0))</f>
        <v/>
      </c>
      <c r="L3837" s="16" t="str">
        <f aca="false">IF(B3837="","",IF(A3837=_xlfn.MAXIFS($A$2:$A$5001,$B$2:$B$5001,B3837,$I$2:$I$5001,I3837),1,0))</f>
        <v/>
      </c>
    </row>
    <row r="3838" customFormat="false" ht="15" hidden="false" customHeight="false" outlineLevel="0" collapsed="false">
      <c r="I3838" s="15" t="str">
        <f aca="false">IF(A3838="","",INT(A3838))</f>
        <v/>
      </c>
      <c r="J3838" s="16" t="str">
        <f aca="false">IF(B3838="","",IF(A3838=_xlfn.MINIFS($A$2:$A$5001,$B$2:$B$5001,B3838),1,0))</f>
        <v/>
      </c>
      <c r="K3838" s="16" t="str">
        <f aca="false">IF(B3838="","",IF(AND(D3838="Formalização",E3838="Concluído"),IF(COUNTIFS($B$2:$B$5001,B3838,$E$2:$E$5001,"Em ajustes",$A$2:$A$5001,"&lt;"&amp;I3838)&gt;0,1,0),0))</f>
        <v/>
      </c>
      <c r="L3838" s="16" t="str">
        <f aca="false">IF(B3838="","",IF(A3838=_xlfn.MAXIFS($A$2:$A$5001,$B$2:$B$5001,B3838,$I$2:$I$5001,I3838),1,0))</f>
        <v/>
      </c>
    </row>
    <row r="3839" customFormat="false" ht="15" hidden="false" customHeight="false" outlineLevel="0" collapsed="false">
      <c r="I3839" s="15" t="str">
        <f aca="false">IF(A3839="","",INT(A3839))</f>
        <v/>
      </c>
      <c r="J3839" s="16" t="str">
        <f aca="false">IF(B3839="","",IF(A3839=_xlfn.MINIFS($A$2:$A$5001,$B$2:$B$5001,B3839),1,0))</f>
        <v/>
      </c>
      <c r="K3839" s="16" t="str">
        <f aca="false">IF(B3839="","",IF(AND(D3839="Formalização",E3839="Concluído"),IF(COUNTIFS($B$2:$B$5001,B3839,$E$2:$E$5001,"Em ajustes",$A$2:$A$5001,"&lt;"&amp;I3839)&gt;0,1,0),0))</f>
        <v/>
      </c>
      <c r="L3839" s="16" t="str">
        <f aca="false">IF(B3839="","",IF(A3839=_xlfn.MAXIFS($A$2:$A$5001,$B$2:$B$5001,B3839,$I$2:$I$5001,I3839),1,0))</f>
        <v/>
      </c>
    </row>
    <row r="3840" customFormat="false" ht="15" hidden="false" customHeight="false" outlineLevel="0" collapsed="false">
      <c r="I3840" s="15" t="str">
        <f aca="false">IF(A3840="","",INT(A3840))</f>
        <v/>
      </c>
      <c r="J3840" s="16" t="str">
        <f aca="false">IF(B3840="","",IF(A3840=_xlfn.MINIFS($A$2:$A$5001,$B$2:$B$5001,B3840),1,0))</f>
        <v/>
      </c>
      <c r="K3840" s="16" t="str">
        <f aca="false">IF(B3840="","",IF(AND(D3840="Formalização",E3840="Concluído"),IF(COUNTIFS($B$2:$B$5001,B3840,$E$2:$E$5001,"Em ajustes",$A$2:$A$5001,"&lt;"&amp;I3840)&gt;0,1,0),0))</f>
        <v/>
      </c>
      <c r="L3840" s="16" t="str">
        <f aca="false">IF(B3840="","",IF(A3840=_xlfn.MAXIFS($A$2:$A$5001,$B$2:$B$5001,B3840,$I$2:$I$5001,I3840),1,0))</f>
        <v/>
      </c>
    </row>
    <row r="3841" customFormat="false" ht="15" hidden="false" customHeight="false" outlineLevel="0" collapsed="false">
      <c r="I3841" s="15" t="str">
        <f aca="false">IF(A3841="","",INT(A3841))</f>
        <v/>
      </c>
      <c r="J3841" s="16" t="str">
        <f aca="false">IF(B3841="","",IF(A3841=_xlfn.MINIFS($A$2:$A$5001,$B$2:$B$5001,B3841),1,0))</f>
        <v/>
      </c>
      <c r="K3841" s="16" t="str">
        <f aca="false">IF(B3841="","",IF(AND(D3841="Formalização",E3841="Concluído"),IF(COUNTIFS($B$2:$B$5001,B3841,$E$2:$E$5001,"Em ajustes",$A$2:$A$5001,"&lt;"&amp;I3841)&gt;0,1,0),0))</f>
        <v/>
      </c>
      <c r="L3841" s="16" t="str">
        <f aca="false">IF(B3841="","",IF(A3841=_xlfn.MAXIFS($A$2:$A$5001,$B$2:$B$5001,B3841,$I$2:$I$5001,I3841),1,0))</f>
        <v/>
      </c>
    </row>
    <row r="3842" customFormat="false" ht="15" hidden="false" customHeight="false" outlineLevel="0" collapsed="false">
      <c r="I3842" s="15" t="str">
        <f aca="false">IF(A3842="","",INT(A3842))</f>
        <v/>
      </c>
      <c r="J3842" s="16" t="str">
        <f aca="false">IF(B3842="","",IF(A3842=_xlfn.MINIFS($A$2:$A$5001,$B$2:$B$5001,B3842),1,0))</f>
        <v/>
      </c>
      <c r="K3842" s="16" t="str">
        <f aca="false">IF(B3842="","",IF(AND(D3842="Formalização",E3842="Concluído"),IF(COUNTIFS($B$2:$B$5001,B3842,$E$2:$E$5001,"Em ajustes",$A$2:$A$5001,"&lt;"&amp;I3842)&gt;0,1,0),0))</f>
        <v/>
      </c>
      <c r="L3842" s="16" t="str">
        <f aca="false">IF(B3842="","",IF(A3842=_xlfn.MAXIFS($A$2:$A$5001,$B$2:$B$5001,B3842,$I$2:$I$5001,I3842),1,0))</f>
        <v/>
      </c>
    </row>
    <row r="3843" customFormat="false" ht="15" hidden="false" customHeight="false" outlineLevel="0" collapsed="false">
      <c r="I3843" s="15" t="str">
        <f aca="false">IF(A3843="","",INT(A3843))</f>
        <v/>
      </c>
      <c r="J3843" s="16" t="str">
        <f aca="false">IF(B3843="","",IF(A3843=_xlfn.MINIFS($A$2:$A$5001,$B$2:$B$5001,B3843),1,0))</f>
        <v/>
      </c>
      <c r="K3843" s="16" t="str">
        <f aca="false">IF(B3843="","",IF(AND(D3843="Formalização",E3843="Concluído"),IF(COUNTIFS($B$2:$B$5001,B3843,$E$2:$E$5001,"Em ajustes",$A$2:$A$5001,"&lt;"&amp;I3843)&gt;0,1,0),0))</f>
        <v/>
      </c>
      <c r="L3843" s="16" t="str">
        <f aca="false">IF(B3843="","",IF(A3843=_xlfn.MAXIFS($A$2:$A$5001,$B$2:$B$5001,B3843,$I$2:$I$5001,I3843),1,0))</f>
        <v/>
      </c>
    </row>
    <row r="3844" customFormat="false" ht="15" hidden="false" customHeight="false" outlineLevel="0" collapsed="false">
      <c r="I3844" s="15" t="str">
        <f aca="false">IF(A3844="","",INT(A3844))</f>
        <v/>
      </c>
      <c r="J3844" s="16" t="str">
        <f aca="false">IF(B3844="","",IF(A3844=_xlfn.MINIFS($A$2:$A$5001,$B$2:$B$5001,B3844),1,0))</f>
        <v/>
      </c>
      <c r="K3844" s="16" t="str">
        <f aca="false">IF(B3844="","",IF(AND(D3844="Formalização",E3844="Concluído"),IF(COUNTIFS($B$2:$B$5001,B3844,$E$2:$E$5001,"Em ajustes",$A$2:$A$5001,"&lt;"&amp;I3844)&gt;0,1,0),0))</f>
        <v/>
      </c>
      <c r="L3844" s="16" t="str">
        <f aca="false">IF(B3844="","",IF(A3844=_xlfn.MAXIFS($A$2:$A$5001,$B$2:$B$5001,B3844,$I$2:$I$5001,I3844),1,0))</f>
        <v/>
      </c>
    </row>
    <row r="3845" customFormat="false" ht="15" hidden="false" customHeight="false" outlineLevel="0" collapsed="false">
      <c r="I3845" s="15" t="str">
        <f aca="false">IF(A3845="","",INT(A3845))</f>
        <v/>
      </c>
      <c r="J3845" s="16" t="str">
        <f aca="false">IF(B3845="","",IF(A3845=_xlfn.MINIFS($A$2:$A$5001,$B$2:$B$5001,B3845),1,0))</f>
        <v/>
      </c>
      <c r="K3845" s="16" t="str">
        <f aca="false">IF(B3845="","",IF(AND(D3845="Formalização",E3845="Concluído"),IF(COUNTIFS($B$2:$B$5001,B3845,$E$2:$E$5001,"Em ajustes",$A$2:$A$5001,"&lt;"&amp;I3845)&gt;0,1,0),0))</f>
        <v/>
      </c>
      <c r="L3845" s="16" t="str">
        <f aca="false">IF(B3845="","",IF(A3845=_xlfn.MAXIFS($A$2:$A$5001,$B$2:$B$5001,B3845,$I$2:$I$5001,I3845),1,0))</f>
        <v/>
      </c>
    </row>
    <row r="3846" customFormat="false" ht="15" hidden="false" customHeight="false" outlineLevel="0" collapsed="false">
      <c r="I3846" s="15" t="str">
        <f aca="false">IF(A3846="","",INT(A3846))</f>
        <v/>
      </c>
      <c r="J3846" s="16" t="str">
        <f aca="false">IF(B3846="","",IF(A3846=_xlfn.MINIFS($A$2:$A$5001,$B$2:$B$5001,B3846),1,0))</f>
        <v/>
      </c>
      <c r="K3846" s="16" t="str">
        <f aca="false">IF(B3846="","",IF(AND(D3846="Formalização",E3846="Concluído"),IF(COUNTIFS($B$2:$B$5001,B3846,$E$2:$E$5001,"Em ajustes",$A$2:$A$5001,"&lt;"&amp;I3846)&gt;0,1,0),0))</f>
        <v/>
      </c>
      <c r="L3846" s="16" t="str">
        <f aca="false">IF(B3846="","",IF(A3846=_xlfn.MAXIFS($A$2:$A$5001,$B$2:$B$5001,B3846,$I$2:$I$5001,I3846),1,0))</f>
        <v/>
      </c>
    </row>
    <row r="3847" customFormat="false" ht="15" hidden="false" customHeight="false" outlineLevel="0" collapsed="false">
      <c r="I3847" s="15" t="str">
        <f aca="false">IF(A3847="","",INT(A3847))</f>
        <v/>
      </c>
      <c r="J3847" s="16" t="str">
        <f aca="false">IF(B3847="","",IF(A3847=_xlfn.MINIFS($A$2:$A$5001,$B$2:$B$5001,B3847),1,0))</f>
        <v/>
      </c>
      <c r="K3847" s="16" t="str">
        <f aca="false">IF(B3847="","",IF(AND(D3847="Formalização",E3847="Concluído"),IF(COUNTIFS($B$2:$B$5001,B3847,$E$2:$E$5001,"Em ajustes",$A$2:$A$5001,"&lt;"&amp;I3847)&gt;0,1,0),0))</f>
        <v/>
      </c>
      <c r="L3847" s="16" t="str">
        <f aca="false">IF(B3847="","",IF(A3847=_xlfn.MAXIFS($A$2:$A$5001,$B$2:$B$5001,B3847,$I$2:$I$5001,I3847),1,0))</f>
        <v/>
      </c>
    </row>
    <row r="3848" customFormat="false" ht="15" hidden="false" customHeight="false" outlineLevel="0" collapsed="false">
      <c r="I3848" s="15" t="str">
        <f aca="false">IF(A3848="","",INT(A3848))</f>
        <v/>
      </c>
      <c r="J3848" s="16" t="str">
        <f aca="false">IF(B3848="","",IF(A3848=_xlfn.MINIFS($A$2:$A$5001,$B$2:$B$5001,B3848),1,0))</f>
        <v/>
      </c>
      <c r="K3848" s="16" t="str">
        <f aca="false">IF(B3848="","",IF(AND(D3848="Formalização",E3848="Concluído"),IF(COUNTIFS($B$2:$B$5001,B3848,$E$2:$E$5001,"Em ajustes",$A$2:$A$5001,"&lt;"&amp;I3848)&gt;0,1,0),0))</f>
        <v/>
      </c>
      <c r="L3848" s="16" t="str">
        <f aca="false">IF(B3848="","",IF(A3848=_xlfn.MAXIFS($A$2:$A$5001,$B$2:$B$5001,B3848,$I$2:$I$5001,I3848),1,0))</f>
        <v/>
      </c>
    </row>
    <row r="3849" customFormat="false" ht="15" hidden="false" customHeight="false" outlineLevel="0" collapsed="false">
      <c r="I3849" s="15" t="str">
        <f aca="false">IF(A3849="","",INT(A3849))</f>
        <v/>
      </c>
      <c r="J3849" s="16" t="str">
        <f aca="false">IF(B3849="","",IF(A3849=_xlfn.MINIFS($A$2:$A$5001,$B$2:$B$5001,B3849),1,0))</f>
        <v/>
      </c>
      <c r="K3849" s="16" t="str">
        <f aca="false">IF(B3849="","",IF(AND(D3849="Formalização",E3849="Concluído"),IF(COUNTIFS($B$2:$B$5001,B3849,$E$2:$E$5001,"Em ajustes",$A$2:$A$5001,"&lt;"&amp;I3849)&gt;0,1,0),0))</f>
        <v/>
      </c>
      <c r="L3849" s="16" t="str">
        <f aca="false">IF(B3849="","",IF(A3849=_xlfn.MAXIFS($A$2:$A$5001,$B$2:$B$5001,B3849,$I$2:$I$5001,I3849),1,0))</f>
        <v/>
      </c>
    </row>
    <row r="3850" customFormat="false" ht="15" hidden="false" customHeight="false" outlineLevel="0" collapsed="false">
      <c r="I3850" s="15" t="str">
        <f aca="false">IF(A3850="","",INT(A3850))</f>
        <v/>
      </c>
      <c r="J3850" s="16" t="str">
        <f aca="false">IF(B3850="","",IF(A3850=_xlfn.MINIFS($A$2:$A$5001,$B$2:$B$5001,B3850),1,0))</f>
        <v/>
      </c>
      <c r="K3850" s="16" t="str">
        <f aca="false">IF(B3850="","",IF(AND(D3850="Formalização",E3850="Concluído"),IF(COUNTIFS($B$2:$B$5001,B3850,$E$2:$E$5001,"Em ajustes",$A$2:$A$5001,"&lt;"&amp;I3850)&gt;0,1,0),0))</f>
        <v/>
      </c>
      <c r="L3850" s="16" t="str">
        <f aca="false">IF(B3850="","",IF(A3850=_xlfn.MAXIFS($A$2:$A$5001,$B$2:$B$5001,B3850,$I$2:$I$5001,I3850),1,0))</f>
        <v/>
      </c>
    </row>
    <row r="3851" customFormat="false" ht="15" hidden="false" customHeight="false" outlineLevel="0" collapsed="false">
      <c r="I3851" s="15" t="str">
        <f aca="false">IF(A3851="","",INT(A3851))</f>
        <v/>
      </c>
      <c r="J3851" s="16" t="str">
        <f aca="false">IF(B3851="","",IF(A3851=_xlfn.MINIFS($A$2:$A$5001,$B$2:$B$5001,B3851),1,0))</f>
        <v/>
      </c>
      <c r="K3851" s="16" t="str">
        <f aca="false">IF(B3851="","",IF(AND(D3851="Formalização",E3851="Concluído"),IF(COUNTIFS($B$2:$B$5001,B3851,$E$2:$E$5001,"Em ajustes",$A$2:$A$5001,"&lt;"&amp;I3851)&gt;0,1,0),0))</f>
        <v/>
      </c>
      <c r="L3851" s="16" t="str">
        <f aca="false">IF(B3851="","",IF(A3851=_xlfn.MAXIFS($A$2:$A$5001,$B$2:$B$5001,B3851,$I$2:$I$5001,I3851),1,0))</f>
        <v/>
      </c>
    </row>
    <row r="3852" customFormat="false" ht="15" hidden="false" customHeight="false" outlineLevel="0" collapsed="false">
      <c r="I3852" s="15" t="str">
        <f aca="false">IF(A3852="","",INT(A3852))</f>
        <v/>
      </c>
      <c r="J3852" s="16" t="str">
        <f aca="false">IF(B3852="","",IF(A3852=_xlfn.MINIFS($A$2:$A$5001,$B$2:$B$5001,B3852),1,0))</f>
        <v/>
      </c>
      <c r="K3852" s="16" t="str">
        <f aca="false">IF(B3852="","",IF(AND(D3852="Formalização",E3852="Concluído"),IF(COUNTIFS($B$2:$B$5001,B3852,$E$2:$E$5001,"Em ajustes",$A$2:$A$5001,"&lt;"&amp;I3852)&gt;0,1,0),0))</f>
        <v/>
      </c>
      <c r="L3852" s="16" t="str">
        <f aca="false">IF(B3852="","",IF(A3852=_xlfn.MAXIFS($A$2:$A$5001,$B$2:$B$5001,B3852,$I$2:$I$5001,I3852),1,0))</f>
        <v/>
      </c>
    </row>
    <row r="3853" customFormat="false" ht="15" hidden="false" customHeight="false" outlineLevel="0" collapsed="false">
      <c r="I3853" s="15" t="str">
        <f aca="false">IF(A3853="","",INT(A3853))</f>
        <v/>
      </c>
      <c r="J3853" s="16" t="str">
        <f aca="false">IF(B3853="","",IF(A3853=_xlfn.MINIFS($A$2:$A$5001,$B$2:$B$5001,B3853),1,0))</f>
        <v/>
      </c>
      <c r="K3853" s="16" t="str">
        <f aca="false">IF(B3853="","",IF(AND(D3853="Formalização",E3853="Concluído"),IF(COUNTIFS($B$2:$B$5001,B3853,$E$2:$E$5001,"Em ajustes",$A$2:$A$5001,"&lt;"&amp;I3853)&gt;0,1,0),0))</f>
        <v/>
      </c>
      <c r="L3853" s="16" t="str">
        <f aca="false">IF(B3853="","",IF(A3853=_xlfn.MAXIFS($A$2:$A$5001,$B$2:$B$5001,B3853,$I$2:$I$5001,I3853),1,0))</f>
        <v/>
      </c>
    </row>
    <row r="3854" customFormat="false" ht="15" hidden="false" customHeight="false" outlineLevel="0" collapsed="false">
      <c r="I3854" s="15" t="str">
        <f aca="false">IF(A3854="","",INT(A3854))</f>
        <v/>
      </c>
      <c r="J3854" s="16" t="str">
        <f aca="false">IF(B3854="","",IF(A3854=_xlfn.MINIFS($A$2:$A$5001,$B$2:$B$5001,B3854),1,0))</f>
        <v/>
      </c>
      <c r="K3854" s="16" t="str">
        <f aca="false">IF(B3854="","",IF(AND(D3854="Formalização",E3854="Concluído"),IF(COUNTIFS($B$2:$B$5001,B3854,$E$2:$E$5001,"Em ajustes",$A$2:$A$5001,"&lt;"&amp;I3854)&gt;0,1,0),0))</f>
        <v/>
      </c>
      <c r="L3854" s="16" t="str">
        <f aca="false">IF(B3854="","",IF(A3854=_xlfn.MAXIFS($A$2:$A$5001,$B$2:$B$5001,B3854,$I$2:$I$5001,I3854),1,0))</f>
        <v/>
      </c>
    </row>
    <row r="3855" customFormat="false" ht="15" hidden="false" customHeight="false" outlineLevel="0" collapsed="false">
      <c r="I3855" s="15" t="str">
        <f aca="false">IF(A3855="","",INT(A3855))</f>
        <v/>
      </c>
      <c r="J3855" s="16" t="str">
        <f aca="false">IF(B3855="","",IF(A3855=_xlfn.MINIFS($A$2:$A$5001,$B$2:$B$5001,B3855),1,0))</f>
        <v/>
      </c>
      <c r="K3855" s="16" t="str">
        <f aca="false">IF(B3855="","",IF(AND(D3855="Formalização",E3855="Concluído"),IF(COUNTIFS($B$2:$B$5001,B3855,$E$2:$E$5001,"Em ajustes",$A$2:$A$5001,"&lt;"&amp;I3855)&gt;0,1,0),0))</f>
        <v/>
      </c>
      <c r="L3855" s="16" t="str">
        <f aca="false">IF(B3855="","",IF(A3855=_xlfn.MAXIFS($A$2:$A$5001,$B$2:$B$5001,B3855,$I$2:$I$5001,I3855),1,0))</f>
        <v/>
      </c>
    </row>
    <row r="3856" customFormat="false" ht="15" hidden="false" customHeight="false" outlineLevel="0" collapsed="false">
      <c r="I3856" s="15" t="str">
        <f aca="false">IF(A3856="","",INT(A3856))</f>
        <v/>
      </c>
      <c r="J3856" s="16" t="str">
        <f aca="false">IF(B3856="","",IF(A3856=_xlfn.MINIFS($A$2:$A$5001,$B$2:$B$5001,B3856),1,0))</f>
        <v/>
      </c>
      <c r="K3856" s="16" t="str">
        <f aca="false">IF(B3856="","",IF(AND(D3856="Formalização",E3856="Concluído"),IF(COUNTIFS($B$2:$B$5001,B3856,$E$2:$E$5001,"Em ajustes",$A$2:$A$5001,"&lt;"&amp;I3856)&gt;0,1,0),0))</f>
        <v/>
      </c>
      <c r="L3856" s="16" t="str">
        <f aca="false">IF(B3856="","",IF(A3856=_xlfn.MAXIFS($A$2:$A$5001,$B$2:$B$5001,B3856,$I$2:$I$5001,I3856),1,0))</f>
        <v/>
      </c>
    </row>
    <row r="3857" customFormat="false" ht="15" hidden="false" customHeight="false" outlineLevel="0" collapsed="false">
      <c r="I3857" s="15" t="str">
        <f aca="false">IF(A3857="","",INT(A3857))</f>
        <v/>
      </c>
      <c r="J3857" s="16" t="str">
        <f aca="false">IF(B3857="","",IF(A3857=_xlfn.MINIFS($A$2:$A$5001,$B$2:$B$5001,B3857),1,0))</f>
        <v/>
      </c>
      <c r="K3857" s="16" t="str">
        <f aca="false">IF(B3857="","",IF(AND(D3857="Formalização",E3857="Concluído"),IF(COUNTIFS($B$2:$B$5001,B3857,$E$2:$E$5001,"Em ajustes",$A$2:$A$5001,"&lt;"&amp;I3857)&gt;0,1,0),0))</f>
        <v/>
      </c>
      <c r="L3857" s="16" t="str">
        <f aca="false">IF(B3857="","",IF(A3857=_xlfn.MAXIFS($A$2:$A$5001,$B$2:$B$5001,B3857,$I$2:$I$5001,I3857),1,0))</f>
        <v/>
      </c>
    </row>
    <row r="3858" customFormat="false" ht="15" hidden="false" customHeight="false" outlineLevel="0" collapsed="false">
      <c r="I3858" s="15" t="str">
        <f aca="false">IF(A3858="","",INT(A3858))</f>
        <v/>
      </c>
      <c r="J3858" s="16" t="str">
        <f aca="false">IF(B3858="","",IF(A3858=_xlfn.MINIFS($A$2:$A$5001,$B$2:$B$5001,B3858),1,0))</f>
        <v/>
      </c>
      <c r="K3858" s="16" t="str">
        <f aca="false">IF(B3858="","",IF(AND(D3858="Formalização",E3858="Concluído"),IF(COUNTIFS($B$2:$B$5001,B3858,$E$2:$E$5001,"Em ajustes",$A$2:$A$5001,"&lt;"&amp;I3858)&gt;0,1,0),0))</f>
        <v/>
      </c>
      <c r="L3858" s="16" t="str">
        <f aca="false">IF(B3858="","",IF(A3858=_xlfn.MAXIFS($A$2:$A$5001,$B$2:$B$5001,B3858,$I$2:$I$5001,I3858),1,0))</f>
        <v/>
      </c>
    </row>
    <row r="3859" customFormat="false" ht="15" hidden="false" customHeight="false" outlineLevel="0" collapsed="false">
      <c r="I3859" s="15" t="str">
        <f aca="false">IF(A3859="","",INT(A3859))</f>
        <v/>
      </c>
      <c r="J3859" s="16" t="str">
        <f aca="false">IF(B3859="","",IF(A3859=_xlfn.MINIFS($A$2:$A$5001,$B$2:$B$5001,B3859),1,0))</f>
        <v/>
      </c>
      <c r="K3859" s="16" t="str">
        <f aca="false">IF(B3859="","",IF(AND(D3859="Formalização",E3859="Concluído"),IF(COUNTIFS($B$2:$B$5001,B3859,$E$2:$E$5001,"Em ajustes",$A$2:$A$5001,"&lt;"&amp;I3859)&gt;0,1,0),0))</f>
        <v/>
      </c>
      <c r="L3859" s="16" t="str">
        <f aca="false">IF(B3859="","",IF(A3859=_xlfn.MAXIFS($A$2:$A$5001,$B$2:$B$5001,B3859,$I$2:$I$5001,I3859),1,0))</f>
        <v/>
      </c>
    </row>
    <row r="3860" customFormat="false" ht="15" hidden="false" customHeight="false" outlineLevel="0" collapsed="false">
      <c r="I3860" s="15" t="str">
        <f aca="false">IF(A3860="","",INT(A3860))</f>
        <v/>
      </c>
      <c r="J3860" s="16" t="str">
        <f aca="false">IF(B3860="","",IF(A3860=_xlfn.MINIFS($A$2:$A$5001,$B$2:$B$5001,B3860),1,0))</f>
        <v/>
      </c>
      <c r="K3860" s="16" t="str">
        <f aca="false">IF(B3860="","",IF(AND(D3860="Formalização",E3860="Concluído"),IF(COUNTIFS($B$2:$B$5001,B3860,$E$2:$E$5001,"Em ajustes",$A$2:$A$5001,"&lt;"&amp;I3860)&gt;0,1,0),0))</f>
        <v/>
      </c>
      <c r="L3860" s="16" t="str">
        <f aca="false">IF(B3860="","",IF(A3860=_xlfn.MAXIFS($A$2:$A$5001,$B$2:$B$5001,B3860,$I$2:$I$5001,I3860),1,0))</f>
        <v/>
      </c>
    </row>
    <row r="3861" customFormat="false" ht="15" hidden="false" customHeight="false" outlineLevel="0" collapsed="false">
      <c r="I3861" s="15" t="str">
        <f aca="false">IF(A3861="","",INT(A3861))</f>
        <v/>
      </c>
      <c r="J3861" s="16" t="str">
        <f aca="false">IF(B3861="","",IF(A3861=_xlfn.MINIFS($A$2:$A$5001,$B$2:$B$5001,B3861),1,0))</f>
        <v/>
      </c>
      <c r="K3861" s="16" t="str">
        <f aca="false">IF(B3861="","",IF(AND(D3861="Formalização",E3861="Concluído"),IF(COUNTIFS($B$2:$B$5001,B3861,$E$2:$E$5001,"Em ajustes",$A$2:$A$5001,"&lt;"&amp;I3861)&gt;0,1,0),0))</f>
        <v/>
      </c>
      <c r="L3861" s="16" t="str">
        <f aca="false">IF(B3861="","",IF(A3861=_xlfn.MAXIFS($A$2:$A$5001,$B$2:$B$5001,B3861,$I$2:$I$5001,I3861),1,0))</f>
        <v/>
      </c>
    </row>
    <row r="3862" customFormat="false" ht="15" hidden="false" customHeight="false" outlineLevel="0" collapsed="false">
      <c r="I3862" s="15" t="str">
        <f aca="false">IF(A3862="","",INT(A3862))</f>
        <v/>
      </c>
      <c r="J3862" s="16" t="str">
        <f aca="false">IF(B3862="","",IF(A3862=_xlfn.MINIFS($A$2:$A$5001,$B$2:$B$5001,B3862),1,0))</f>
        <v/>
      </c>
      <c r="K3862" s="16" t="str">
        <f aca="false">IF(B3862="","",IF(AND(D3862="Formalização",E3862="Concluído"),IF(COUNTIFS($B$2:$B$5001,B3862,$E$2:$E$5001,"Em ajustes",$A$2:$A$5001,"&lt;"&amp;I3862)&gt;0,1,0),0))</f>
        <v/>
      </c>
      <c r="L3862" s="16" t="str">
        <f aca="false">IF(B3862="","",IF(A3862=_xlfn.MAXIFS($A$2:$A$5001,$B$2:$B$5001,B3862,$I$2:$I$5001,I3862),1,0))</f>
        <v/>
      </c>
    </row>
    <row r="3863" customFormat="false" ht="15" hidden="false" customHeight="false" outlineLevel="0" collapsed="false">
      <c r="I3863" s="15" t="str">
        <f aca="false">IF(A3863="","",INT(A3863))</f>
        <v/>
      </c>
      <c r="J3863" s="16" t="str">
        <f aca="false">IF(B3863="","",IF(A3863=_xlfn.MINIFS($A$2:$A$5001,$B$2:$B$5001,B3863),1,0))</f>
        <v/>
      </c>
      <c r="K3863" s="16" t="str">
        <f aca="false">IF(B3863="","",IF(AND(D3863="Formalização",E3863="Concluído"),IF(COUNTIFS($B$2:$B$5001,B3863,$E$2:$E$5001,"Em ajustes",$A$2:$A$5001,"&lt;"&amp;I3863)&gt;0,1,0),0))</f>
        <v/>
      </c>
      <c r="L3863" s="16" t="str">
        <f aca="false">IF(B3863="","",IF(A3863=_xlfn.MAXIFS($A$2:$A$5001,$B$2:$B$5001,B3863,$I$2:$I$5001,I3863),1,0))</f>
        <v/>
      </c>
    </row>
    <row r="3864" customFormat="false" ht="15" hidden="false" customHeight="false" outlineLevel="0" collapsed="false">
      <c r="I3864" s="15" t="str">
        <f aca="false">IF(A3864="","",INT(A3864))</f>
        <v/>
      </c>
      <c r="J3864" s="16" t="str">
        <f aca="false">IF(B3864="","",IF(A3864=_xlfn.MINIFS($A$2:$A$5001,$B$2:$B$5001,B3864),1,0))</f>
        <v/>
      </c>
      <c r="K3864" s="16" t="str">
        <f aca="false">IF(B3864="","",IF(AND(D3864="Formalização",E3864="Concluído"),IF(COUNTIFS($B$2:$B$5001,B3864,$E$2:$E$5001,"Em ajustes",$A$2:$A$5001,"&lt;"&amp;I3864)&gt;0,1,0),0))</f>
        <v/>
      </c>
      <c r="L3864" s="16" t="str">
        <f aca="false">IF(B3864="","",IF(A3864=_xlfn.MAXIFS($A$2:$A$5001,$B$2:$B$5001,B3864,$I$2:$I$5001,I3864),1,0))</f>
        <v/>
      </c>
    </row>
    <row r="3865" customFormat="false" ht="15" hidden="false" customHeight="false" outlineLevel="0" collapsed="false">
      <c r="I3865" s="15" t="str">
        <f aca="false">IF(A3865="","",INT(A3865))</f>
        <v/>
      </c>
      <c r="J3865" s="16" t="str">
        <f aca="false">IF(B3865="","",IF(A3865=_xlfn.MINIFS($A$2:$A$5001,$B$2:$B$5001,B3865),1,0))</f>
        <v/>
      </c>
      <c r="K3865" s="16" t="str">
        <f aca="false">IF(B3865="","",IF(AND(D3865="Formalização",E3865="Concluído"),IF(COUNTIFS($B$2:$B$5001,B3865,$E$2:$E$5001,"Em ajustes",$A$2:$A$5001,"&lt;"&amp;I3865)&gt;0,1,0),0))</f>
        <v/>
      </c>
      <c r="L3865" s="16" t="str">
        <f aca="false">IF(B3865="","",IF(A3865=_xlfn.MAXIFS($A$2:$A$5001,$B$2:$B$5001,B3865,$I$2:$I$5001,I3865),1,0))</f>
        <v/>
      </c>
    </row>
    <row r="3866" customFormat="false" ht="15" hidden="false" customHeight="false" outlineLevel="0" collapsed="false">
      <c r="I3866" s="15" t="str">
        <f aca="false">IF(A3866="","",INT(A3866))</f>
        <v/>
      </c>
      <c r="J3866" s="16" t="str">
        <f aca="false">IF(B3866="","",IF(A3866=_xlfn.MINIFS($A$2:$A$5001,$B$2:$B$5001,B3866),1,0))</f>
        <v/>
      </c>
      <c r="K3866" s="16" t="str">
        <f aca="false">IF(B3866="","",IF(AND(D3866="Formalização",E3866="Concluído"),IF(COUNTIFS($B$2:$B$5001,B3866,$E$2:$E$5001,"Em ajustes",$A$2:$A$5001,"&lt;"&amp;I3866)&gt;0,1,0),0))</f>
        <v/>
      </c>
      <c r="L3866" s="16" t="str">
        <f aca="false">IF(B3866="","",IF(A3866=_xlfn.MAXIFS($A$2:$A$5001,$B$2:$B$5001,B3866,$I$2:$I$5001,I3866),1,0))</f>
        <v/>
      </c>
    </row>
    <row r="3867" customFormat="false" ht="15" hidden="false" customHeight="false" outlineLevel="0" collapsed="false">
      <c r="I3867" s="15" t="str">
        <f aca="false">IF(A3867="","",INT(A3867))</f>
        <v/>
      </c>
      <c r="J3867" s="16" t="str">
        <f aca="false">IF(B3867="","",IF(A3867=_xlfn.MINIFS($A$2:$A$5001,$B$2:$B$5001,B3867),1,0))</f>
        <v/>
      </c>
      <c r="K3867" s="16" t="str">
        <f aca="false">IF(B3867="","",IF(AND(D3867="Formalização",E3867="Concluído"),IF(COUNTIFS($B$2:$B$5001,B3867,$E$2:$E$5001,"Em ajustes",$A$2:$A$5001,"&lt;"&amp;I3867)&gt;0,1,0),0))</f>
        <v/>
      </c>
      <c r="L3867" s="16" t="str">
        <f aca="false">IF(B3867="","",IF(A3867=_xlfn.MAXIFS($A$2:$A$5001,$B$2:$B$5001,B3867,$I$2:$I$5001,I3867),1,0))</f>
        <v/>
      </c>
    </row>
    <row r="3868" customFormat="false" ht="15" hidden="false" customHeight="false" outlineLevel="0" collapsed="false">
      <c r="I3868" s="15" t="str">
        <f aca="false">IF(A3868="","",INT(A3868))</f>
        <v/>
      </c>
      <c r="J3868" s="16" t="str">
        <f aca="false">IF(B3868="","",IF(A3868=_xlfn.MINIFS($A$2:$A$5001,$B$2:$B$5001,B3868),1,0))</f>
        <v/>
      </c>
      <c r="K3868" s="16" t="str">
        <f aca="false">IF(B3868="","",IF(AND(D3868="Formalização",E3868="Concluído"),IF(COUNTIFS($B$2:$B$5001,B3868,$E$2:$E$5001,"Em ajustes",$A$2:$A$5001,"&lt;"&amp;I3868)&gt;0,1,0),0))</f>
        <v/>
      </c>
      <c r="L3868" s="16" t="str">
        <f aca="false">IF(B3868="","",IF(A3868=_xlfn.MAXIFS($A$2:$A$5001,$B$2:$B$5001,B3868,$I$2:$I$5001,I3868),1,0))</f>
        <v/>
      </c>
    </row>
    <row r="3869" customFormat="false" ht="15" hidden="false" customHeight="false" outlineLevel="0" collapsed="false">
      <c r="I3869" s="15" t="str">
        <f aca="false">IF(A3869="","",INT(A3869))</f>
        <v/>
      </c>
      <c r="J3869" s="16" t="str">
        <f aca="false">IF(B3869="","",IF(A3869=_xlfn.MINIFS($A$2:$A$5001,$B$2:$B$5001,B3869),1,0))</f>
        <v/>
      </c>
      <c r="K3869" s="16" t="str">
        <f aca="false">IF(B3869="","",IF(AND(D3869="Formalização",E3869="Concluído"),IF(COUNTIFS($B$2:$B$5001,B3869,$E$2:$E$5001,"Em ajustes",$A$2:$A$5001,"&lt;"&amp;I3869)&gt;0,1,0),0))</f>
        <v/>
      </c>
      <c r="L3869" s="16" t="str">
        <f aca="false">IF(B3869="","",IF(A3869=_xlfn.MAXIFS($A$2:$A$5001,$B$2:$B$5001,B3869,$I$2:$I$5001,I3869),1,0))</f>
        <v/>
      </c>
    </row>
    <row r="3870" customFormat="false" ht="15" hidden="false" customHeight="false" outlineLevel="0" collapsed="false">
      <c r="I3870" s="15" t="str">
        <f aca="false">IF(A3870="","",INT(A3870))</f>
        <v/>
      </c>
      <c r="J3870" s="16" t="str">
        <f aca="false">IF(B3870="","",IF(A3870=_xlfn.MINIFS($A$2:$A$5001,$B$2:$B$5001,B3870),1,0))</f>
        <v/>
      </c>
      <c r="K3870" s="16" t="str">
        <f aca="false">IF(B3870="","",IF(AND(D3870="Formalização",E3870="Concluído"),IF(COUNTIFS($B$2:$B$5001,B3870,$E$2:$E$5001,"Em ajustes",$A$2:$A$5001,"&lt;"&amp;I3870)&gt;0,1,0),0))</f>
        <v/>
      </c>
      <c r="L3870" s="16" t="str">
        <f aca="false">IF(B3870="","",IF(A3870=_xlfn.MAXIFS($A$2:$A$5001,$B$2:$B$5001,B3870,$I$2:$I$5001,I3870),1,0))</f>
        <v/>
      </c>
    </row>
    <row r="3871" customFormat="false" ht="15" hidden="false" customHeight="false" outlineLevel="0" collapsed="false">
      <c r="I3871" s="15" t="str">
        <f aca="false">IF(A3871="","",INT(A3871))</f>
        <v/>
      </c>
      <c r="J3871" s="16" t="str">
        <f aca="false">IF(B3871="","",IF(A3871=_xlfn.MINIFS($A$2:$A$5001,$B$2:$B$5001,B3871),1,0))</f>
        <v/>
      </c>
      <c r="K3871" s="16" t="str">
        <f aca="false">IF(B3871="","",IF(AND(D3871="Formalização",E3871="Concluído"),IF(COUNTIFS($B$2:$B$5001,B3871,$E$2:$E$5001,"Em ajustes",$A$2:$A$5001,"&lt;"&amp;I3871)&gt;0,1,0),0))</f>
        <v/>
      </c>
      <c r="L3871" s="16" t="str">
        <f aca="false">IF(B3871="","",IF(A3871=_xlfn.MAXIFS($A$2:$A$5001,$B$2:$B$5001,B3871,$I$2:$I$5001,I3871),1,0))</f>
        <v/>
      </c>
    </row>
    <row r="3872" customFormat="false" ht="15" hidden="false" customHeight="false" outlineLevel="0" collapsed="false">
      <c r="I3872" s="15" t="str">
        <f aca="false">IF(A3872="","",INT(A3872))</f>
        <v/>
      </c>
      <c r="J3872" s="16" t="str">
        <f aca="false">IF(B3872="","",IF(A3872=_xlfn.MINIFS($A$2:$A$5001,$B$2:$B$5001,B3872),1,0))</f>
        <v/>
      </c>
      <c r="K3872" s="16" t="str">
        <f aca="false">IF(B3872="","",IF(AND(D3872="Formalização",E3872="Concluído"),IF(COUNTIFS($B$2:$B$5001,B3872,$E$2:$E$5001,"Em ajustes",$A$2:$A$5001,"&lt;"&amp;I3872)&gt;0,1,0),0))</f>
        <v/>
      </c>
      <c r="L3872" s="16" t="str">
        <f aca="false">IF(B3872="","",IF(A3872=_xlfn.MAXIFS($A$2:$A$5001,$B$2:$B$5001,B3872,$I$2:$I$5001,I3872),1,0))</f>
        <v/>
      </c>
    </row>
    <row r="3873" customFormat="false" ht="15" hidden="false" customHeight="false" outlineLevel="0" collapsed="false">
      <c r="I3873" s="15" t="str">
        <f aca="false">IF(A3873="","",INT(A3873))</f>
        <v/>
      </c>
      <c r="J3873" s="16" t="str">
        <f aca="false">IF(B3873="","",IF(A3873=_xlfn.MINIFS($A$2:$A$5001,$B$2:$B$5001,B3873),1,0))</f>
        <v/>
      </c>
      <c r="K3873" s="16" t="str">
        <f aca="false">IF(B3873="","",IF(AND(D3873="Formalização",E3873="Concluído"),IF(COUNTIFS($B$2:$B$5001,B3873,$E$2:$E$5001,"Em ajustes",$A$2:$A$5001,"&lt;"&amp;I3873)&gt;0,1,0),0))</f>
        <v/>
      </c>
      <c r="L3873" s="16" t="str">
        <f aca="false">IF(B3873="","",IF(A3873=_xlfn.MAXIFS($A$2:$A$5001,$B$2:$B$5001,B3873,$I$2:$I$5001,I3873),1,0))</f>
        <v/>
      </c>
    </row>
    <row r="3874" customFormat="false" ht="15" hidden="false" customHeight="false" outlineLevel="0" collapsed="false">
      <c r="I3874" s="15" t="str">
        <f aca="false">IF(A3874="","",INT(A3874))</f>
        <v/>
      </c>
      <c r="J3874" s="16" t="str">
        <f aca="false">IF(B3874="","",IF(A3874=_xlfn.MINIFS($A$2:$A$5001,$B$2:$B$5001,B3874),1,0))</f>
        <v/>
      </c>
      <c r="K3874" s="16" t="str">
        <f aca="false">IF(B3874="","",IF(AND(D3874="Formalização",E3874="Concluído"),IF(COUNTIFS($B$2:$B$5001,B3874,$E$2:$E$5001,"Em ajustes",$A$2:$A$5001,"&lt;"&amp;I3874)&gt;0,1,0),0))</f>
        <v/>
      </c>
      <c r="L3874" s="16" t="str">
        <f aca="false">IF(B3874="","",IF(A3874=_xlfn.MAXIFS($A$2:$A$5001,$B$2:$B$5001,B3874,$I$2:$I$5001,I3874),1,0))</f>
        <v/>
      </c>
    </row>
    <row r="3875" customFormat="false" ht="15" hidden="false" customHeight="false" outlineLevel="0" collapsed="false">
      <c r="I3875" s="15" t="str">
        <f aca="false">IF(A3875="","",INT(A3875))</f>
        <v/>
      </c>
      <c r="J3875" s="16" t="str">
        <f aca="false">IF(B3875="","",IF(A3875=_xlfn.MINIFS($A$2:$A$5001,$B$2:$B$5001,B3875),1,0))</f>
        <v/>
      </c>
      <c r="K3875" s="16" t="str">
        <f aca="false">IF(B3875="","",IF(AND(D3875="Formalização",E3875="Concluído"),IF(COUNTIFS($B$2:$B$5001,B3875,$E$2:$E$5001,"Em ajustes",$A$2:$A$5001,"&lt;"&amp;I3875)&gt;0,1,0),0))</f>
        <v/>
      </c>
      <c r="L3875" s="16" t="str">
        <f aca="false">IF(B3875="","",IF(A3875=_xlfn.MAXIFS($A$2:$A$5001,$B$2:$B$5001,B3875,$I$2:$I$5001,I3875),1,0))</f>
        <v/>
      </c>
    </row>
    <row r="3876" customFormat="false" ht="15" hidden="false" customHeight="false" outlineLevel="0" collapsed="false">
      <c r="I3876" s="15" t="str">
        <f aca="false">IF(A3876="","",INT(A3876))</f>
        <v/>
      </c>
      <c r="J3876" s="16" t="str">
        <f aca="false">IF(B3876="","",IF(A3876=_xlfn.MINIFS($A$2:$A$5001,$B$2:$B$5001,B3876),1,0))</f>
        <v/>
      </c>
      <c r="K3876" s="16" t="str">
        <f aca="false">IF(B3876="","",IF(AND(D3876="Formalização",E3876="Concluído"),IF(COUNTIFS($B$2:$B$5001,B3876,$E$2:$E$5001,"Em ajustes",$A$2:$A$5001,"&lt;"&amp;I3876)&gt;0,1,0),0))</f>
        <v/>
      </c>
      <c r="L3876" s="16" t="str">
        <f aca="false">IF(B3876="","",IF(A3876=_xlfn.MAXIFS($A$2:$A$5001,$B$2:$B$5001,B3876,$I$2:$I$5001,I3876),1,0))</f>
        <v/>
      </c>
    </row>
    <row r="3877" customFormat="false" ht="15" hidden="false" customHeight="false" outlineLevel="0" collapsed="false">
      <c r="I3877" s="15" t="str">
        <f aca="false">IF(A3877="","",INT(A3877))</f>
        <v/>
      </c>
      <c r="J3877" s="16" t="str">
        <f aca="false">IF(B3877="","",IF(A3877=_xlfn.MINIFS($A$2:$A$5001,$B$2:$B$5001,B3877),1,0))</f>
        <v/>
      </c>
      <c r="K3877" s="16" t="str">
        <f aca="false">IF(B3877="","",IF(AND(D3877="Formalização",E3877="Concluído"),IF(COUNTIFS($B$2:$B$5001,B3877,$E$2:$E$5001,"Em ajustes",$A$2:$A$5001,"&lt;"&amp;I3877)&gt;0,1,0),0))</f>
        <v/>
      </c>
      <c r="L3877" s="16" t="str">
        <f aca="false">IF(B3877="","",IF(A3877=_xlfn.MAXIFS($A$2:$A$5001,$B$2:$B$5001,B3877,$I$2:$I$5001,I3877),1,0))</f>
        <v/>
      </c>
    </row>
    <row r="3878" customFormat="false" ht="15" hidden="false" customHeight="false" outlineLevel="0" collapsed="false">
      <c r="I3878" s="15" t="str">
        <f aca="false">IF(A3878="","",INT(A3878))</f>
        <v/>
      </c>
      <c r="J3878" s="16" t="str">
        <f aca="false">IF(B3878="","",IF(A3878=_xlfn.MINIFS($A$2:$A$5001,$B$2:$B$5001,B3878),1,0))</f>
        <v/>
      </c>
      <c r="K3878" s="16" t="str">
        <f aca="false">IF(B3878="","",IF(AND(D3878="Formalização",E3878="Concluído"),IF(COUNTIFS($B$2:$B$5001,B3878,$E$2:$E$5001,"Em ajustes",$A$2:$A$5001,"&lt;"&amp;I3878)&gt;0,1,0),0))</f>
        <v/>
      </c>
      <c r="L3878" s="16" t="str">
        <f aca="false">IF(B3878="","",IF(A3878=_xlfn.MAXIFS($A$2:$A$5001,$B$2:$B$5001,B3878,$I$2:$I$5001,I3878),1,0))</f>
        <v/>
      </c>
    </row>
    <row r="3879" customFormat="false" ht="15" hidden="false" customHeight="false" outlineLevel="0" collapsed="false">
      <c r="I3879" s="15" t="str">
        <f aca="false">IF(A3879="","",INT(A3879))</f>
        <v/>
      </c>
      <c r="J3879" s="16" t="str">
        <f aca="false">IF(B3879="","",IF(A3879=_xlfn.MINIFS($A$2:$A$5001,$B$2:$B$5001,B3879),1,0))</f>
        <v/>
      </c>
      <c r="K3879" s="16" t="str">
        <f aca="false">IF(B3879="","",IF(AND(D3879="Formalização",E3879="Concluído"),IF(COUNTIFS($B$2:$B$5001,B3879,$E$2:$E$5001,"Em ajustes",$A$2:$A$5001,"&lt;"&amp;I3879)&gt;0,1,0),0))</f>
        <v/>
      </c>
      <c r="L3879" s="16" t="str">
        <f aca="false">IF(B3879="","",IF(A3879=_xlfn.MAXIFS($A$2:$A$5001,$B$2:$B$5001,B3879,$I$2:$I$5001,I3879),1,0))</f>
        <v/>
      </c>
    </row>
    <row r="3880" customFormat="false" ht="15" hidden="false" customHeight="false" outlineLevel="0" collapsed="false">
      <c r="I3880" s="15" t="str">
        <f aca="false">IF(A3880="","",INT(A3880))</f>
        <v/>
      </c>
      <c r="J3880" s="16" t="str">
        <f aca="false">IF(B3880="","",IF(A3880=_xlfn.MINIFS($A$2:$A$5001,$B$2:$B$5001,B3880),1,0))</f>
        <v/>
      </c>
      <c r="K3880" s="16" t="str">
        <f aca="false">IF(B3880="","",IF(AND(D3880="Formalização",E3880="Concluído"),IF(COUNTIFS($B$2:$B$5001,B3880,$E$2:$E$5001,"Em ajustes",$A$2:$A$5001,"&lt;"&amp;I3880)&gt;0,1,0),0))</f>
        <v/>
      </c>
      <c r="L3880" s="16" t="str">
        <f aca="false">IF(B3880="","",IF(A3880=_xlfn.MAXIFS($A$2:$A$5001,$B$2:$B$5001,B3880,$I$2:$I$5001,I3880),1,0))</f>
        <v/>
      </c>
    </row>
    <row r="3881" customFormat="false" ht="15" hidden="false" customHeight="false" outlineLevel="0" collapsed="false">
      <c r="I3881" s="15" t="str">
        <f aca="false">IF(A3881="","",INT(A3881))</f>
        <v/>
      </c>
      <c r="J3881" s="16" t="str">
        <f aca="false">IF(B3881="","",IF(A3881=_xlfn.MINIFS($A$2:$A$5001,$B$2:$B$5001,B3881),1,0))</f>
        <v/>
      </c>
      <c r="K3881" s="16" t="str">
        <f aca="false">IF(B3881="","",IF(AND(D3881="Formalização",E3881="Concluído"),IF(COUNTIFS($B$2:$B$5001,B3881,$E$2:$E$5001,"Em ajustes",$A$2:$A$5001,"&lt;"&amp;I3881)&gt;0,1,0),0))</f>
        <v/>
      </c>
      <c r="L3881" s="16" t="str">
        <f aca="false">IF(B3881="","",IF(A3881=_xlfn.MAXIFS($A$2:$A$5001,$B$2:$B$5001,B3881,$I$2:$I$5001,I3881),1,0))</f>
        <v/>
      </c>
    </row>
    <row r="3882" customFormat="false" ht="15" hidden="false" customHeight="false" outlineLevel="0" collapsed="false">
      <c r="I3882" s="15" t="str">
        <f aca="false">IF(A3882="","",INT(A3882))</f>
        <v/>
      </c>
      <c r="J3882" s="16" t="str">
        <f aca="false">IF(B3882="","",IF(A3882=_xlfn.MINIFS($A$2:$A$5001,$B$2:$B$5001,B3882),1,0))</f>
        <v/>
      </c>
      <c r="K3882" s="16" t="str">
        <f aca="false">IF(B3882="","",IF(AND(D3882="Formalização",E3882="Concluído"),IF(COUNTIFS($B$2:$B$5001,B3882,$E$2:$E$5001,"Em ajustes",$A$2:$A$5001,"&lt;"&amp;I3882)&gt;0,1,0),0))</f>
        <v/>
      </c>
      <c r="L3882" s="16" t="str">
        <f aca="false">IF(B3882="","",IF(A3882=_xlfn.MAXIFS($A$2:$A$5001,$B$2:$B$5001,B3882,$I$2:$I$5001,I3882),1,0))</f>
        <v/>
      </c>
    </row>
    <row r="3883" customFormat="false" ht="15" hidden="false" customHeight="false" outlineLevel="0" collapsed="false">
      <c r="I3883" s="15" t="str">
        <f aca="false">IF(A3883="","",INT(A3883))</f>
        <v/>
      </c>
      <c r="J3883" s="16" t="str">
        <f aca="false">IF(B3883="","",IF(A3883=_xlfn.MINIFS($A$2:$A$5001,$B$2:$B$5001,B3883),1,0))</f>
        <v/>
      </c>
      <c r="K3883" s="16" t="str">
        <f aca="false">IF(B3883="","",IF(AND(D3883="Formalização",E3883="Concluído"),IF(COUNTIFS($B$2:$B$5001,B3883,$E$2:$E$5001,"Em ajustes",$A$2:$A$5001,"&lt;"&amp;I3883)&gt;0,1,0),0))</f>
        <v/>
      </c>
      <c r="L3883" s="16" t="str">
        <f aca="false">IF(B3883="","",IF(A3883=_xlfn.MAXIFS($A$2:$A$5001,$B$2:$B$5001,B3883,$I$2:$I$5001,I3883),1,0))</f>
        <v/>
      </c>
    </row>
    <row r="3884" customFormat="false" ht="15" hidden="false" customHeight="false" outlineLevel="0" collapsed="false">
      <c r="I3884" s="15" t="str">
        <f aca="false">IF(A3884="","",INT(A3884))</f>
        <v/>
      </c>
      <c r="J3884" s="16" t="str">
        <f aca="false">IF(B3884="","",IF(A3884=_xlfn.MINIFS($A$2:$A$5001,$B$2:$B$5001,B3884),1,0))</f>
        <v/>
      </c>
      <c r="K3884" s="16" t="str">
        <f aca="false">IF(B3884="","",IF(AND(D3884="Formalização",E3884="Concluído"),IF(COUNTIFS($B$2:$B$5001,B3884,$E$2:$E$5001,"Em ajustes",$A$2:$A$5001,"&lt;"&amp;I3884)&gt;0,1,0),0))</f>
        <v/>
      </c>
      <c r="L3884" s="16" t="str">
        <f aca="false">IF(B3884="","",IF(A3884=_xlfn.MAXIFS($A$2:$A$5001,$B$2:$B$5001,B3884,$I$2:$I$5001,I3884),1,0))</f>
        <v/>
      </c>
    </row>
    <row r="3885" customFormat="false" ht="15" hidden="false" customHeight="false" outlineLevel="0" collapsed="false">
      <c r="I3885" s="15" t="str">
        <f aca="false">IF(A3885="","",INT(A3885))</f>
        <v/>
      </c>
      <c r="J3885" s="16" t="str">
        <f aca="false">IF(B3885="","",IF(A3885=_xlfn.MINIFS($A$2:$A$5001,$B$2:$B$5001,B3885),1,0))</f>
        <v/>
      </c>
      <c r="K3885" s="16" t="str">
        <f aca="false">IF(B3885="","",IF(AND(D3885="Formalização",E3885="Concluído"),IF(COUNTIFS($B$2:$B$5001,B3885,$E$2:$E$5001,"Em ajustes",$A$2:$A$5001,"&lt;"&amp;I3885)&gt;0,1,0),0))</f>
        <v/>
      </c>
      <c r="L3885" s="16" t="str">
        <f aca="false">IF(B3885="","",IF(A3885=_xlfn.MAXIFS($A$2:$A$5001,$B$2:$B$5001,B3885,$I$2:$I$5001,I3885),1,0))</f>
        <v/>
      </c>
    </row>
    <row r="3886" customFormat="false" ht="15" hidden="false" customHeight="false" outlineLevel="0" collapsed="false">
      <c r="I3886" s="15" t="str">
        <f aca="false">IF(A3886="","",INT(A3886))</f>
        <v/>
      </c>
      <c r="J3886" s="16" t="str">
        <f aca="false">IF(B3886="","",IF(A3886=_xlfn.MINIFS($A$2:$A$5001,$B$2:$B$5001,B3886),1,0))</f>
        <v/>
      </c>
      <c r="K3886" s="16" t="str">
        <f aca="false">IF(B3886="","",IF(AND(D3886="Formalização",E3886="Concluído"),IF(COUNTIFS($B$2:$B$5001,B3886,$E$2:$E$5001,"Em ajustes",$A$2:$A$5001,"&lt;"&amp;I3886)&gt;0,1,0),0))</f>
        <v/>
      </c>
      <c r="L3886" s="16" t="str">
        <f aca="false">IF(B3886="","",IF(A3886=_xlfn.MAXIFS($A$2:$A$5001,$B$2:$B$5001,B3886,$I$2:$I$5001,I3886),1,0))</f>
        <v/>
      </c>
    </row>
    <row r="3887" customFormat="false" ht="15" hidden="false" customHeight="false" outlineLevel="0" collapsed="false">
      <c r="I3887" s="15" t="str">
        <f aca="false">IF(A3887="","",INT(A3887))</f>
        <v/>
      </c>
      <c r="J3887" s="16" t="str">
        <f aca="false">IF(B3887="","",IF(A3887=_xlfn.MINIFS($A$2:$A$5001,$B$2:$B$5001,B3887),1,0))</f>
        <v/>
      </c>
      <c r="K3887" s="16" t="str">
        <f aca="false">IF(B3887="","",IF(AND(D3887="Formalização",E3887="Concluído"),IF(COUNTIFS($B$2:$B$5001,B3887,$E$2:$E$5001,"Em ajustes",$A$2:$A$5001,"&lt;"&amp;I3887)&gt;0,1,0),0))</f>
        <v/>
      </c>
      <c r="L3887" s="16" t="str">
        <f aca="false">IF(B3887="","",IF(A3887=_xlfn.MAXIFS($A$2:$A$5001,$B$2:$B$5001,B3887,$I$2:$I$5001,I3887),1,0))</f>
        <v/>
      </c>
    </row>
    <row r="3888" customFormat="false" ht="15" hidden="false" customHeight="false" outlineLevel="0" collapsed="false">
      <c r="I3888" s="15" t="str">
        <f aca="false">IF(A3888="","",INT(A3888))</f>
        <v/>
      </c>
      <c r="J3888" s="16" t="str">
        <f aca="false">IF(B3888="","",IF(A3888=_xlfn.MINIFS($A$2:$A$5001,$B$2:$B$5001,B3888),1,0))</f>
        <v/>
      </c>
      <c r="K3888" s="16" t="str">
        <f aca="false">IF(B3888="","",IF(AND(D3888="Formalização",E3888="Concluído"),IF(COUNTIFS($B$2:$B$5001,B3888,$E$2:$E$5001,"Em ajustes",$A$2:$A$5001,"&lt;"&amp;I3888)&gt;0,1,0),0))</f>
        <v/>
      </c>
      <c r="L3888" s="16" t="str">
        <f aca="false">IF(B3888="","",IF(A3888=_xlfn.MAXIFS($A$2:$A$5001,$B$2:$B$5001,B3888,$I$2:$I$5001,I3888),1,0))</f>
        <v/>
      </c>
    </row>
    <row r="3889" customFormat="false" ht="15" hidden="false" customHeight="false" outlineLevel="0" collapsed="false">
      <c r="I3889" s="15" t="str">
        <f aca="false">IF(A3889="","",INT(A3889))</f>
        <v/>
      </c>
      <c r="J3889" s="16" t="str">
        <f aca="false">IF(B3889="","",IF(A3889=_xlfn.MINIFS($A$2:$A$5001,$B$2:$B$5001,B3889),1,0))</f>
        <v/>
      </c>
      <c r="K3889" s="16" t="str">
        <f aca="false">IF(B3889="","",IF(AND(D3889="Formalização",E3889="Concluído"),IF(COUNTIFS($B$2:$B$5001,B3889,$E$2:$E$5001,"Em ajustes",$A$2:$A$5001,"&lt;"&amp;I3889)&gt;0,1,0),0))</f>
        <v/>
      </c>
      <c r="L3889" s="16" t="str">
        <f aca="false">IF(B3889="","",IF(A3889=_xlfn.MAXIFS($A$2:$A$5001,$B$2:$B$5001,B3889,$I$2:$I$5001,I3889),1,0))</f>
        <v/>
      </c>
    </row>
    <row r="3890" customFormat="false" ht="15" hidden="false" customHeight="false" outlineLevel="0" collapsed="false">
      <c r="I3890" s="15" t="str">
        <f aca="false">IF(A3890="","",INT(A3890))</f>
        <v/>
      </c>
      <c r="J3890" s="16" t="str">
        <f aca="false">IF(B3890="","",IF(A3890=_xlfn.MINIFS($A$2:$A$5001,$B$2:$B$5001,B3890),1,0))</f>
        <v/>
      </c>
      <c r="K3890" s="16" t="str">
        <f aca="false">IF(B3890="","",IF(AND(D3890="Formalização",E3890="Concluído"),IF(COUNTIFS($B$2:$B$5001,B3890,$E$2:$E$5001,"Em ajustes",$A$2:$A$5001,"&lt;"&amp;I3890)&gt;0,1,0),0))</f>
        <v/>
      </c>
      <c r="L3890" s="16" t="str">
        <f aca="false">IF(B3890="","",IF(A3890=_xlfn.MAXIFS($A$2:$A$5001,$B$2:$B$5001,B3890,$I$2:$I$5001,I3890),1,0))</f>
        <v/>
      </c>
    </row>
    <row r="3891" customFormat="false" ht="15" hidden="false" customHeight="false" outlineLevel="0" collapsed="false">
      <c r="I3891" s="15" t="str">
        <f aca="false">IF(A3891="","",INT(A3891))</f>
        <v/>
      </c>
      <c r="J3891" s="16" t="str">
        <f aca="false">IF(B3891="","",IF(A3891=_xlfn.MINIFS($A$2:$A$5001,$B$2:$B$5001,B3891),1,0))</f>
        <v/>
      </c>
      <c r="K3891" s="16" t="str">
        <f aca="false">IF(B3891="","",IF(AND(D3891="Formalização",E3891="Concluído"),IF(COUNTIFS($B$2:$B$5001,B3891,$E$2:$E$5001,"Em ajustes",$A$2:$A$5001,"&lt;"&amp;I3891)&gt;0,1,0),0))</f>
        <v/>
      </c>
      <c r="L3891" s="16" t="str">
        <f aca="false">IF(B3891="","",IF(A3891=_xlfn.MAXIFS($A$2:$A$5001,$B$2:$B$5001,B3891,$I$2:$I$5001,I3891),1,0))</f>
        <v/>
      </c>
    </row>
    <row r="3892" customFormat="false" ht="15" hidden="false" customHeight="false" outlineLevel="0" collapsed="false">
      <c r="I3892" s="15" t="str">
        <f aca="false">IF(A3892="","",INT(A3892))</f>
        <v/>
      </c>
      <c r="J3892" s="16" t="str">
        <f aca="false">IF(B3892="","",IF(A3892=_xlfn.MINIFS($A$2:$A$5001,$B$2:$B$5001,B3892),1,0))</f>
        <v/>
      </c>
      <c r="K3892" s="16" t="str">
        <f aca="false">IF(B3892="","",IF(AND(D3892="Formalização",E3892="Concluído"),IF(COUNTIFS($B$2:$B$5001,B3892,$E$2:$E$5001,"Em ajustes",$A$2:$A$5001,"&lt;"&amp;I3892)&gt;0,1,0),0))</f>
        <v/>
      </c>
      <c r="L3892" s="16" t="str">
        <f aca="false">IF(B3892="","",IF(A3892=_xlfn.MAXIFS($A$2:$A$5001,$B$2:$B$5001,B3892,$I$2:$I$5001,I3892),1,0))</f>
        <v/>
      </c>
    </row>
    <row r="3893" customFormat="false" ht="15" hidden="false" customHeight="false" outlineLevel="0" collapsed="false">
      <c r="I3893" s="15" t="str">
        <f aca="false">IF(A3893="","",INT(A3893))</f>
        <v/>
      </c>
      <c r="J3893" s="16" t="str">
        <f aca="false">IF(B3893="","",IF(A3893=_xlfn.MINIFS($A$2:$A$5001,$B$2:$B$5001,B3893),1,0))</f>
        <v/>
      </c>
      <c r="K3893" s="16" t="str">
        <f aca="false">IF(B3893="","",IF(AND(D3893="Formalização",E3893="Concluído"),IF(COUNTIFS($B$2:$B$5001,B3893,$E$2:$E$5001,"Em ajustes",$A$2:$A$5001,"&lt;"&amp;I3893)&gt;0,1,0),0))</f>
        <v/>
      </c>
      <c r="L3893" s="16" t="str">
        <f aca="false">IF(B3893="","",IF(A3893=_xlfn.MAXIFS($A$2:$A$5001,$B$2:$B$5001,B3893,$I$2:$I$5001,I3893),1,0))</f>
        <v/>
      </c>
    </row>
    <row r="3894" customFormat="false" ht="15" hidden="false" customHeight="false" outlineLevel="0" collapsed="false">
      <c r="I3894" s="15" t="str">
        <f aca="false">IF(A3894="","",INT(A3894))</f>
        <v/>
      </c>
      <c r="J3894" s="16" t="str">
        <f aca="false">IF(B3894="","",IF(A3894=_xlfn.MINIFS($A$2:$A$5001,$B$2:$B$5001,B3894),1,0))</f>
        <v/>
      </c>
      <c r="K3894" s="16" t="str">
        <f aca="false">IF(B3894="","",IF(AND(D3894="Formalização",E3894="Concluído"),IF(COUNTIFS($B$2:$B$5001,B3894,$E$2:$E$5001,"Em ajustes",$A$2:$A$5001,"&lt;"&amp;I3894)&gt;0,1,0),0))</f>
        <v/>
      </c>
      <c r="L3894" s="16" t="str">
        <f aca="false">IF(B3894="","",IF(A3894=_xlfn.MAXIFS($A$2:$A$5001,$B$2:$B$5001,B3894,$I$2:$I$5001,I3894),1,0))</f>
        <v/>
      </c>
    </row>
    <row r="3895" customFormat="false" ht="15" hidden="false" customHeight="false" outlineLevel="0" collapsed="false">
      <c r="I3895" s="15" t="str">
        <f aca="false">IF(A3895="","",INT(A3895))</f>
        <v/>
      </c>
      <c r="J3895" s="16" t="str">
        <f aca="false">IF(B3895="","",IF(A3895=_xlfn.MINIFS($A$2:$A$5001,$B$2:$B$5001,B3895),1,0))</f>
        <v/>
      </c>
      <c r="K3895" s="16" t="str">
        <f aca="false">IF(B3895="","",IF(AND(D3895="Formalização",E3895="Concluído"),IF(COUNTIFS($B$2:$B$5001,B3895,$E$2:$E$5001,"Em ajustes",$A$2:$A$5001,"&lt;"&amp;I3895)&gt;0,1,0),0))</f>
        <v/>
      </c>
      <c r="L3895" s="16" t="str">
        <f aca="false">IF(B3895="","",IF(A3895=_xlfn.MAXIFS($A$2:$A$5001,$B$2:$B$5001,B3895,$I$2:$I$5001,I3895),1,0))</f>
        <v/>
      </c>
    </row>
    <row r="3896" customFormat="false" ht="15" hidden="false" customHeight="false" outlineLevel="0" collapsed="false">
      <c r="I3896" s="15" t="str">
        <f aca="false">IF(A3896="","",INT(A3896))</f>
        <v/>
      </c>
      <c r="J3896" s="16" t="str">
        <f aca="false">IF(B3896="","",IF(A3896=_xlfn.MINIFS($A$2:$A$5001,$B$2:$B$5001,B3896),1,0))</f>
        <v/>
      </c>
      <c r="K3896" s="16" t="str">
        <f aca="false">IF(B3896="","",IF(AND(D3896="Formalização",E3896="Concluído"),IF(COUNTIFS($B$2:$B$5001,B3896,$E$2:$E$5001,"Em ajustes",$A$2:$A$5001,"&lt;"&amp;I3896)&gt;0,1,0),0))</f>
        <v/>
      </c>
      <c r="L3896" s="16" t="str">
        <f aca="false">IF(B3896="","",IF(A3896=_xlfn.MAXIFS($A$2:$A$5001,$B$2:$B$5001,B3896,$I$2:$I$5001,I3896),1,0))</f>
        <v/>
      </c>
    </row>
    <row r="3897" customFormat="false" ht="15" hidden="false" customHeight="false" outlineLevel="0" collapsed="false">
      <c r="I3897" s="15" t="str">
        <f aca="false">IF(A3897="","",INT(A3897))</f>
        <v/>
      </c>
      <c r="J3897" s="16" t="str">
        <f aca="false">IF(B3897="","",IF(A3897=_xlfn.MINIFS($A$2:$A$5001,$B$2:$B$5001,B3897),1,0))</f>
        <v/>
      </c>
      <c r="K3897" s="16" t="str">
        <f aca="false">IF(B3897="","",IF(AND(D3897="Formalização",E3897="Concluído"),IF(COUNTIFS($B$2:$B$5001,B3897,$E$2:$E$5001,"Em ajustes",$A$2:$A$5001,"&lt;"&amp;I3897)&gt;0,1,0),0))</f>
        <v/>
      </c>
      <c r="L3897" s="16" t="str">
        <f aca="false">IF(B3897="","",IF(A3897=_xlfn.MAXIFS($A$2:$A$5001,$B$2:$B$5001,B3897,$I$2:$I$5001,I3897),1,0))</f>
        <v/>
      </c>
    </row>
    <row r="3898" customFormat="false" ht="15" hidden="false" customHeight="false" outlineLevel="0" collapsed="false">
      <c r="I3898" s="15" t="str">
        <f aca="false">IF(A3898="","",INT(A3898))</f>
        <v/>
      </c>
      <c r="J3898" s="16" t="str">
        <f aca="false">IF(B3898="","",IF(A3898=_xlfn.MINIFS($A$2:$A$5001,$B$2:$B$5001,B3898),1,0))</f>
        <v/>
      </c>
      <c r="K3898" s="16" t="str">
        <f aca="false">IF(B3898="","",IF(AND(D3898="Formalização",E3898="Concluído"),IF(COUNTIFS($B$2:$B$5001,B3898,$E$2:$E$5001,"Em ajustes",$A$2:$A$5001,"&lt;"&amp;I3898)&gt;0,1,0),0))</f>
        <v/>
      </c>
      <c r="L3898" s="16" t="str">
        <f aca="false">IF(B3898="","",IF(A3898=_xlfn.MAXIFS($A$2:$A$5001,$B$2:$B$5001,B3898,$I$2:$I$5001,I3898),1,0))</f>
        <v/>
      </c>
    </row>
    <row r="3899" customFormat="false" ht="15" hidden="false" customHeight="false" outlineLevel="0" collapsed="false">
      <c r="I3899" s="15" t="str">
        <f aca="false">IF(A3899="","",INT(A3899))</f>
        <v/>
      </c>
      <c r="J3899" s="16" t="str">
        <f aca="false">IF(B3899="","",IF(A3899=_xlfn.MINIFS($A$2:$A$5001,$B$2:$B$5001,B3899),1,0))</f>
        <v/>
      </c>
      <c r="K3899" s="16" t="str">
        <f aca="false">IF(B3899="","",IF(AND(D3899="Formalização",E3899="Concluído"),IF(COUNTIFS($B$2:$B$5001,B3899,$E$2:$E$5001,"Em ajustes",$A$2:$A$5001,"&lt;"&amp;I3899)&gt;0,1,0),0))</f>
        <v/>
      </c>
      <c r="L3899" s="16" t="str">
        <f aca="false">IF(B3899="","",IF(A3899=_xlfn.MAXIFS($A$2:$A$5001,$B$2:$B$5001,B3899,$I$2:$I$5001,I3899),1,0))</f>
        <v/>
      </c>
    </row>
    <row r="3900" customFormat="false" ht="15" hidden="false" customHeight="false" outlineLevel="0" collapsed="false">
      <c r="I3900" s="15" t="str">
        <f aca="false">IF(A3900="","",INT(A3900))</f>
        <v/>
      </c>
      <c r="J3900" s="16" t="str">
        <f aca="false">IF(B3900="","",IF(A3900=_xlfn.MINIFS($A$2:$A$5001,$B$2:$B$5001,B3900),1,0))</f>
        <v/>
      </c>
      <c r="K3900" s="16" t="str">
        <f aca="false">IF(B3900="","",IF(AND(D3900="Formalização",E3900="Concluído"),IF(COUNTIFS($B$2:$B$5001,B3900,$E$2:$E$5001,"Em ajustes",$A$2:$A$5001,"&lt;"&amp;I3900)&gt;0,1,0),0))</f>
        <v/>
      </c>
      <c r="L3900" s="16" t="str">
        <f aca="false">IF(B3900="","",IF(A3900=_xlfn.MAXIFS($A$2:$A$5001,$B$2:$B$5001,B3900,$I$2:$I$5001,I3900),1,0))</f>
        <v/>
      </c>
    </row>
    <row r="3901" customFormat="false" ht="15" hidden="false" customHeight="false" outlineLevel="0" collapsed="false">
      <c r="I3901" s="15" t="str">
        <f aca="false">IF(A3901="","",INT(A3901))</f>
        <v/>
      </c>
      <c r="J3901" s="16" t="str">
        <f aca="false">IF(B3901="","",IF(A3901=_xlfn.MINIFS($A$2:$A$5001,$B$2:$B$5001,B3901),1,0))</f>
        <v/>
      </c>
      <c r="K3901" s="16" t="str">
        <f aca="false">IF(B3901="","",IF(AND(D3901="Formalização",E3901="Concluído"),IF(COUNTIFS($B$2:$B$5001,B3901,$E$2:$E$5001,"Em ajustes",$A$2:$A$5001,"&lt;"&amp;I3901)&gt;0,1,0),0))</f>
        <v/>
      </c>
      <c r="L3901" s="16" t="str">
        <f aca="false">IF(B3901="","",IF(A3901=_xlfn.MAXIFS($A$2:$A$5001,$B$2:$B$5001,B3901,$I$2:$I$5001,I3901),1,0))</f>
        <v/>
      </c>
    </row>
    <row r="3902" customFormat="false" ht="15" hidden="false" customHeight="false" outlineLevel="0" collapsed="false">
      <c r="I3902" s="15" t="str">
        <f aca="false">IF(A3902="","",INT(A3902))</f>
        <v/>
      </c>
      <c r="J3902" s="16" t="str">
        <f aca="false">IF(B3902="","",IF(A3902=_xlfn.MINIFS($A$2:$A$5001,$B$2:$B$5001,B3902),1,0))</f>
        <v/>
      </c>
      <c r="K3902" s="16" t="str">
        <f aca="false">IF(B3902="","",IF(AND(D3902="Formalização",E3902="Concluído"),IF(COUNTIFS($B$2:$B$5001,B3902,$E$2:$E$5001,"Em ajustes",$A$2:$A$5001,"&lt;"&amp;I3902)&gt;0,1,0),0))</f>
        <v/>
      </c>
      <c r="L3902" s="16" t="str">
        <f aca="false">IF(B3902="","",IF(A3902=_xlfn.MAXIFS($A$2:$A$5001,$B$2:$B$5001,B3902,$I$2:$I$5001,I3902),1,0))</f>
        <v/>
      </c>
    </row>
    <row r="3903" customFormat="false" ht="15" hidden="false" customHeight="false" outlineLevel="0" collapsed="false">
      <c r="I3903" s="15" t="str">
        <f aca="false">IF(A3903="","",INT(A3903))</f>
        <v/>
      </c>
      <c r="J3903" s="16" t="str">
        <f aca="false">IF(B3903="","",IF(A3903=_xlfn.MINIFS($A$2:$A$5001,$B$2:$B$5001,B3903),1,0))</f>
        <v/>
      </c>
      <c r="K3903" s="16" t="str">
        <f aca="false">IF(B3903="","",IF(AND(D3903="Formalização",E3903="Concluído"),IF(COUNTIFS($B$2:$B$5001,B3903,$E$2:$E$5001,"Em ajustes",$A$2:$A$5001,"&lt;"&amp;I3903)&gt;0,1,0),0))</f>
        <v/>
      </c>
      <c r="L3903" s="16" t="str">
        <f aca="false">IF(B3903="","",IF(A3903=_xlfn.MAXIFS($A$2:$A$5001,$B$2:$B$5001,B3903,$I$2:$I$5001,I3903),1,0))</f>
        <v/>
      </c>
    </row>
    <row r="3904" customFormat="false" ht="15" hidden="false" customHeight="false" outlineLevel="0" collapsed="false">
      <c r="I3904" s="15" t="str">
        <f aca="false">IF(A3904="","",INT(A3904))</f>
        <v/>
      </c>
      <c r="J3904" s="16" t="str">
        <f aca="false">IF(B3904="","",IF(A3904=_xlfn.MINIFS($A$2:$A$5001,$B$2:$B$5001,B3904),1,0))</f>
        <v/>
      </c>
      <c r="K3904" s="16" t="str">
        <f aca="false">IF(B3904="","",IF(AND(D3904="Formalização",E3904="Concluído"),IF(COUNTIFS($B$2:$B$5001,B3904,$E$2:$E$5001,"Em ajustes",$A$2:$A$5001,"&lt;"&amp;I3904)&gt;0,1,0),0))</f>
        <v/>
      </c>
      <c r="L3904" s="16" t="str">
        <f aca="false">IF(B3904="","",IF(A3904=_xlfn.MAXIFS($A$2:$A$5001,$B$2:$B$5001,B3904,$I$2:$I$5001,I3904),1,0))</f>
        <v/>
      </c>
    </row>
    <row r="3905" customFormat="false" ht="15" hidden="false" customHeight="false" outlineLevel="0" collapsed="false">
      <c r="I3905" s="15" t="str">
        <f aca="false">IF(A3905="","",INT(A3905))</f>
        <v/>
      </c>
      <c r="J3905" s="16" t="str">
        <f aca="false">IF(B3905="","",IF(A3905=_xlfn.MINIFS($A$2:$A$5001,$B$2:$B$5001,B3905),1,0))</f>
        <v/>
      </c>
      <c r="K3905" s="16" t="str">
        <f aca="false">IF(B3905="","",IF(AND(D3905="Formalização",E3905="Concluído"),IF(COUNTIFS($B$2:$B$5001,B3905,$E$2:$E$5001,"Em ajustes",$A$2:$A$5001,"&lt;"&amp;I3905)&gt;0,1,0),0))</f>
        <v/>
      </c>
      <c r="L3905" s="16" t="str">
        <f aca="false">IF(B3905="","",IF(A3905=_xlfn.MAXIFS($A$2:$A$5001,$B$2:$B$5001,B3905,$I$2:$I$5001,I3905),1,0))</f>
        <v/>
      </c>
    </row>
    <row r="3906" customFormat="false" ht="15" hidden="false" customHeight="false" outlineLevel="0" collapsed="false">
      <c r="I3906" s="15" t="str">
        <f aca="false">IF(A3906="","",INT(A3906))</f>
        <v/>
      </c>
      <c r="J3906" s="16" t="str">
        <f aca="false">IF(B3906="","",IF(A3906=_xlfn.MINIFS($A$2:$A$5001,$B$2:$B$5001,B3906),1,0))</f>
        <v/>
      </c>
      <c r="K3906" s="16" t="str">
        <f aca="false">IF(B3906="","",IF(AND(D3906="Formalização",E3906="Concluído"),IF(COUNTIFS($B$2:$B$5001,B3906,$E$2:$E$5001,"Em ajustes",$A$2:$A$5001,"&lt;"&amp;I3906)&gt;0,1,0),0))</f>
        <v/>
      </c>
      <c r="L3906" s="16" t="str">
        <f aca="false">IF(B3906="","",IF(A3906=_xlfn.MAXIFS($A$2:$A$5001,$B$2:$B$5001,B3906,$I$2:$I$5001,I3906),1,0))</f>
        <v/>
      </c>
    </row>
    <row r="3907" customFormat="false" ht="15" hidden="false" customHeight="false" outlineLevel="0" collapsed="false">
      <c r="I3907" s="15" t="str">
        <f aca="false">IF(A3907="","",INT(A3907))</f>
        <v/>
      </c>
      <c r="J3907" s="16" t="str">
        <f aca="false">IF(B3907="","",IF(A3907=_xlfn.MINIFS($A$2:$A$5001,$B$2:$B$5001,B3907),1,0))</f>
        <v/>
      </c>
      <c r="K3907" s="16" t="str">
        <f aca="false">IF(B3907="","",IF(AND(D3907="Formalização",E3907="Concluído"),IF(COUNTIFS($B$2:$B$5001,B3907,$E$2:$E$5001,"Em ajustes",$A$2:$A$5001,"&lt;"&amp;I3907)&gt;0,1,0),0))</f>
        <v/>
      </c>
      <c r="L3907" s="16" t="str">
        <f aca="false">IF(B3907="","",IF(A3907=_xlfn.MAXIFS($A$2:$A$5001,$B$2:$B$5001,B3907,$I$2:$I$5001,I3907),1,0))</f>
        <v/>
      </c>
    </row>
    <row r="3908" customFormat="false" ht="15" hidden="false" customHeight="false" outlineLevel="0" collapsed="false">
      <c r="I3908" s="15" t="str">
        <f aca="false">IF(A3908="","",INT(A3908))</f>
        <v/>
      </c>
      <c r="J3908" s="16" t="str">
        <f aca="false">IF(B3908="","",IF(A3908=_xlfn.MINIFS($A$2:$A$5001,$B$2:$B$5001,B3908),1,0))</f>
        <v/>
      </c>
      <c r="K3908" s="16" t="str">
        <f aca="false">IF(B3908="","",IF(AND(D3908="Formalização",E3908="Concluído"),IF(COUNTIFS($B$2:$B$5001,B3908,$E$2:$E$5001,"Em ajustes",$A$2:$A$5001,"&lt;"&amp;I3908)&gt;0,1,0),0))</f>
        <v/>
      </c>
      <c r="L3908" s="16" t="str">
        <f aca="false">IF(B3908="","",IF(A3908=_xlfn.MAXIFS($A$2:$A$5001,$B$2:$B$5001,B3908,$I$2:$I$5001,I3908),1,0))</f>
        <v/>
      </c>
    </row>
    <row r="3909" customFormat="false" ht="15" hidden="false" customHeight="false" outlineLevel="0" collapsed="false">
      <c r="I3909" s="15" t="str">
        <f aca="false">IF(A3909="","",INT(A3909))</f>
        <v/>
      </c>
      <c r="J3909" s="16" t="str">
        <f aca="false">IF(B3909="","",IF(A3909=_xlfn.MINIFS($A$2:$A$5001,$B$2:$B$5001,B3909),1,0))</f>
        <v/>
      </c>
      <c r="K3909" s="16" t="str">
        <f aca="false">IF(B3909="","",IF(AND(D3909="Formalização",E3909="Concluído"),IF(COUNTIFS($B$2:$B$5001,B3909,$E$2:$E$5001,"Em ajustes",$A$2:$A$5001,"&lt;"&amp;I3909)&gt;0,1,0),0))</f>
        <v/>
      </c>
      <c r="L3909" s="16" t="str">
        <f aca="false">IF(B3909="","",IF(A3909=_xlfn.MAXIFS($A$2:$A$5001,$B$2:$B$5001,B3909,$I$2:$I$5001,I3909),1,0))</f>
        <v/>
      </c>
    </row>
    <row r="3910" customFormat="false" ht="15" hidden="false" customHeight="false" outlineLevel="0" collapsed="false">
      <c r="I3910" s="15" t="str">
        <f aca="false">IF(A3910="","",INT(A3910))</f>
        <v/>
      </c>
      <c r="J3910" s="16" t="str">
        <f aca="false">IF(B3910="","",IF(A3910=_xlfn.MINIFS($A$2:$A$5001,$B$2:$B$5001,B3910),1,0))</f>
        <v/>
      </c>
      <c r="K3910" s="16" t="str">
        <f aca="false">IF(B3910="","",IF(AND(D3910="Formalização",E3910="Concluído"),IF(COUNTIFS($B$2:$B$5001,B3910,$E$2:$E$5001,"Em ajustes",$A$2:$A$5001,"&lt;"&amp;I3910)&gt;0,1,0),0))</f>
        <v/>
      </c>
      <c r="L3910" s="16" t="str">
        <f aca="false">IF(B3910="","",IF(A3910=_xlfn.MAXIFS($A$2:$A$5001,$B$2:$B$5001,B3910,$I$2:$I$5001,I3910),1,0))</f>
        <v/>
      </c>
    </row>
    <row r="3911" customFormat="false" ht="15" hidden="false" customHeight="false" outlineLevel="0" collapsed="false">
      <c r="I3911" s="15" t="str">
        <f aca="false">IF(A3911="","",INT(A3911))</f>
        <v/>
      </c>
      <c r="J3911" s="16" t="str">
        <f aca="false">IF(B3911="","",IF(A3911=_xlfn.MINIFS($A$2:$A$5001,$B$2:$B$5001,B3911),1,0))</f>
        <v/>
      </c>
      <c r="K3911" s="16" t="str">
        <f aca="false">IF(B3911="","",IF(AND(D3911="Formalização",E3911="Concluído"),IF(COUNTIFS($B$2:$B$5001,B3911,$E$2:$E$5001,"Em ajustes",$A$2:$A$5001,"&lt;"&amp;I3911)&gt;0,1,0),0))</f>
        <v/>
      </c>
      <c r="L3911" s="16" t="str">
        <f aca="false">IF(B3911="","",IF(A3911=_xlfn.MAXIFS($A$2:$A$5001,$B$2:$B$5001,B3911,$I$2:$I$5001,I3911),1,0))</f>
        <v/>
      </c>
    </row>
    <row r="3912" customFormat="false" ht="15" hidden="false" customHeight="false" outlineLevel="0" collapsed="false">
      <c r="I3912" s="15" t="str">
        <f aca="false">IF(A3912="","",INT(A3912))</f>
        <v/>
      </c>
      <c r="J3912" s="16" t="str">
        <f aca="false">IF(B3912="","",IF(A3912=_xlfn.MINIFS($A$2:$A$5001,$B$2:$B$5001,B3912),1,0))</f>
        <v/>
      </c>
      <c r="K3912" s="16" t="str">
        <f aca="false">IF(B3912="","",IF(AND(D3912="Formalização",E3912="Concluído"),IF(COUNTIFS($B$2:$B$5001,B3912,$E$2:$E$5001,"Em ajustes",$A$2:$A$5001,"&lt;"&amp;I3912)&gt;0,1,0),0))</f>
        <v/>
      </c>
      <c r="L3912" s="16" t="str">
        <f aca="false">IF(B3912="","",IF(A3912=_xlfn.MAXIFS($A$2:$A$5001,$B$2:$B$5001,B3912,$I$2:$I$5001,I3912),1,0))</f>
        <v/>
      </c>
    </row>
    <row r="3913" customFormat="false" ht="15" hidden="false" customHeight="false" outlineLevel="0" collapsed="false">
      <c r="I3913" s="15" t="str">
        <f aca="false">IF(A3913="","",INT(A3913))</f>
        <v/>
      </c>
      <c r="J3913" s="16" t="str">
        <f aca="false">IF(B3913="","",IF(A3913=_xlfn.MINIFS($A$2:$A$5001,$B$2:$B$5001,B3913),1,0))</f>
        <v/>
      </c>
      <c r="K3913" s="16" t="str">
        <f aca="false">IF(B3913="","",IF(AND(D3913="Formalização",E3913="Concluído"),IF(COUNTIFS($B$2:$B$5001,B3913,$E$2:$E$5001,"Em ajustes",$A$2:$A$5001,"&lt;"&amp;I3913)&gt;0,1,0),0))</f>
        <v/>
      </c>
      <c r="L3913" s="16" t="str">
        <f aca="false">IF(B3913="","",IF(A3913=_xlfn.MAXIFS($A$2:$A$5001,$B$2:$B$5001,B3913,$I$2:$I$5001,I3913),1,0))</f>
        <v/>
      </c>
    </row>
    <row r="3914" customFormat="false" ht="15" hidden="false" customHeight="false" outlineLevel="0" collapsed="false">
      <c r="I3914" s="15" t="str">
        <f aca="false">IF(A3914="","",INT(A3914))</f>
        <v/>
      </c>
      <c r="J3914" s="16" t="str">
        <f aca="false">IF(B3914="","",IF(A3914=_xlfn.MINIFS($A$2:$A$5001,$B$2:$B$5001,B3914),1,0))</f>
        <v/>
      </c>
      <c r="K3914" s="16" t="str">
        <f aca="false">IF(B3914="","",IF(AND(D3914="Formalização",E3914="Concluído"),IF(COUNTIFS($B$2:$B$5001,B3914,$E$2:$E$5001,"Em ajustes",$A$2:$A$5001,"&lt;"&amp;I3914)&gt;0,1,0),0))</f>
        <v/>
      </c>
      <c r="L3914" s="16" t="str">
        <f aca="false">IF(B3914="","",IF(A3914=_xlfn.MAXIFS($A$2:$A$5001,$B$2:$B$5001,B3914,$I$2:$I$5001,I3914),1,0))</f>
        <v/>
      </c>
    </row>
    <row r="3915" customFormat="false" ht="15" hidden="false" customHeight="false" outlineLevel="0" collapsed="false">
      <c r="I3915" s="15" t="str">
        <f aca="false">IF(A3915="","",INT(A3915))</f>
        <v/>
      </c>
      <c r="J3915" s="16" t="str">
        <f aca="false">IF(B3915="","",IF(A3915=_xlfn.MINIFS($A$2:$A$5001,$B$2:$B$5001,B3915),1,0))</f>
        <v/>
      </c>
      <c r="K3915" s="16" t="str">
        <f aca="false">IF(B3915="","",IF(AND(D3915="Formalização",E3915="Concluído"),IF(COUNTIFS($B$2:$B$5001,B3915,$E$2:$E$5001,"Em ajustes",$A$2:$A$5001,"&lt;"&amp;I3915)&gt;0,1,0),0))</f>
        <v/>
      </c>
      <c r="L3915" s="16" t="str">
        <f aca="false">IF(B3915="","",IF(A3915=_xlfn.MAXIFS($A$2:$A$5001,$B$2:$B$5001,B3915,$I$2:$I$5001,I3915),1,0))</f>
        <v/>
      </c>
    </row>
    <row r="3916" customFormat="false" ht="15" hidden="false" customHeight="false" outlineLevel="0" collapsed="false">
      <c r="I3916" s="15" t="str">
        <f aca="false">IF(A3916="","",INT(A3916))</f>
        <v/>
      </c>
      <c r="J3916" s="16" t="str">
        <f aca="false">IF(B3916="","",IF(A3916=_xlfn.MINIFS($A$2:$A$5001,$B$2:$B$5001,B3916),1,0))</f>
        <v/>
      </c>
      <c r="K3916" s="16" t="str">
        <f aca="false">IF(B3916="","",IF(AND(D3916="Formalização",E3916="Concluído"),IF(COUNTIFS($B$2:$B$5001,B3916,$E$2:$E$5001,"Em ajustes",$A$2:$A$5001,"&lt;"&amp;I3916)&gt;0,1,0),0))</f>
        <v/>
      </c>
      <c r="L3916" s="16" t="str">
        <f aca="false">IF(B3916="","",IF(A3916=_xlfn.MAXIFS($A$2:$A$5001,$B$2:$B$5001,B3916,$I$2:$I$5001,I3916),1,0))</f>
        <v/>
      </c>
    </row>
    <row r="3917" customFormat="false" ht="15" hidden="false" customHeight="false" outlineLevel="0" collapsed="false">
      <c r="I3917" s="15" t="str">
        <f aca="false">IF(A3917="","",INT(A3917))</f>
        <v/>
      </c>
      <c r="J3917" s="16" t="str">
        <f aca="false">IF(B3917="","",IF(A3917=_xlfn.MINIFS($A$2:$A$5001,$B$2:$B$5001,B3917),1,0))</f>
        <v/>
      </c>
      <c r="K3917" s="16" t="str">
        <f aca="false">IF(B3917="","",IF(AND(D3917="Formalização",E3917="Concluído"),IF(COUNTIFS($B$2:$B$5001,B3917,$E$2:$E$5001,"Em ajustes",$A$2:$A$5001,"&lt;"&amp;I3917)&gt;0,1,0),0))</f>
        <v/>
      </c>
      <c r="L3917" s="16" t="str">
        <f aca="false">IF(B3917="","",IF(A3917=_xlfn.MAXIFS($A$2:$A$5001,$B$2:$B$5001,B3917,$I$2:$I$5001,I3917),1,0))</f>
        <v/>
      </c>
    </row>
    <row r="3918" customFormat="false" ht="15" hidden="false" customHeight="false" outlineLevel="0" collapsed="false">
      <c r="I3918" s="15" t="str">
        <f aca="false">IF(A3918="","",INT(A3918))</f>
        <v/>
      </c>
      <c r="J3918" s="16" t="str">
        <f aca="false">IF(B3918="","",IF(A3918=_xlfn.MINIFS($A$2:$A$5001,$B$2:$B$5001,B3918),1,0))</f>
        <v/>
      </c>
      <c r="K3918" s="16" t="str">
        <f aca="false">IF(B3918="","",IF(AND(D3918="Formalização",E3918="Concluído"),IF(COUNTIFS($B$2:$B$5001,B3918,$E$2:$E$5001,"Em ajustes",$A$2:$A$5001,"&lt;"&amp;I3918)&gt;0,1,0),0))</f>
        <v/>
      </c>
      <c r="L3918" s="16" t="str">
        <f aca="false">IF(B3918="","",IF(A3918=_xlfn.MAXIFS($A$2:$A$5001,$B$2:$B$5001,B3918,$I$2:$I$5001,I3918),1,0))</f>
        <v/>
      </c>
    </row>
    <row r="3919" customFormat="false" ht="15" hidden="false" customHeight="false" outlineLevel="0" collapsed="false">
      <c r="I3919" s="15" t="str">
        <f aca="false">IF(A3919="","",INT(A3919))</f>
        <v/>
      </c>
      <c r="J3919" s="16" t="str">
        <f aca="false">IF(B3919="","",IF(A3919=_xlfn.MINIFS($A$2:$A$5001,$B$2:$B$5001,B3919),1,0))</f>
        <v/>
      </c>
      <c r="K3919" s="16" t="str">
        <f aca="false">IF(B3919="","",IF(AND(D3919="Formalização",E3919="Concluído"),IF(COUNTIFS($B$2:$B$5001,B3919,$E$2:$E$5001,"Em ajustes",$A$2:$A$5001,"&lt;"&amp;I3919)&gt;0,1,0),0))</f>
        <v/>
      </c>
      <c r="L3919" s="16" t="str">
        <f aca="false">IF(B3919="","",IF(A3919=_xlfn.MAXIFS($A$2:$A$5001,$B$2:$B$5001,B3919,$I$2:$I$5001,I3919),1,0))</f>
        <v/>
      </c>
    </row>
    <row r="3920" customFormat="false" ht="15" hidden="false" customHeight="false" outlineLevel="0" collapsed="false">
      <c r="I3920" s="15" t="str">
        <f aca="false">IF(A3920="","",INT(A3920))</f>
        <v/>
      </c>
      <c r="J3920" s="16" t="str">
        <f aca="false">IF(B3920="","",IF(A3920=_xlfn.MINIFS($A$2:$A$5001,$B$2:$B$5001,B3920),1,0))</f>
        <v/>
      </c>
      <c r="K3920" s="16" t="str">
        <f aca="false">IF(B3920="","",IF(AND(D3920="Formalização",E3920="Concluído"),IF(COUNTIFS($B$2:$B$5001,B3920,$E$2:$E$5001,"Em ajustes",$A$2:$A$5001,"&lt;"&amp;I3920)&gt;0,1,0),0))</f>
        <v/>
      </c>
      <c r="L3920" s="16" t="str">
        <f aca="false">IF(B3920="","",IF(A3920=_xlfn.MAXIFS($A$2:$A$5001,$B$2:$B$5001,B3920,$I$2:$I$5001,I3920),1,0))</f>
        <v/>
      </c>
    </row>
    <row r="3921" customFormat="false" ht="15" hidden="false" customHeight="false" outlineLevel="0" collapsed="false">
      <c r="I3921" s="15" t="str">
        <f aca="false">IF(A3921="","",INT(A3921))</f>
        <v/>
      </c>
      <c r="J3921" s="16" t="str">
        <f aca="false">IF(B3921="","",IF(A3921=_xlfn.MINIFS($A$2:$A$5001,$B$2:$B$5001,B3921),1,0))</f>
        <v/>
      </c>
      <c r="K3921" s="16" t="str">
        <f aca="false">IF(B3921="","",IF(AND(D3921="Formalização",E3921="Concluído"),IF(COUNTIFS($B$2:$B$5001,B3921,$E$2:$E$5001,"Em ajustes",$A$2:$A$5001,"&lt;"&amp;I3921)&gt;0,1,0),0))</f>
        <v/>
      </c>
      <c r="L3921" s="16" t="str">
        <f aca="false">IF(B3921="","",IF(A3921=_xlfn.MAXIFS($A$2:$A$5001,$B$2:$B$5001,B3921,$I$2:$I$5001,I3921),1,0))</f>
        <v/>
      </c>
    </row>
    <row r="3922" customFormat="false" ht="15" hidden="false" customHeight="false" outlineLevel="0" collapsed="false">
      <c r="I3922" s="15" t="str">
        <f aca="false">IF(A3922="","",INT(A3922))</f>
        <v/>
      </c>
      <c r="J3922" s="16" t="str">
        <f aca="false">IF(B3922="","",IF(A3922=_xlfn.MINIFS($A$2:$A$5001,$B$2:$B$5001,B3922),1,0))</f>
        <v/>
      </c>
      <c r="K3922" s="16" t="str">
        <f aca="false">IF(B3922="","",IF(AND(D3922="Formalização",E3922="Concluído"),IF(COUNTIFS($B$2:$B$5001,B3922,$E$2:$E$5001,"Em ajustes",$A$2:$A$5001,"&lt;"&amp;I3922)&gt;0,1,0),0))</f>
        <v/>
      </c>
      <c r="L3922" s="16" t="str">
        <f aca="false">IF(B3922="","",IF(A3922=_xlfn.MAXIFS($A$2:$A$5001,$B$2:$B$5001,B3922,$I$2:$I$5001,I3922),1,0))</f>
        <v/>
      </c>
    </row>
    <row r="3923" customFormat="false" ht="15" hidden="false" customHeight="false" outlineLevel="0" collapsed="false">
      <c r="I3923" s="15" t="str">
        <f aca="false">IF(A3923="","",INT(A3923))</f>
        <v/>
      </c>
      <c r="J3923" s="16" t="str">
        <f aca="false">IF(B3923="","",IF(A3923=_xlfn.MINIFS($A$2:$A$5001,$B$2:$B$5001,B3923),1,0))</f>
        <v/>
      </c>
      <c r="K3923" s="16" t="str">
        <f aca="false">IF(B3923="","",IF(AND(D3923="Formalização",E3923="Concluído"),IF(COUNTIFS($B$2:$B$5001,B3923,$E$2:$E$5001,"Em ajustes",$A$2:$A$5001,"&lt;"&amp;I3923)&gt;0,1,0),0))</f>
        <v/>
      </c>
      <c r="L3923" s="16" t="str">
        <f aca="false">IF(B3923="","",IF(A3923=_xlfn.MAXIFS($A$2:$A$5001,$B$2:$B$5001,B3923,$I$2:$I$5001,I3923),1,0))</f>
        <v/>
      </c>
    </row>
    <row r="3924" customFormat="false" ht="15" hidden="false" customHeight="false" outlineLevel="0" collapsed="false">
      <c r="I3924" s="15" t="str">
        <f aca="false">IF(A3924="","",INT(A3924))</f>
        <v/>
      </c>
      <c r="J3924" s="16" t="str">
        <f aca="false">IF(B3924="","",IF(A3924=_xlfn.MINIFS($A$2:$A$5001,$B$2:$B$5001,B3924),1,0))</f>
        <v/>
      </c>
      <c r="K3924" s="16" t="str">
        <f aca="false">IF(B3924="","",IF(AND(D3924="Formalização",E3924="Concluído"),IF(COUNTIFS($B$2:$B$5001,B3924,$E$2:$E$5001,"Em ajustes",$A$2:$A$5001,"&lt;"&amp;I3924)&gt;0,1,0),0))</f>
        <v/>
      </c>
      <c r="L3924" s="16" t="str">
        <f aca="false">IF(B3924="","",IF(A3924=_xlfn.MAXIFS($A$2:$A$5001,$B$2:$B$5001,B3924,$I$2:$I$5001,I3924),1,0))</f>
        <v/>
      </c>
    </row>
    <row r="3925" customFormat="false" ht="15" hidden="false" customHeight="false" outlineLevel="0" collapsed="false">
      <c r="I3925" s="15" t="str">
        <f aca="false">IF(A3925="","",INT(A3925))</f>
        <v/>
      </c>
      <c r="J3925" s="16" t="str">
        <f aca="false">IF(B3925="","",IF(A3925=_xlfn.MINIFS($A$2:$A$5001,$B$2:$B$5001,B3925),1,0))</f>
        <v/>
      </c>
      <c r="K3925" s="16" t="str">
        <f aca="false">IF(B3925="","",IF(AND(D3925="Formalização",E3925="Concluído"),IF(COUNTIFS($B$2:$B$5001,B3925,$E$2:$E$5001,"Em ajustes",$A$2:$A$5001,"&lt;"&amp;I3925)&gt;0,1,0),0))</f>
        <v/>
      </c>
      <c r="L3925" s="16" t="str">
        <f aca="false">IF(B3925="","",IF(A3925=_xlfn.MAXIFS($A$2:$A$5001,$B$2:$B$5001,B3925,$I$2:$I$5001,I3925),1,0))</f>
        <v/>
      </c>
    </row>
    <row r="3926" customFormat="false" ht="15" hidden="false" customHeight="false" outlineLevel="0" collapsed="false">
      <c r="I3926" s="15" t="str">
        <f aca="false">IF(A3926="","",INT(A3926))</f>
        <v/>
      </c>
      <c r="J3926" s="16" t="str">
        <f aca="false">IF(B3926="","",IF(A3926=_xlfn.MINIFS($A$2:$A$5001,$B$2:$B$5001,B3926),1,0))</f>
        <v/>
      </c>
      <c r="K3926" s="16" t="str">
        <f aca="false">IF(B3926="","",IF(AND(D3926="Formalização",E3926="Concluído"),IF(COUNTIFS($B$2:$B$5001,B3926,$E$2:$E$5001,"Em ajustes",$A$2:$A$5001,"&lt;"&amp;I3926)&gt;0,1,0),0))</f>
        <v/>
      </c>
      <c r="L3926" s="16" t="str">
        <f aca="false">IF(B3926="","",IF(A3926=_xlfn.MAXIFS($A$2:$A$5001,$B$2:$B$5001,B3926,$I$2:$I$5001,I3926),1,0))</f>
        <v/>
      </c>
    </row>
    <row r="3927" customFormat="false" ht="15" hidden="false" customHeight="false" outlineLevel="0" collapsed="false">
      <c r="I3927" s="15" t="str">
        <f aca="false">IF(A3927="","",INT(A3927))</f>
        <v/>
      </c>
      <c r="J3927" s="16" t="str">
        <f aca="false">IF(B3927="","",IF(A3927=_xlfn.MINIFS($A$2:$A$5001,$B$2:$B$5001,B3927),1,0))</f>
        <v/>
      </c>
      <c r="K3927" s="16" t="str">
        <f aca="false">IF(B3927="","",IF(AND(D3927="Formalização",E3927="Concluído"),IF(COUNTIFS($B$2:$B$5001,B3927,$E$2:$E$5001,"Em ajustes",$A$2:$A$5001,"&lt;"&amp;I3927)&gt;0,1,0),0))</f>
        <v/>
      </c>
      <c r="L3927" s="16" t="str">
        <f aca="false">IF(B3927="","",IF(A3927=_xlfn.MAXIFS($A$2:$A$5001,$B$2:$B$5001,B3927,$I$2:$I$5001,I3927),1,0))</f>
        <v/>
      </c>
    </row>
    <row r="3928" customFormat="false" ht="15" hidden="false" customHeight="false" outlineLevel="0" collapsed="false">
      <c r="I3928" s="15" t="str">
        <f aca="false">IF(A3928="","",INT(A3928))</f>
        <v/>
      </c>
      <c r="J3928" s="16" t="str">
        <f aca="false">IF(B3928="","",IF(A3928=_xlfn.MINIFS($A$2:$A$5001,$B$2:$B$5001,B3928),1,0))</f>
        <v/>
      </c>
      <c r="K3928" s="16" t="str">
        <f aca="false">IF(B3928="","",IF(AND(D3928="Formalização",E3928="Concluído"),IF(COUNTIFS($B$2:$B$5001,B3928,$E$2:$E$5001,"Em ajustes",$A$2:$A$5001,"&lt;"&amp;I3928)&gt;0,1,0),0))</f>
        <v/>
      </c>
      <c r="L3928" s="16" t="str">
        <f aca="false">IF(B3928="","",IF(A3928=_xlfn.MAXIFS($A$2:$A$5001,$B$2:$B$5001,B3928,$I$2:$I$5001,I3928),1,0))</f>
        <v/>
      </c>
    </row>
    <row r="3929" customFormat="false" ht="15" hidden="false" customHeight="false" outlineLevel="0" collapsed="false">
      <c r="I3929" s="15" t="str">
        <f aca="false">IF(A3929="","",INT(A3929))</f>
        <v/>
      </c>
      <c r="J3929" s="16" t="str">
        <f aca="false">IF(B3929="","",IF(A3929=_xlfn.MINIFS($A$2:$A$5001,$B$2:$B$5001,B3929),1,0))</f>
        <v/>
      </c>
      <c r="K3929" s="16" t="str">
        <f aca="false">IF(B3929="","",IF(AND(D3929="Formalização",E3929="Concluído"),IF(COUNTIFS($B$2:$B$5001,B3929,$E$2:$E$5001,"Em ajustes",$A$2:$A$5001,"&lt;"&amp;I3929)&gt;0,1,0),0))</f>
        <v/>
      </c>
      <c r="L3929" s="16" t="str">
        <f aca="false">IF(B3929="","",IF(A3929=_xlfn.MAXIFS($A$2:$A$5001,$B$2:$B$5001,B3929,$I$2:$I$5001,I3929),1,0))</f>
        <v/>
      </c>
    </row>
    <row r="3930" customFormat="false" ht="15" hidden="false" customHeight="false" outlineLevel="0" collapsed="false">
      <c r="I3930" s="15" t="str">
        <f aca="false">IF(A3930="","",INT(A3930))</f>
        <v/>
      </c>
      <c r="J3930" s="16" t="str">
        <f aca="false">IF(B3930="","",IF(A3930=_xlfn.MINIFS($A$2:$A$5001,$B$2:$B$5001,B3930),1,0))</f>
        <v/>
      </c>
      <c r="K3930" s="16" t="str">
        <f aca="false">IF(B3930="","",IF(AND(D3930="Formalização",E3930="Concluído"),IF(COUNTIFS($B$2:$B$5001,B3930,$E$2:$E$5001,"Em ajustes",$A$2:$A$5001,"&lt;"&amp;I3930)&gt;0,1,0),0))</f>
        <v/>
      </c>
      <c r="L3930" s="16" t="str">
        <f aca="false">IF(B3930="","",IF(A3930=_xlfn.MAXIFS($A$2:$A$5001,$B$2:$B$5001,B3930,$I$2:$I$5001,I3930),1,0))</f>
        <v/>
      </c>
    </row>
    <row r="3931" customFormat="false" ht="15" hidden="false" customHeight="false" outlineLevel="0" collapsed="false">
      <c r="I3931" s="15" t="str">
        <f aca="false">IF(A3931="","",INT(A3931))</f>
        <v/>
      </c>
      <c r="J3931" s="16" t="str">
        <f aca="false">IF(B3931="","",IF(A3931=_xlfn.MINIFS($A$2:$A$5001,$B$2:$B$5001,B3931),1,0))</f>
        <v/>
      </c>
      <c r="K3931" s="16" t="str">
        <f aca="false">IF(B3931="","",IF(AND(D3931="Formalização",E3931="Concluído"),IF(COUNTIFS($B$2:$B$5001,B3931,$E$2:$E$5001,"Em ajustes",$A$2:$A$5001,"&lt;"&amp;I3931)&gt;0,1,0),0))</f>
        <v/>
      </c>
      <c r="L3931" s="16" t="str">
        <f aca="false">IF(B3931="","",IF(A3931=_xlfn.MAXIFS($A$2:$A$5001,$B$2:$B$5001,B3931,$I$2:$I$5001,I3931),1,0))</f>
        <v/>
      </c>
    </row>
    <row r="3932" customFormat="false" ht="15" hidden="false" customHeight="false" outlineLevel="0" collapsed="false">
      <c r="I3932" s="15" t="str">
        <f aca="false">IF(A3932="","",INT(A3932))</f>
        <v/>
      </c>
      <c r="J3932" s="16" t="str">
        <f aca="false">IF(B3932="","",IF(A3932=_xlfn.MINIFS($A$2:$A$5001,$B$2:$B$5001,B3932),1,0))</f>
        <v/>
      </c>
      <c r="K3932" s="16" t="str">
        <f aca="false">IF(B3932="","",IF(AND(D3932="Formalização",E3932="Concluído"),IF(COUNTIFS($B$2:$B$5001,B3932,$E$2:$E$5001,"Em ajustes",$A$2:$A$5001,"&lt;"&amp;I3932)&gt;0,1,0),0))</f>
        <v/>
      </c>
      <c r="L3932" s="16" t="str">
        <f aca="false">IF(B3932="","",IF(A3932=_xlfn.MAXIFS($A$2:$A$5001,$B$2:$B$5001,B3932,$I$2:$I$5001,I3932),1,0))</f>
        <v/>
      </c>
    </row>
    <row r="3933" customFormat="false" ht="15" hidden="false" customHeight="false" outlineLevel="0" collapsed="false">
      <c r="I3933" s="15" t="str">
        <f aca="false">IF(A3933="","",INT(A3933))</f>
        <v/>
      </c>
      <c r="J3933" s="16" t="str">
        <f aca="false">IF(B3933="","",IF(A3933=_xlfn.MINIFS($A$2:$A$5001,$B$2:$B$5001,B3933),1,0))</f>
        <v/>
      </c>
      <c r="K3933" s="16" t="str">
        <f aca="false">IF(B3933="","",IF(AND(D3933="Formalização",E3933="Concluído"),IF(COUNTIFS($B$2:$B$5001,B3933,$E$2:$E$5001,"Em ajustes",$A$2:$A$5001,"&lt;"&amp;I3933)&gt;0,1,0),0))</f>
        <v/>
      </c>
      <c r="L3933" s="16" t="str">
        <f aca="false">IF(B3933="","",IF(A3933=_xlfn.MAXIFS($A$2:$A$5001,$B$2:$B$5001,B3933,$I$2:$I$5001,I3933),1,0))</f>
        <v/>
      </c>
    </row>
    <row r="3934" customFormat="false" ht="15" hidden="false" customHeight="false" outlineLevel="0" collapsed="false">
      <c r="I3934" s="15" t="str">
        <f aca="false">IF(A3934="","",INT(A3934))</f>
        <v/>
      </c>
      <c r="J3934" s="16" t="str">
        <f aca="false">IF(B3934="","",IF(A3934=_xlfn.MINIFS($A$2:$A$5001,$B$2:$B$5001,B3934),1,0))</f>
        <v/>
      </c>
      <c r="K3934" s="16" t="str">
        <f aca="false">IF(B3934="","",IF(AND(D3934="Formalização",E3934="Concluído"),IF(COUNTIFS($B$2:$B$5001,B3934,$E$2:$E$5001,"Em ajustes",$A$2:$A$5001,"&lt;"&amp;I3934)&gt;0,1,0),0))</f>
        <v/>
      </c>
      <c r="L3934" s="16" t="str">
        <f aca="false">IF(B3934="","",IF(A3934=_xlfn.MAXIFS($A$2:$A$5001,$B$2:$B$5001,B3934,$I$2:$I$5001,I3934),1,0))</f>
        <v/>
      </c>
    </row>
    <row r="3935" customFormat="false" ht="15" hidden="false" customHeight="false" outlineLevel="0" collapsed="false">
      <c r="I3935" s="15" t="str">
        <f aca="false">IF(A3935="","",INT(A3935))</f>
        <v/>
      </c>
      <c r="J3935" s="16" t="str">
        <f aca="false">IF(B3935="","",IF(A3935=_xlfn.MINIFS($A$2:$A$5001,$B$2:$B$5001,B3935),1,0))</f>
        <v/>
      </c>
      <c r="K3935" s="16" t="str">
        <f aca="false">IF(B3935="","",IF(AND(D3935="Formalização",E3935="Concluído"),IF(COUNTIFS($B$2:$B$5001,B3935,$E$2:$E$5001,"Em ajustes",$A$2:$A$5001,"&lt;"&amp;I3935)&gt;0,1,0),0))</f>
        <v/>
      </c>
      <c r="L3935" s="16" t="str">
        <f aca="false">IF(B3935="","",IF(A3935=_xlfn.MAXIFS($A$2:$A$5001,$B$2:$B$5001,B3935,$I$2:$I$5001,I3935),1,0))</f>
        <v/>
      </c>
    </row>
    <row r="3936" customFormat="false" ht="15" hidden="false" customHeight="false" outlineLevel="0" collapsed="false">
      <c r="I3936" s="15" t="str">
        <f aca="false">IF(A3936="","",INT(A3936))</f>
        <v/>
      </c>
      <c r="J3936" s="16" t="str">
        <f aca="false">IF(B3936="","",IF(A3936=_xlfn.MINIFS($A$2:$A$5001,$B$2:$B$5001,B3936),1,0))</f>
        <v/>
      </c>
      <c r="K3936" s="16" t="str">
        <f aca="false">IF(B3936="","",IF(AND(D3936="Formalização",E3936="Concluído"),IF(COUNTIFS($B$2:$B$5001,B3936,$E$2:$E$5001,"Em ajustes",$A$2:$A$5001,"&lt;"&amp;I3936)&gt;0,1,0),0))</f>
        <v/>
      </c>
      <c r="L3936" s="16" t="str">
        <f aca="false">IF(B3936="","",IF(A3936=_xlfn.MAXIFS($A$2:$A$5001,$B$2:$B$5001,B3936,$I$2:$I$5001,I3936),1,0))</f>
        <v/>
      </c>
    </row>
    <row r="3937" customFormat="false" ht="15" hidden="false" customHeight="false" outlineLevel="0" collapsed="false">
      <c r="I3937" s="15" t="str">
        <f aca="false">IF(A3937="","",INT(A3937))</f>
        <v/>
      </c>
      <c r="J3937" s="16" t="str">
        <f aca="false">IF(B3937="","",IF(A3937=_xlfn.MINIFS($A$2:$A$5001,$B$2:$B$5001,B3937),1,0))</f>
        <v/>
      </c>
      <c r="K3937" s="16" t="str">
        <f aca="false">IF(B3937="","",IF(AND(D3937="Formalização",E3937="Concluído"),IF(COUNTIFS($B$2:$B$5001,B3937,$E$2:$E$5001,"Em ajustes",$A$2:$A$5001,"&lt;"&amp;I3937)&gt;0,1,0),0))</f>
        <v/>
      </c>
      <c r="L3937" s="16" t="str">
        <f aca="false">IF(B3937="","",IF(A3937=_xlfn.MAXIFS($A$2:$A$5001,$B$2:$B$5001,B3937,$I$2:$I$5001,I3937),1,0))</f>
        <v/>
      </c>
    </row>
    <row r="3938" customFormat="false" ht="15" hidden="false" customHeight="false" outlineLevel="0" collapsed="false">
      <c r="I3938" s="15" t="str">
        <f aca="false">IF(A3938="","",INT(A3938))</f>
        <v/>
      </c>
      <c r="J3938" s="16" t="str">
        <f aca="false">IF(B3938="","",IF(A3938=_xlfn.MINIFS($A$2:$A$5001,$B$2:$B$5001,B3938),1,0))</f>
        <v/>
      </c>
      <c r="K3938" s="16" t="str">
        <f aca="false">IF(B3938="","",IF(AND(D3938="Formalização",E3938="Concluído"),IF(COUNTIFS($B$2:$B$5001,B3938,$E$2:$E$5001,"Em ajustes",$A$2:$A$5001,"&lt;"&amp;I3938)&gt;0,1,0),0))</f>
        <v/>
      </c>
      <c r="L3938" s="16" t="str">
        <f aca="false">IF(B3938="","",IF(A3938=_xlfn.MAXIFS($A$2:$A$5001,$B$2:$B$5001,B3938,$I$2:$I$5001,I3938),1,0))</f>
        <v/>
      </c>
    </row>
    <row r="3939" customFormat="false" ht="15" hidden="false" customHeight="false" outlineLevel="0" collapsed="false">
      <c r="I3939" s="15" t="str">
        <f aca="false">IF(A3939="","",INT(A3939))</f>
        <v/>
      </c>
      <c r="J3939" s="16" t="str">
        <f aca="false">IF(B3939="","",IF(A3939=_xlfn.MINIFS($A$2:$A$5001,$B$2:$B$5001,B3939),1,0))</f>
        <v/>
      </c>
      <c r="K3939" s="16" t="str">
        <f aca="false">IF(B3939="","",IF(AND(D3939="Formalização",E3939="Concluído"),IF(COUNTIFS($B$2:$B$5001,B3939,$E$2:$E$5001,"Em ajustes",$A$2:$A$5001,"&lt;"&amp;I3939)&gt;0,1,0),0))</f>
        <v/>
      </c>
      <c r="L3939" s="16" t="str">
        <f aca="false">IF(B3939="","",IF(A3939=_xlfn.MAXIFS($A$2:$A$5001,$B$2:$B$5001,B3939,$I$2:$I$5001,I3939),1,0))</f>
        <v/>
      </c>
    </row>
    <row r="3940" customFormat="false" ht="15" hidden="false" customHeight="false" outlineLevel="0" collapsed="false">
      <c r="I3940" s="15" t="str">
        <f aca="false">IF(A3940="","",INT(A3940))</f>
        <v/>
      </c>
      <c r="J3940" s="16" t="str">
        <f aca="false">IF(B3940="","",IF(A3940=_xlfn.MINIFS($A$2:$A$5001,$B$2:$B$5001,B3940),1,0))</f>
        <v/>
      </c>
      <c r="K3940" s="16" t="str">
        <f aca="false">IF(B3940="","",IF(AND(D3940="Formalização",E3940="Concluído"),IF(COUNTIFS($B$2:$B$5001,B3940,$E$2:$E$5001,"Em ajustes",$A$2:$A$5001,"&lt;"&amp;I3940)&gt;0,1,0),0))</f>
        <v/>
      </c>
      <c r="L3940" s="16" t="str">
        <f aca="false">IF(B3940="","",IF(A3940=_xlfn.MAXIFS($A$2:$A$5001,$B$2:$B$5001,B3940,$I$2:$I$5001,I3940),1,0))</f>
        <v/>
      </c>
    </row>
    <row r="3941" customFormat="false" ht="15" hidden="false" customHeight="false" outlineLevel="0" collapsed="false">
      <c r="I3941" s="15" t="str">
        <f aca="false">IF(A3941="","",INT(A3941))</f>
        <v/>
      </c>
      <c r="J3941" s="16" t="str">
        <f aca="false">IF(B3941="","",IF(A3941=_xlfn.MINIFS($A$2:$A$5001,$B$2:$B$5001,B3941),1,0))</f>
        <v/>
      </c>
      <c r="K3941" s="16" t="str">
        <f aca="false">IF(B3941="","",IF(AND(D3941="Formalização",E3941="Concluído"),IF(COUNTIFS($B$2:$B$5001,B3941,$E$2:$E$5001,"Em ajustes",$A$2:$A$5001,"&lt;"&amp;I3941)&gt;0,1,0),0))</f>
        <v/>
      </c>
      <c r="L3941" s="16" t="str">
        <f aca="false">IF(B3941="","",IF(A3941=_xlfn.MAXIFS($A$2:$A$5001,$B$2:$B$5001,B3941,$I$2:$I$5001,I3941),1,0))</f>
        <v/>
      </c>
    </row>
    <row r="3942" customFormat="false" ht="15" hidden="false" customHeight="false" outlineLevel="0" collapsed="false">
      <c r="I3942" s="15" t="str">
        <f aca="false">IF(A3942="","",INT(A3942))</f>
        <v/>
      </c>
      <c r="J3942" s="16" t="str">
        <f aca="false">IF(B3942="","",IF(A3942=_xlfn.MINIFS($A$2:$A$5001,$B$2:$B$5001,B3942),1,0))</f>
        <v/>
      </c>
      <c r="K3942" s="16" t="str">
        <f aca="false">IF(B3942="","",IF(AND(D3942="Formalização",E3942="Concluído"),IF(COUNTIFS($B$2:$B$5001,B3942,$E$2:$E$5001,"Em ajustes",$A$2:$A$5001,"&lt;"&amp;I3942)&gt;0,1,0),0))</f>
        <v/>
      </c>
      <c r="L3942" s="16" t="str">
        <f aca="false">IF(B3942="","",IF(A3942=_xlfn.MAXIFS($A$2:$A$5001,$B$2:$B$5001,B3942,$I$2:$I$5001,I3942),1,0))</f>
        <v/>
      </c>
    </row>
    <row r="3943" customFormat="false" ht="15" hidden="false" customHeight="false" outlineLevel="0" collapsed="false">
      <c r="I3943" s="15" t="str">
        <f aca="false">IF(A3943="","",INT(A3943))</f>
        <v/>
      </c>
      <c r="J3943" s="16" t="str">
        <f aca="false">IF(B3943="","",IF(A3943=_xlfn.MINIFS($A$2:$A$5001,$B$2:$B$5001,B3943),1,0))</f>
        <v/>
      </c>
      <c r="K3943" s="16" t="str">
        <f aca="false">IF(B3943="","",IF(AND(D3943="Formalização",E3943="Concluído"),IF(COUNTIFS($B$2:$B$5001,B3943,$E$2:$E$5001,"Em ajustes",$A$2:$A$5001,"&lt;"&amp;I3943)&gt;0,1,0),0))</f>
        <v/>
      </c>
      <c r="L3943" s="16" t="str">
        <f aca="false">IF(B3943="","",IF(A3943=_xlfn.MAXIFS($A$2:$A$5001,$B$2:$B$5001,B3943,$I$2:$I$5001,I3943),1,0))</f>
        <v/>
      </c>
    </row>
    <row r="3944" customFormat="false" ht="15" hidden="false" customHeight="false" outlineLevel="0" collapsed="false">
      <c r="I3944" s="15" t="str">
        <f aca="false">IF(A3944="","",INT(A3944))</f>
        <v/>
      </c>
      <c r="J3944" s="16" t="str">
        <f aca="false">IF(B3944="","",IF(A3944=_xlfn.MINIFS($A$2:$A$5001,$B$2:$B$5001,B3944),1,0))</f>
        <v/>
      </c>
      <c r="K3944" s="16" t="str">
        <f aca="false">IF(B3944="","",IF(AND(D3944="Formalização",E3944="Concluído"),IF(COUNTIFS($B$2:$B$5001,B3944,$E$2:$E$5001,"Em ajustes",$A$2:$A$5001,"&lt;"&amp;I3944)&gt;0,1,0),0))</f>
        <v/>
      </c>
      <c r="L3944" s="16" t="str">
        <f aca="false">IF(B3944="","",IF(A3944=_xlfn.MAXIFS($A$2:$A$5001,$B$2:$B$5001,B3944,$I$2:$I$5001,I3944),1,0))</f>
        <v/>
      </c>
    </row>
    <row r="3945" customFormat="false" ht="15" hidden="false" customHeight="false" outlineLevel="0" collapsed="false">
      <c r="I3945" s="15" t="str">
        <f aca="false">IF(A3945="","",INT(A3945))</f>
        <v/>
      </c>
      <c r="J3945" s="16" t="str">
        <f aca="false">IF(B3945="","",IF(A3945=_xlfn.MINIFS($A$2:$A$5001,$B$2:$B$5001,B3945),1,0))</f>
        <v/>
      </c>
      <c r="K3945" s="16" t="str">
        <f aca="false">IF(B3945="","",IF(AND(D3945="Formalização",E3945="Concluído"),IF(COUNTIFS($B$2:$B$5001,B3945,$E$2:$E$5001,"Em ajustes",$A$2:$A$5001,"&lt;"&amp;I3945)&gt;0,1,0),0))</f>
        <v/>
      </c>
      <c r="L3945" s="16" t="str">
        <f aca="false">IF(B3945="","",IF(A3945=_xlfn.MAXIFS($A$2:$A$5001,$B$2:$B$5001,B3945,$I$2:$I$5001,I3945),1,0))</f>
        <v/>
      </c>
    </row>
    <row r="3946" customFormat="false" ht="15" hidden="false" customHeight="false" outlineLevel="0" collapsed="false">
      <c r="I3946" s="15" t="str">
        <f aca="false">IF(A3946="","",INT(A3946))</f>
        <v/>
      </c>
      <c r="J3946" s="16" t="str">
        <f aca="false">IF(B3946="","",IF(A3946=_xlfn.MINIFS($A$2:$A$5001,$B$2:$B$5001,B3946),1,0))</f>
        <v/>
      </c>
      <c r="K3946" s="16" t="str">
        <f aca="false">IF(B3946="","",IF(AND(D3946="Formalização",E3946="Concluído"),IF(COUNTIFS($B$2:$B$5001,B3946,$E$2:$E$5001,"Em ajustes",$A$2:$A$5001,"&lt;"&amp;I3946)&gt;0,1,0),0))</f>
        <v/>
      </c>
      <c r="L3946" s="16" t="str">
        <f aca="false">IF(B3946="","",IF(A3946=_xlfn.MAXIFS($A$2:$A$5001,$B$2:$B$5001,B3946,$I$2:$I$5001,I3946),1,0))</f>
        <v/>
      </c>
    </row>
    <row r="3947" customFormat="false" ht="15" hidden="false" customHeight="false" outlineLevel="0" collapsed="false">
      <c r="I3947" s="15" t="str">
        <f aca="false">IF(A3947="","",INT(A3947))</f>
        <v/>
      </c>
      <c r="J3947" s="16" t="str">
        <f aca="false">IF(B3947="","",IF(A3947=_xlfn.MINIFS($A$2:$A$5001,$B$2:$B$5001,B3947),1,0))</f>
        <v/>
      </c>
      <c r="K3947" s="16" t="str">
        <f aca="false">IF(B3947="","",IF(AND(D3947="Formalização",E3947="Concluído"),IF(COUNTIFS($B$2:$B$5001,B3947,$E$2:$E$5001,"Em ajustes",$A$2:$A$5001,"&lt;"&amp;I3947)&gt;0,1,0),0))</f>
        <v/>
      </c>
      <c r="L3947" s="16" t="str">
        <f aca="false">IF(B3947="","",IF(A3947=_xlfn.MAXIFS($A$2:$A$5001,$B$2:$B$5001,B3947,$I$2:$I$5001,I3947),1,0))</f>
        <v/>
      </c>
    </row>
    <row r="3948" customFormat="false" ht="15" hidden="false" customHeight="false" outlineLevel="0" collapsed="false">
      <c r="I3948" s="15" t="str">
        <f aca="false">IF(A3948="","",INT(A3948))</f>
        <v/>
      </c>
      <c r="J3948" s="16" t="str">
        <f aca="false">IF(B3948="","",IF(A3948=_xlfn.MINIFS($A$2:$A$5001,$B$2:$B$5001,B3948),1,0))</f>
        <v/>
      </c>
      <c r="K3948" s="16" t="str">
        <f aca="false">IF(B3948="","",IF(AND(D3948="Formalização",E3948="Concluído"),IF(COUNTIFS($B$2:$B$5001,B3948,$E$2:$E$5001,"Em ajustes",$A$2:$A$5001,"&lt;"&amp;I3948)&gt;0,1,0),0))</f>
        <v/>
      </c>
      <c r="L3948" s="16" t="str">
        <f aca="false">IF(B3948="","",IF(A3948=_xlfn.MAXIFS($A$2:$A$5001,$B$2:$B$5001,B3948,$I$2:$I$5001,I3948),1,0))</f>
        <v/>
      </c>
    </row>
    <row r="3949" customFormat="false" ht="15" hidden="false" customHeight="false" outlineLevel="0" collapsed="false">
      <c r="I3949" s="15" t="str">
        <f aca="false">IF(A3949="","",INT(A3949))</f>
        <v/>
      </c>
      <c r="J3949" s="16" t="str">
        <f aca="false">IF(B3949="","",IF(A3949=_xlfn.MINIFS($A$2:$A$5001,$B$2:$B$5001,B3949),1,0))</f>
        <v/>
      </c>
      <c r="K3949" s="16" t="str">
        <f aca="false">IF(B3949="","",IF(AND(D3949="Formalização",E3949="Concluído"),IF(COUNTIFS($B$2:$B$5001,B3949,$E$2:$E$5001,"Em ajustes",$A$2:$A$5001,"&lt;"&amp;I3949)&gt;0,1,0),0))</f>
        <v/>
      </c>
      <c r="L3949" s="16" t="str">
        <f aca="false">IF(B3949="","",IF(A3949=_xlfn.MAXIFS($A$2:$A$5001,$B$2:$B$5001,B3949,$I$2:$I$5001,I3949),1,0))</f>
        <v/>
      </c>
    </row>
    <row r="3950" customFormat="false" ht="15" hidden="false" customHeight="false" outlineLevel="0" collapsed="false">
      <c r="I3950" s="15" t="str">
        <f aca="false">IF(A3950="","",INT(A3950))</f>
        <v/>
      </c>
      <c r="J3950" s="16" t="str">
        <f aca="false">IF(B3950="","",IF(A3950=_xlfn.MINIFS($A$2:$A$5001,$B$2:$B$5001,B3950),1,0))</f>
        <v/>
      </c>
      <c r="K3950" s="16" t="str">
        <f aca="false">IF(B3950="","",IF(AND(D3950="Formalização",E3950="Concluído"),IF(COUNTIFS($B$2:$B$5001,B3950,$E$2:$E$5001,"Em ajustes",$A$2:$A$5001,"&lt;"&amp;I3950)&gt;0,1,0),0))</f>
        <v/>
      </c>
      <c r="L3950" s="16" t="str">
        <f aca="false">IF(B3950="","",IF(A3950=_xlfn.MAXIFS($A$2:$A$5001,$B$2:$B$5001,B3950,$I$2:$I$5001,I3950),1,0))</f>
        <v/>
      </c>
    </row>
    <row r="3951" customFormat="false" ht="15" hidden="false" customHeight="false" outlineLevel="0" collapsed="false">
      <c r="I3951" s="15" t="str">
        <f aca="false">IF(A3951="","",INT(A3951))</f>
        <v/>
      </c>
      <c r="J3951" s="16" t="str">
        <f aca="false">IF(B3951="","",IF(A3951=_xlfn.MINIFS($A$2:$A$5001,$B$2:$B$5001,B3951),1,0))</f>
        <v/>
      </c>
      <c r="K3951" s="16" t="str">
        <f aca="false">IF(B3951="","",IF(AND(D3951="Formalização",E3951="Concluído"),IF(COUNTIFS($B$2:$B$5001,B3951,$E$2:$E$5001,"Em ajustes",$A$2:$A$5001,"&lt;"&amp;I3951)&gt;0,1,0),0))</f>
        <v/>
      </c>
      <c r="L3951" s="16" t="str">
        <f aca="false">IF(B3951="","",IF(A3951=_xlfn.MAXIFS($A$2:$A$5001,$B$2:$B$5001,B3951,$I$2:$I$5001,I3951),1,0))</f>
        <v/>
      </c>
    </row>
    <row r="3952" customFormat="false" ht="15" hidden="false" customHeight="false" outlineLevel="0" collapsed="false">
      <c r="I3952" s="15" t="str">
        <f aca="false">IF(A3952="","",INT(A3952))</f>
        <v/>
      </c>
      <c r="J3952" s="16" t="str">
        <f aca="false">IF(B3952="","",IF(A3952=_xlfn.MINIFS($A$2:$A$5001,$B$2:$B$5001,B3952),1,0))</f>
        <v/>
      </c>
      <c r="K3952" s="16" t="str">
        <f aca="false">IF(B3952="","",IF(AND(D3952="Formalização",E3952="Concluído"),IF(COUNTIFS($B$2:$B$5001,B3952,$E$2:$E$5001,"Em ajustes",$A$2:$A$5001,"&lt;"&amp;I3952)&gt;0,1,0),0))</f>
        <v/>
      </c>
      <c r="L3952" s="16" t="str">
        <f aca="false">IF(B3952="","",IF(A3952=_xlfn.MAXIFS($A$2:$A$5001,$B$2:$B$5001,B3952,$I$2:$I$5001,I3952),1,0))</f>
        <v/>
      </c>
    </row>
    <row r="3953" customFormat="false" ht="15" hidden="false" customHeight="false" outlineLevel="0" collapsed="false">
      <c r="I3953" s="15" t="str">
        <f aca="false">IF(A3953="","",INT(A3953))</f>
        <v/>
      </c>
      <c r="J3953" s="16" t="str">
        <f aca="false">IF(B3953="","",IF(A3953=_xlfn.MINIFS($A$2:$A$5001,$B$2:$B$5001,B3953),1,0))</f>
        <v/>
      </c>
      <c r="K3953" s="16" t="str">
        <f aca="false">IF(B3953="","",IF(AND(D3953="Formalização",E3953="Concluído"),IF(COUNTIFS($B$2:$B$5001,B3953,$E$2:$E$5001,"Em ajustes",$A$2:$A$5001,"&lt;"&amp;I3953)&gt;0,1,0),0))</f>
        <v/>
      </c>
      <c r="L3953" s="16" t="str">
        <f aca="false">IF(B3953="","",IF(A3953=_xlfn.MAXIFS($A$2:$A$5001,$B$2:$B$5001,B3953,$I$2:$I$5001,I3953),1,0))</f>
        <v/>
      </c>
    </row>
    <row r="3954" customFormat="false" ht="15" hidden="false" customHeight="false" outlineLevel="0" collapsed="false">
      <c r="I3954" s="15" t="str">
        <f aca="false">IF(A3954="","",INT(A3954))</f>
        <v/>
      </c>
      <c r="J3954" s="16" t="str">
        <f aca="false">IF(B3954="","",IF(A3954=_xlfn.MINIFS($A$2:$A$5001,$B$2:$B$5001,B3954),1,0))</f>
        <v/>
      </c>
      <c r="K3954" s="16" t="str">
        <f aca="false">IF(B3954="","",IF(AND(D3954="Formalização",E3954="Concluído"),IF(COUNTIFS($B$2:$B$5001,B3954,$E$2:$E$5001,"Em ajustes",$A$2:$A$5001,"&lt;"&amp;I3954)&gt;0,1,0),0))</f>
        <v/>
      </c>
      <c r="L3954" s="16" t="str">
        <f aca="false">IF(B3954="","",IF(A3954=_xlfn.MAXIFS($A$2:$A$5001,$B$2:$B$5001,B3954,$I$2:$I$5001,I3954),1,0))</f>
        <v/>
      </c>
    </row>
    <row r="3955" customFormat="false" ht="15" hidden="false" customHeight="false" outlineLevel="0" collapsed="false">
      <c r="I3955" s="15" t="str">
        <f aca="false">IF(A3955="","",INT(A3955))</f>
        <v/>
      </c>
      <c r="J3955" s="16" t="str">
        <f aca="false">IF(B3955="","",IF(A3955=_xlfn.MINIFS($A$2:$A$5001,$B$2:$B$5001,B3955),1,0))</f>
        <v/>
      </c>
      <c r="K3955" s="16" t="str">
        <f aca="false">IF(B3955="","",IF(AND(D3955="Formalização",E3955="Concluído"),IF(COUNTIFS($B$2:$B$5001,B3955,$E$2:$E$5001,"Em ajustes",$A$2:$A$5001,"&lt;"&amp;I3955)&gt;0,1,0),0))</f>
        <v/>
      </c>
      <c r="L3955" s="16" t="str">
        <f aca="false">IF(B3955="","",IF(A3955=_xlfn.MAXIFS($A$2:$A$5001,$B$2:$B$5001,B3955,$I$2:$I$5001,I3955),1,0))</f>
        <v/>
      </c>
    </row>
    <row r="3956" customFormat="false" ht="15" hidden="false" customHeight="false" outlineLevel="0" collapsed="false">
      <c r="I3956" s="15" t="str">
        <f aca="false">IF(A3956="","",INT(A3956))</f>
        <v/>
      </c>
      <c r="J3956" s="16" t="str">
        <f aca="false">IF(B3956="","",IF(A3956=_xlfn.MINIFS($A$2:$A$5001,$B$2:$B$5001,B3956),1,0))</f>
        <v/>
      </c>
      <c r="K3956" s="16" t="str">
        <f aca="false">IF(B3956="","",IF(AND(D3956="Formalização",E3956="Concluído"),IF(COUNTIFS($B$2:$B$5001,B3956,$E$2:$E$5001,"Em ajustes",$A$2:$A$5001,"&lt;"&amp;I3956)&gt;0,1,0),0))</f>
        <v/>
      </c>
      <c r="L3956" s="16" t="str">
        <f aca="false">IF(B3956="","",IF(A3956=_xlfn.MAXIFS($A$2:$A$5001,$B$2:$B$5001,B3956,$I$2:$I$5001,I3956),1,0))</f>
        <v/>
      </c>
    </row>
    <row r="3957" customFormat="false" ht="15" hidden="false" customHeight="false" outlineLevel="0" collapsed="false">
      <c r="I3957" s="15" t="str">
        <f aca="false">IF(A3957="","",INT(A3957))</f>
        <v/>
      </c>
      <c r="J3957" s="16" t="str">
        <f aca="false">IF(B3957="","",IF(A3957=_xlfn.MINIFS($A$2:$A$5001,$B$2:$B$5001,B3957),1,0))</f>
        <v/>
      </c>
      <c r="K3957" s="16" t="str">
        <f aca="false">IF(B3957="","",IF(AND(D3957="Formalização",E3957="Concluído"),IF(COUNTIFS($B$2:$B$5001,B3957,$E$2:$E$5001,"Em ajustes",$A$2:$A$5001,"&lt;"&amp;I3957)&gt;0,1,0),0))</f>
        <v/>
      </c>
      <c r="L3957" s="16" t="str">
        <f aca="false">IF(B3957="","",IF(A3957=_xlfn.MAXIFS($A$2:$A$5001,$B$2:$B$5001,B3957,$I$2:$I$5001,I3957),1,0))</f>
        <v/>
      </c>
    </row>
    <row r="3958" customFormat="false" ht="15" hidden="false" customHeight="false" outlineLevel="0" collapsed="false">
      <c r="I3958" s="15" t="str">
        <f aca="false">IF(A3958="","",INT(A3958))</f>
        <v/>
      </c>
      <c r="J3958" s="16" t="str">
        <f aca="false">IF(B3958="","",IF(A3958=_xlfn.MINIFS($A$2:$A$5001,$B$2:$B$5001,B3958),1,0))</f>
        <v/>
      </c>
      <c r="K3958" s="16" t="str">
        <f aca="false">IF(B3958="","",IF(AND(D3958="Formalização",E3958="Concluído"),IF(COUNTIFS($B$2:$B$5001,B3958,$E$2:$E$5001,"Em ajustes",$A$2:$A$5001,"&lt;"&amp;I3958)&gt;0,1,0),0))</f>
        <v/>
      </c>
      <c r="L3958" s="16" t="str">
        <f aca="false">IF(B3958="","",IF(A3958=_xlfn.MAXIFS($A$2:$A$5001,$B$2:$B$5001,B3958,$I$2:$I$5001,I3958),1,0))</f>
        <v/>
      </c>
    </row>
    <row r="3959" customFormat="false" ht="15" hidden="false" customHeight="false" outlineLevel="0" collapsed="false">
      <c r="I3959" s="15" t="str">
        <f aca="false">IF(A3959="","",INT(A3959))</f>
        <v/>
      </c>
      <c r="J3959" s="16" t="str">
        <f aca="false">IF(B3959="","",IF(A3959=_xlfn.MINIFS($A$2:$A$5001,$B$2:$B$5001,B3959),1,0))</f>
        <v/>
      </c>
      <c r="K3959" s="16" t="str">
        <f aca="false">IF(B3959="","",IF(AND(D3959="Formalização",E3959="Concluído"),IF(COUNTIFS($B$2:$B$5001,B3959,$E$2:$E$5001,"Em ajustes",$A$2:$A$5001,"&lt;"&amp;I3959)&gt;0,1,0),0))</f>
        <v/>
      </c>
      <c r="L3959" s="16" t="str">
        <f aca="false">IF(B3959="","",IF(A3959=_xlfn.MAXIFS($A$2:$A$5001,$B$2:$B$5001,B3959,$I$2:$I$5001,I3959),1,0))</f>
        <v/>
      </c>
    </row>
    <row r="3960" customFormat="false" ht="15" hidden="false" customHeight="false" outlineLevel="0" collapsed="false">
      <c r="I3960" s="15" t="str">
        <f aca="false">IF(A3960="","",INT(A3960))</f>
        <v/>
      </c>
      <c r="J3960" s="16" t="str">
        <f aca="false">IF(B3960="","",IF(A3960=_xlfn.MINIFS($A$2:$A$5001,$B$2:$B$5001,B3960),1,0))</f>
        <v/>
      </c>
      <c r="K3960" s="16" t="str">
        <f aca="false">IF(B3960="","",IF(AND(D3960="Formalização",E3960="Concluído"),IF(COUNTIFS($B$2:$B$5001,B3960,$E$2:$E$5001,"Em ajustes",$A$2:$A$5001,"&lt;"&amp;I3960)&gt;0,1,0),0))</f>
        <v/>
      </c>
      <c r="L3960" s="16" t="str">
        <f aca="false">IF(B3960="","",IF(A3960=_xlfn.MAXIFS($A$2:$A$5001,$B$2:$B$5001,B3960,$I$2:$I$5001,I3960),1,0))</f>
        <v/>
      </c>
    </row>
    <row r="3961" customFormat="false" ht="15" hidden="false" customHeight="false" outlineLevel="0" collapsed="false">
      <c r="I3961" s="15" t="str">
        <f aca="false">IF(A3961="","",INT(A3961))</f>
        <v/>
      </c>
      <c r="J3961" s="16" t="str">
        <f aca="false">IF(B3961="","",IF(A3961=_xlfn.MINIFS($A$2:$A$5001,$B$2:$B$5001,B3961),1,0))</f>
        <v/>
      </c>
      <c r="K3961" s="16" t="str">
        <f aca="false">IF(B3961="","",IF(AND(D3961="Formalização",E3961="Concluído"),IF(COUNTIFS($B$2:$B$5001,B3961,$E$2:$E$5001,"Em ajustes",$A$2:$A$5001,"&lt;"&amp;I3961)&gt;0,1,0),0))</f>
        <v/>
      </c>
      <c r="L3961" s="16" t="str">
        <f aca="false">IF(B3961="","",IF(A3961=_xlfn.MAXIFS($A$2:$A$5001,$B$2:$B$5001,B3961,$I$2:$I$5001,I3961),1,0))</f>
        <v/>
      </c>
    </row>
    <row r="3962" customFormat="false" ht="15" hidden="false" customHeight="false" outlineLevel="0" collapsed="false">
      <c r="I3962" s="15" t="str">
        <f aca="false">IF(A3962="","",INT(A3962))</f>
        <v/>
      </c>
      <c r="J3962" s="16" t="str">
        <f aca="false">IF(B3962="","",IF(A3962=_xlfn.MINIFS($A$2:$A$5001,$B$2:$B$5001,B3962),1,0))</f>
        <v/>
      </c>
      <c r="K3962" s="16" t="str">
        <f aca="false">IF(B3962="","",IF(AND(D3962="Formalização",E3962="Concluído"),IF(COUNTIFS($B$2:$B$5001,B3962,$E$2:$E$5001,"Em ajustes",$A$2:$A$5001,"&lt;"&amp;I3962)&gt;0,1,0),0))</f>
        <v/>
      </c>
      <c r="L3962" s="16" t="str">
        <f aca="false">IF(B3962="","",IF(A3962=_xlfn.MAXIFS($A$2:$A$5001,$B$2:$B$5001,B3962,$I$2:$I$5001,I3962),1,0))</f>
        <v/>
      </c>
    </row>
    <row r="3963" customFormat="false" ht="15" hidden="false" customHeight="false" outlineLevel="0" collapsed="false">
      <c r="I3963" s="15" t="str">
        <f aca="false">IF(A3963="","",INT(A3963))</f>
        <v/>
      </c>
      <c r="J3963" s="16" t="str">
        <f aca="false">IF(B3963="","",IF(A3963=_xlfn.MINIFS($A$2:$A$5001,$B$2:$B$5001,B3963),1,0))</f>
        <v/>
      </c>
      <c r="K3963" s="16" t="str">
        <f aca="false">IF(B3963="","",IF(AND(D3963="Formalização",E3963="Concluído"),IF(COUNTIFS($B$2:$B$5001,B3963,$E$2:$E$5001,"Em ajustes",$A$2:$A$5001,"&lt;"&amp;I3963)&gt;0,1,0),0))</f>
        <v/>
      </c>
      <c r="L3963" s="16" t="str">
        <f aca="false">IF(B3963="","",IF(A3963=_xlfn.MAXIFS($A$2:$A$5001,$B$2:$B$5001,B3963,$I$2:$I$5001,I3963),1,0))</f>
        <v/>
      </c>
    </row>
    <row r="3964" customFormat="false" ht="15" hidden="false" customHeight="false" outlineLevel="0" collapsed="false">
      <c r="I3964" s="15" t="str">
        <f aca="false">IF(A3964="","",INT(A3964))</f>
        <v/>
      </c>
      <c r="J3964" s="16" t="str">
        <f aca="false">IF(B3964="","",IF(A3964=_xlfn.MINIFS($A$2:$A$5001,$B$2:$B$5001,B3964),1,0))</f>
        <v/>
      </c>
      <c r="K3964" s="16" t="str">
        <f aca="false">IF(B3964="","",IF(AND(D3964="Formalização",E3964="Concluído"),IF(COUNTIFS($B$2:$B$5001,B3964,$E$2:$E$5001,"Em ajustes",$A$2:$A$5001,"&lt;"&amp;I3964)&gt;0,1,0),0))</f>
        <v/>
      </c>
      <c r="L3964" s="16" t="str">
        <f aca="false">IF(B3964="","",IF(A3964=_xlfn.MAXIFS($A$2:$A$5001,$B$2:$B$5001,B3964,$I$2:$I$5001,I3964),1,0))</f>
        <v/>
      </c>
    </row>
    <row r="3965" customFormat="false" ht="15" hidden="false" customHeight="false" outlineLevel="0" collapsed="false">
      <c r="I3965" s="15" t="str">
        <f aca="false">IF(A3965="","",INT(A3965))</f>
        <v/>
      </c>
      <c r="J3965" s="16" t="str">
        <f aca="false">IF(B3965="","",IF(A3965=_xlfn.MINIFS($A$2:$A$5001,$B$2:$B$5001,B3965),1,0))</f>
        <v/>
      </c>
      <c r="K3965" s="16" t="str">
        <f aca="false">IF(B3965="","",IF(AND(D3965="Formalização",E3965="Concluído"),IF(COUNTIFS($B$2:$B$5001,B3965,$E$2:$E$5001,"Em ajustes",$A$2:$A$5001,"&lt;"&amp;I3965)&gt;0,1,0),0))</f>
        <v/>
      </c>
      <c r="L3965" s="16" t="str">
        <f aca="false">IF(B3965="","",IF(A3965=_xlfn.MAXIFS($A$2:$A$5001,$B$2:$B$5001,B3965,$I$2:$I$5001,I3965),1,0))</f>
        <v/>
      </c>
    </row>
    <row r="3966" customFormat="false" ht="15" hidden="false" customHeight="false" outlineLevel="0" collapsed="false">
      <c r="I3966" s="15" t="str">
        <f aca="false">IF(A3966="","",INT(A3966))</f>
        <v/>
      </c>
      <c r="J3966" s="16" t="str">
        <f aca="false">IF(B3966="","",IF(A3966=_xlfn.MINIFS($A$2:$A$5001,$B$2:$B$5001,B3966),1,0))</f>
        <v/>
      </c>
      <c r="K3966" s="16" t="str">
        <f aca="false">IF(B3966="","",IF(AND(D3966="Formalização",E3966="Concluído"),IF(COUNTIFS($B$2:$B$5001,B3966,$E$2:$E$5001,"Em ajustes",$A$2:$A$5001,"&lt;"&amp;I3966)&gt;0,1,0),0))</f>
        <v/>
      </c>
      <c r="L3966" s="16" t="str">
        <f aca="false">IF(B3966="","",IF(A3966=_xlfn.MAXIFS($A$2:$A$5001,$B$2:$B$5001,B3966,$I$2:$I$5001,I3966),1,0))</f>
        <v/>
      </c>
    </row>
    <row r="3967" customFormat="false" ht="15" hidden="false" customHeight="false" outlineLevel="0" collapsed="false">
      <c r="I3967" s="15" t="str">
        <f aca="false">IF(A3967="","",INT(A3967))</f>
        <v/>
      </c>
      <c r="J3967" s="16" t="str">
        <f aca="false">IF(B3967="","",IF(A3967=_xlfn.MINIFS($A$2:$A$5001,$B$2:$B$5001,B3967),1,0))</f>
        <v/>
      </c>
      <c r="K3967" s="16" t="str">
        <f aca="false">IF(B3967="","",IF(AND(D3967="Formalização",E3967="Concluído"),IF(COUNTIFS($B$2:$B$5001,B3967,$E$2:$E$5001,"Em ajustes",$A$2:$A$5001,"&lt;"&amp;I3967)&gt;0,1,0),0))</f>
        <v/>
      </c>
      <c r="L3967" s="16" t="str">
        <f aca="false">IF(B3967="","",IF(A3967=_xlfn.MAXIFS($A$2:$A$5001,$B$2:$B$5001,B3967,$I$2:$I$5001,I3967),1,0))</f>
        <v/>
      </c>
    </row>
    <row r="3968" customFormat="false" ht="15" hidden="false" customHeight="false" outlineLevel="0" collapsed="false">
      <c r="I3968" s="15" t="str">
        <f aca="false">IF(A3968="","",INT(A3968))</f>
        <v/>
      </c>
      <c r="J3968" s="16" t="str">
        <f aca="false">IF(B3968="","",IF(A3968=_xlfn.MINIFS($A$2:$A$5001,$B$2:$B$5001,B3968),1,0))</f>
        <v/>
      </c>
      <c r="K3968" s="16" t="str">
        <f aca="false">IF(B3968="","",IF(AND(D3968="Formalização",E3968="Concluído"),IF(COUNTIFS($B$2:$B$5001,B3968,$E$2:$E$5001,"Em ajustes",$A$2:$A$5001,"&lt;"&amp;I3968)&gt;0,1,0),0))</f>
        <v/>
      </c>
      <c r="L3968" s="16" t="str">
        <f aca="false">IF(B3968="","",IF(A3968=_xlfn.MAXIFS($A$2:$A$5001,$B$2:$B$5001,B3968,$I$2:$I$5001,I3968),1,0))</f>
        <v/>
      </c>
    </row>
    <row r="3969" customFormat="false" ht="15" hidden="false" customHeight="false" outlineLevel="0" collapsed="false">
      <c r="I3969" s="15" t="str">
        <f aca="false">IF(A3969="","",INT(A3969))</f>
        <v/>
      </c>
      <c r="J3969" s="16" t="str">
        <f aca="false">IF(B3969="","",IF(A3969=_xlfn.MINIFS($A$2:$A$5001,$B$2:$B$5001,B3969),1,0))</f>
        <v/>
      </c>
      <c r="K3969" s="16" t="str">
        <f aca="false">IF(B3969="","",IF(AND(D3969="Formalização",E3969="Concluído"),IF(COUNTIFS($B$2:$B$5001,B3969,$E$2:$E$5001,"Em ajustes",$A$2:$A$5001,"&lt;"&amp;I3969)&gt;0,1,0),0))</f>
        <v/>
      </c>
      <c r="L3969" s="16" t="str">
        <f aca="false">IF(B3969="","",IF(A3969=_xlfn.MAXIFS($A$2:$A$5001,$B$2:$B$5001,B3969,$I$2:$I$5001,I3969),1,0))</f>
        <v/>
      </c>
    </row>
    <row r="3970" customFormat="false" ht="15" hidden="false" customHeight="false" outlineLevel="0" collapsed="false">
      <c r="I3970" s="15" t="str">
        <f aca="false">IF(A3970="","",INT(A3970))</f>
        <v/>
      </c>
      <c r="J3970" s="16" t="str">
        <f aca="false">IF(B3970="","",IF(A3970=_xlfn.MINIFS($A$2:$A$5001,$B$2:$B$5001,B3970),1,0))</f>
        <v/>
      </c>
      <c r="K3970" s="16" t="str">
        <f aca="false">IF(B3970="","",IF(AND(D3970="Formalização",E3970="Concluído"),IF(COUNTIFS($B$2:$B$5001,B3970,$E$2:$E$5001,"Em ajustes",$A$2:$A$5001,"&lt;"&amp;I3970)&gt;0,1,0),0))</f>
        <v/>
      </c>
      <c r="L3970" s="16" t="str">
        <f aca="false">IF(B3970="","",IF(A3970=_xlfn.MAXIFS($A$2:$A$5001,$B$2:$B$5001,B3970,$I$2:$I$5001,I3970),1,0))</f>
        <v/>
      </c>
    </row>
    <row r="3971" customFormat="false" ht="15" hidden="false" customHeight="false" outlineLevel="0" collapsed="false">
      <c r="I3971" s="15" t="str">
        <f aca="false">IF(A3971="","",INT(A3971))</f>
        <v/>
      </c>
      <c r="J3971" s="16" t="str">
        <f aca="false">IF(B3971="","",IF(A3971=_xlfn.MINIFS($A$2:$A$5001,$B$2:$B$5001,B3971),1,0))</f>
        <v/>
      </c>
      <c r="K3971" s="16" t="str">
        <f aca="false">IF(B3971="","",IF(AND(D3971="Formalização",E3971="Concluído"),IF(COUNTIFS($B$2:$B$5001,B3971,$E$2:$E$5001,"Em ajustes",$A$2:$A$5001,"&lt;"&amp;I3971)&gt;0,1,0),0))</f>
        <v/>
      </c>
      <c r="L3971" s="16" t="str">
        <f aca="false">IF(B3971="","",IF(A3971=_xlfn.MAXIFS($A$2:$A$5001,$B$2:$B$5001,B3971,$I$2:$I$5001,I3971),1,0))</f>
        <v/>
      </c>
    </row>
    <row r="3972" customFormat="false" ht="15" hidden="false" customHeight="false" outlineLevel="0" collapsed="false">
      <c r="I3972" s="15" t="str">
        <f aca="false">IF(A3972="","",INT(A3972))</f>
        <v/>
      </c>
      <c r="J3972" s="16" t="str">
        <f aca="false">IF(B3972="","",IF(A3972=_xlfn.MINIFS($A$2:$A$5001,$B$2:$B$5001,B3972),1,0))</f>
        <v/>
      </c>
      <c r="K3972" s="16" t="str">
        <f aca="false">IF(B3972="","",IF(AND(D3972="Formalização",E3972="Concluído"),IF(COUNTIFS($B$2:$B$5001,B3972,$E$2:$E$5001,"Em ajustes",$A$2:$A$5001,"&lt;"&amp;I3972)&gt;0,1,0),0))</f>
        <v/>
      </c>
      <c r="L3972" s="16" t="str">
        <f aca="false">IF(B3972="","",IF(A3972=_xlfn.MAXIFS($A$2:$A$5001,$B$2:$B$5001,B3972,$I$2:$I$5001,I3972),1,0))</f>
        <v/>
      </c>
    </row>
    <row r="3973" customFormat="false" ht="15" hidden="false" customHeight="false" outlineLevel="0" collapsed="false">
      <c r="I3973" s="15" t="str">
        <f aca="false">IF(A3973="","",INT(A3973))</f>
        <v/>
      </c>
      <c r="J3973" s="16" t="str">
        <f aca="false">IF(B3973="","",IF(A3973=_xlfn.MINIFS($A$2:$A$5001,$B$2:$B$5001,B3973),1,0))</f>
        <v/>
      </c>
      <c r="K3973" s="16" t="str">
        <f aca="false">IF(B3973="","",IF(AND(D3973="Formalização",E3973="Concluído"),IF(COUNTIFS($B$2:$B$5001,B3973,$E$2:$E$5001,"Em ajustes",$A$2:$A$5001,"&lt;"&amp;I3973)&gt;0,1,0),0))</f>
        <v/>
      </c>
      <c r="L3973" s="16" t="str">
        <f aca="false">IF(B3973="","",IF(A3973=_xlfn.MAXIFS($A$2:$A$5001,$B$2:$B$5001,B3973,$I$2:$I$5001,I3973),1,0))</f>
        <v/>
      </c>
    </row>
    <row r="3974" customFormat="false" ht="15" hidden="false" customHeight="false" outlineLevel="0" collapsed="false">
      <c r="I3974" s="15" t="str">
        <f aca="false">IF(A3974="","",INT(A3974))</f>
        <v/>
      </c>
      <c r="J3974" s="16" t="str">
        <f aca="false">IF(B3974="","",IF(A3974=_xlfn.MINIFS($A$2:$A$5001,$B$2:$B$5001,B3974),1,0))</f>
        <v/>
      </c>
      <c r="K3974" s="16" t="str">
        <f aca="false">IF(B3974="","",IF(AND(D3974="Formalização",E3974="Concluído"),IF(COUNTIFS($B$2:$B$5001,B3974,$E$2:$E$5001,"Em ajustes",$A$2:$A$5001,"&lt;"&amp;I3974)&gt;0,1,0),0))</f>
        <v/>
      </c>
      <c r="L3974" s="16" t="str">
        <f aca="false">IF(B3974="","",IF(A3974=_xlfn.MAXIFS($A$2:$A$5001,$B$2:$B$5001,B3974,$I$2:$I$5001,I3974),1,0))</f>
        <v/>
      </c>
    </row>
    <row r="3975" customFormat="false" ht="15" hidden="false" customHeight="false" outlineLevel="0" collapsed="false">
      <c r="I3975" s="15" t="str">
        <f aca="false">IF(A3975="","",INT(A3975))</f>
        <v/>
      </c>
      <c r="J3975" s="16" t="str">
        <f aca="false">IF(B3975="","",IF(A3975=_xlfn.MINIFS($A$2:$A$5001,$B$2:$B$5001,B3975),1,0))</f>
        <v/>
      </c>
      <c r="K3975" s="16" t="str">
        <f aca="false">IF(B3975="","",IF(AND(D3975="Formalização",E3975="Concluído"),IF(COUNTIFS($B$2:$B$5001,B3975,$E$2:$E$5001,"Em ajustes",$A$2:$A$5001,"&lt;"&amp;I3975)&gt;0,1,0),0))</f>
        <v/>
      </c>
      <c r="L3975" s="16" t="str">
        <f aca="false">IF(B3975="","",IF(A3975=_xlfn.MAXIFS($A$2:$A$5001,$B$2:$B$5001,B3975,$I$2:$I$5001,I3975),1,0))</f>
        <v/>
      </c>
    </row>
    <row r="3976" customFormat="false" ht="15" hidden="false" customHeight="false" outlineLevel="0" collapsed="false">
      <c r="I3976" s="15" t="str">
        <f aca="false">IF(A3976="","",INT(A3976))</f>
        <v/>
      </c>
      <c r="J3976" s="16" t="str">
        <f aca="false">IF(B3976="","",IF(A3976=_xlfn.MINIFS($A$2:$A$5001,$B$2:$B$5001,B3976),1,0))</f>
        <v/>
      </c>
      <c r="K3976" s="16" t="str">
        <f aca="false">IF(B3976="","",IF(AND(D3976="Formalização",E3976="Concluído"),IF(COUNTIFS($B$2:$B$5001,B3976,$E$2:$E$5001,"Em ajustes",$A$2:$A$5001,"&lt;"&amp;I3976)&gt;0,1,0),0))</f>
        <v/>
      </c>
      <c r="L3976" s="16" t="str">
        <f aca="false">IF(B3976="","",IF(A3976=_xlfn.MAXIFS($A$2:$A$5001,$B$2:$B$5001,B3976,$I$2:$I$5001,I3976),1,0))</f>
        <v/>
      </c>
    </row>
    <row r="3977" customFormat="false" ht="15" hidden="false" customHeight="false" outlineLevel="0" collapsed="false">
      <c r="I3977" s="15" t="str">
        <f aca="false">IF(A3977="","",INT(A3977))</f>
        <v/>
      </c>
      <c r="J3977" s="16" t="str">
        <f aca="false">IF(B3977="","",IF(A3977=_xlfn.MINIFS($A$2:$A$5001,$B$2:$B$5001,B3977),1,0))</f>
        <v/>
      </c>
      <c r="K3977" s="16" t="str">
        <f aca="false">IF(B3977="","",IF(AND(D3977="Formalização",E3977="Concluído"),IF(COUNTIFS($B$2:$B$5001,B3977,$E$2:$E$5001,"Em ajustes",$A$2:$A$5001,"&lt;"&amp;I3977)&gt;0,1,0),0))</f>
        <v/>
      </c>
      <c r="L3977" s="16" t="str">
        <f aca="false">IF(B3977="","",IF(A3977=_xlfn.MAXIFS($A$2:$A$5001,$B$2:$B$5001,B3977,$I$2:$I$5001,I3977),1,0))</f>
        <v/>
      </c>
    </row>
    <row r="3978" customFormat="false" ht="15" hidden="false" customHeight="false" outlineLevel="0" collapsed="false">
      <c r="I3978" s="15" t="str">
        <f aca="false">IF(A3978="","",INT(A3978))</f>
        <v/>
      </c>
      <c r="J3978" s="16" t="str">
        <f aca="false">IF(B3978="","",IF(A3978=_xlfn.MINIFS($A$2:$A$5001,$B$2:$B$5001,B3978),1,0))</f>
        <v/>
      </c>
      <c r="K3978" s="16" t="str">
        <f aca="false">IF(B3978="","",IF(AND(D3978="Formalização",E3978="Concluído"),IF(COUNTIFS($B$2:$B$5001,B3978,$E$2:$E$5001,"Em ajustes",$A$2:$A$5001,"&lt;"&amp;I3978)&gt;0,1,0),0))</f>
        <v/>
      </c>
      <c r="L3978" s="16" t="str">
        <f aca="false">IF(B3978="","",IF(A3978=_xlfn.MAXIFS($A$2:$A$5001,$B$2:$B$5001,B3978,$I$2:$I$5001,I3978),1,0))</f>
        <v/>
      </c>
    </row>
    <row r="3979" customFormat="false" ht="15" hidden="false" customHeight="false" outlineLevel="0" collapsed="false">
      <c r="I3979" s="15" t="str">
        <f aca="false">IF(A3979="","",INT(A3979))</f>
        <v/>
      </c>
      <c r="J3979" s="16" t="str">
        <f aca="false">IF(B3979="","",IF(A3979=_xlfn.MINIFS($A$2:$A$5001,$B$2:$B$5001,B3979),1,0))</f>
        <v/>
      </c>
      <c r="K3979" s="16" t="str">
        <f aca="false">IF(B3979="","",IF(AND(D3979="Formalização",E3979="Concluído"),IF(COUNTIFS($B$2:$B$5001,B3979,$E$2:$E$5001,"Em ajustes",$A$2:$A$5001,"&lt;"&amp;I3979)&gt;0,1,0),0))</f>
        <v/>
      </c>
      <c r="L3979" s="16" t="str">
        <f aca="false">IF(B3979="","",IF(A3979=_xlfn.MAXIFS($A$2:$A$5001,$B$2:$B$5001,B3979,$I$2:$I$5001,I3979),1,0))</f>
        <v/>
      </c>
    </row>
    <row r="3980" customFormat="false" ht="15" hidden="false" customHeight="false" outlineLevel="0" collapsed="false">
      <c r="I3980" s="15" t="str">
        <f aca="false">IF(A3980="","",INT(A3980))</f>
        <v/>
      </c>
      <c r="J3980" s="16" t="str">
        <f aca="false">IF(B3980="","",IF(A3980=_xlfn.MINIFS($A$2:$A$5001,$B$2:$B$5001,B3980),1,0))</f>
        <v/>
      </c>
      <c r="K3980" s="16" t="str">
        <f aca="false">IF(B3980="","",IF(AND(D3980="Formalização",E3980="Concluído"),IF(COUNTIFS($B$2:$B$5001,B3980,$E$2:$E$5001,"Em ajustes",$A$2:$A$5001,"&lt;"&amp;I3980)&gt;0,1,0),0))</f>
        <v/>
      </c>
      <c r="L3980" s="16" t="str">
        <f aca="false">IF(B3980="","",IF(A3980=_xlfn.MAXIFS($A$2:$A$5001,$B$2:$B$5001,B3980,$I$2:$I$5001,I3980),1,0))</f>
        <v/>
      </c>
    </row>
    <row r="3981" customFormat="false" ht="15" hidden="false" customHeight="false" outlineLevel="0" collapsed="false">
      <c r="I3981" s="15" t="str">
        <f aca="false">IF(A3981="","",INT(A3981))</f>
        <v/>
      </c>
      <c r="J3981" s="16" t="str">
        <f aca="false">IF(B3981="","",IF(A3981=_xlfn.MINIFS($A$2:$A$5001,$B$2:$B$5001,B3981),1,0))</f>
        <v/>
      </c>
      <c r="K3981" s="16" t="str">
        <f aca="false">IF(B3981="","",IF(AND(D3981="Formalização",E3981="Concluído"),IF(COUNTIFS($B$2:$B$5001,B3981,$E$2:$E$5001,"Em ajustes",$A$2:$A$5001,"&lt;"&amp;I3981)&gt;0,1,0),0))</f>
        <v/>
      </c>
      <c r="L3981" s="16" t="str">
        <f aca="false">IF(B3981="","",IF(A3981=_xlfn.MAXIFS($A$2:$A$5001,$B$2:$B$5001,B3981,$I$2:$I$5001,I3981),1,0))</f>
        <v/>
      </c>
    </row>
    <row r="3982" customFormat="false" ht="15" hidden="false" customHeight="false" outlineLevel="0" collapsed="false">
      <c r="I3982" s="15" t="str">
        <f aca="false">IF(A3982="","",INT(A3982))</f>
        <v/>
      </c>
      <c r="J3982" s="16" t="str">
        <f aca="false">IF(B3982="","",IF(A3982=_xlfn.MINIFS($A$2:$A$5001,$B$2:$B$5001,B3982),1,0))</f>
        <v/>
      </c>
      <c r="K3982" s="16" t="str">
        <f aca="false">IF(B3982="","",IF(AND(D3982="Formalização",E3982="Concluído"),IF(COUNTIFS($B$2:$B$5001,B3982,$E$2:$E$5001,"Em ajustes",$A$2:$A$5001,"&lt;"&amp;I3982)&gt;0,1,0),0))</f>
        <v/>
      </c>
      <c r="L3982" s="16" t="str">
        <f aca="false">IF(B3982="","",IF(A3982=_xlfn.MAXIFS($A$2:$A$5001,$B$2:$B$5001,B3982,$I$2:$I$5001,I3982),1,0))</f>
        <v/>
      </c>
    </row>
    <row r="3983" customFormat="false" ht="15" hidden="false" customHeight="false" outlineLevel="0" collapsed="false">
      <c r="I3983" s="15" t="str">
        <f aca="false">IF(A3983="","",INT(A3983))</f>
        <v/>
      </c>
      <c r="J3983" s="16" t="str">
        <f aca="false">IF(B3983="","",IF(A3983=_xlfn.MINIFS($A$2:$A$5001,$B$2:$B$5001,B3983),1,0))</f>
        <v/>
      </c>
      <c r="K3983" s="16" t="str">
        <f aca="false">IF(B3983="","",IF(AND(D3983="Formalização",E3983="Concluído"),IF(COUNTIFS($B$2:$B$5001,B3983,$E$2:$E$5001,"Em ajustes",$A$2:$A$5001,"&lt;"&amp;I3983)&gt;0,1,0),0))</f>
        <v/>
      </c>
      <c r="L3983" s="16" t="str">
        <f aca="false">IF(B3983="","",IF(A3983=_xlfn.MAXIFS($A$2:$A$5001,$B$2:$B$5001,B3983,$I$2:$I$5001,I3983),1,0))</f>
        <v/>
      </c>
    </row>
    <row r="3984" customFormat="false" ht="15" hidden="false" customHeight="false" outlineLevel="0" collapsed="false">
      <c r="I3984" s="15" t="str">
        <f aca="false">IF(A3984="","",INT(A3984))</f>
        <v/>
      </c>
      <c r="J3984" s="16" t="str">
        <f aca="false">IF(B3984="","",IF(A3984=_xlfn.MINIFS($A$2:$A$5001,$B$2:$B$5001,B3984),1,0))</f>
        <v/>
      </c>
      <c r="K3984" s="16" t="str">
        <f aca="false">IF(B3984="","",IF(AND(D3984="Formalização",E3984="Concluído"),IF(COUNTIFS($B$2:$B$5001,B3984,$E$2:$E$5001,"Em ajustes",$A$2:$A$5001,"&lt;"&amp;I3984)&gt;0,1,0),0))</f>
        <v/>
      </c>
      <c r="L3984" s="16" t="str">
        <f aca="false">IF(B3984="","",IF(A3984=_xlfn.MAXIFS($A$2:$A$5001,$B$2:$B$5001,B3984,$I$2:$I$5001,I3984),1,0))</f>
        <v/>
      </c>
    </row>
    <row r="3985" customFormat="false" ht="15" hidden="false" customHeight="false" outlineLevel="0" collapsed="false">
      <c r="I3985" s="15" t="str">
        <f aca="false">IF(A3985="","",INT(A3985))</f>
        <v/>
      </c>
      <c r="J3985" s="16" t="str">
        <f aca="false">IF(B3985="","",IF(A3985=_xlfn.MINIFS($A$2:$A$5001,$B$2:$B$5001,B3985),1,0))</f>
        <v/>
      </c>
      <c r="K3985" s="16" t="str">
        <f aca="false">IF(B3985="","",IF(AND(D3985="Formalização",E3985="Concluído"),IF(COUNTIFS($B$2:$B$5001,B3985,$E$2:$E$5001,"Em ajustes",$A$2:$A$5001,"&lt;"&amp;I3985)&gt;0,1,0),0))</f>
        <v/>
      </c>
      <c r="L3985" s="16" t="str">
        <f aca="false">IF(B3985="","",IF(A3985=_xlfn.MAXIFS($A$2:$A$5001,$B$2:$B$5001,B3985,$I$2:$I$5001,I3985),1,0))</f>
        <v/>
      </c>
    </row>
    <row r="3986" customFormat="false" ht="15" hidden="false" customHeight="false" outlineLevel="0" collapsed="false">
      <c r="I3986" s="15" t="str">
        <f aca="false">IF(A3986="","",INT(A3986))</f>
        <v/>
      </c>
      <c r="J3986" s="16" t="str">
        <f aca="false">IF(B3986="","",IF(A3986=_xlfn.MINIFS($A$2:$A$5001,$B$2:$B$5001,B3986),1,0))</f>
        <v/>
      </c>
      <c r="K3986" s="16" t="str">
        <f aca="false">IF(B3986="","",IF(AND(D3986="Formalização",E3986="Concluído"),IF(COUNTIFS($B$2:$B$5001,B3986,$E$2:$E$5001,"Em ajustes",$A$2:$A$5001,"&lt;"&amp;I3986)&gt;0,1,0),0))</f>
        <v/>
      </c>
      <c r="L3986" s="16" t="str">
        <f aca="false">IF(B3986="","",IF(A3986=_xlfn.MAXIFS($A$2:$A$5001,$B$2:$B$5001,B3986,$I$2:$I$5001,I3986),1,0))</f>
        <v/>
      </c>
    </row>
    <row r="3987" customFormat="false" ht="15" hidden="false" customHeight="false" outlineLevel="0" collapsed="false">
      <c r="I3987" s="15" t="str">
        <f aca="false">IF(A3987="","",INT(A3987))</f>
        <v/>
      </c>
      <c r="J3987" s="16" t="str">
        <f aca="false">IF(B3987="","",IF(A3987=_xlfn.MINIFS($A$2:$A$5001,$B$2:$B$5001,B3987),1,0))</f>
        <v/>
      </c>
      <c r="K3987" s="16" t="str">
        <f aca="false">IF(B3987="","",IF(AND(D3987="Formalização",E3987="Concluído"),IF(COUNTIFS($B$2:$B$5001,B3987,$E$2:$E$5001,"Em ajustes",$A$2:$A$5001,"&lt;"&amp;I3987)&gt;0,1,0),0))</f>
        <v/>
      </c>
      <c r="L3987" s="16" t="str">
        <f aca="false">IF(B3987="","",IF(A3987=_xlfn.MAXIFS($A$2:$A$5001,$B$2:$B$5001,B3987,$I$2:$I$5001,I3987),1,0))</f>
        <v/>
      </c>
    </row>
    <row r="3988" customFormat="false" ht="15" hidden="false" customHeight="false" outlineLevel="0" collapsed="false">
      <c r="I3988" s="15" t="str">
        <f aca="false">IF(A3988="","",INT(A3988))</f>
        <v/>
      </c>
      <c r="J3988" s="16" t="str">
        <f aca="false">IF(B3988="","",IF(A3988=_xlfn.MINIFS($A$2:$A$5001,$B$2:$B$5001,B3988),1,0))</f>
        <v/>
      </c>
      <c r="K3988" s="16" t="str">
        <f aca="false">IF(B3988="","",IF(AND(D3988="Formalização",E3988="Concluído"),IF(COUNTIFS($B$2:$B$5001,B3988,$E$2:$E$5001,"Em ajustes",$A$2:$A$5001,"&lt;"&amp;I3988)&gt;0,1,0),0))</f>
        <v/>
      </c>
      <c r="L3988" s="16" t="str">
        <f aca="false">IF(B3988="","",IF(A3988=_xlfn.MAXIFS($A$2:$A$5001,$B$2:$B$5001,B3988,$I$2:$I$5001,I3988),1,0))</f>
        <v/>
      </c>
    </row>
    <row r="3989" customFormat="false" ht="15" hidden="false" customHeight="false" outlineLevel="0" collapsed="false">
      <c r="I3989" s="15" t="str">
        <f aca="false">IF(A3989="","",INT(A3989))</f>
        <v/>
      </c>
      <c r="J3989" s="16" t="str">
        <f aca="false">IF(B3989="","",IF(A3989=_xlfn.MINIFS($A$2:$A$5001,$B$2:$B$5001,B3989),1,0))</f>
        <v/>
      </c>
      <c r="K3989" s="16" t="str">
        <f aca="false">IF(B3989="","",IF(AND(D3989="Formalização",E3989="Concluído"),IF(COUNTIFS($B$2:$B$5001,B3989,$E$2:$E$5001,"Em ajustes",$A$2:$A$5001,"&lt;"&amp;I3989)&gt;0,1,0),0))</f>
        <v/>
      </c>
      <c r="L3989" s="16" t="str">
        <f aca="false">IF(B3989="","",IF(A3989=_xlfn.MAXIFS($A$2:$A$5001,$B$2:$B$5001,B3989,$I$2:$I$5001,I3989),1,0))</f>
        <v/>
      </c>
    </row>
    <row r="3990" customFormat="false" ht="15" hidden="false" customHeight="false" outlineLevel="0" collapsed="false">
      <c r="I3990" s="15" t="str">
        <f aca="false">IF(A3990="","",INT(A3990))</f>
        <v/>
      </c>
      <c r="J3990" s="16" t="str">
        <f aca="false">IF(B3990="","",IF(A3990=_xlfn.MINIFS($A$2:$A$5001,$B$2:$B$5001,B3990),1,0))</f>
        <v/>
      </c>
      <c r="K3990" s="16" t="str">
        <f aca="false">IF(B3990="","",IF(AND(D3990="Formalização",E3990="Concluído"),IF(COUNTIFS($B$2:$B$5001,B3990,$E$2:$E$5001,"Em ajustes",$A$2:$A$5001,"&lt;"&amp;I3990)&gt;0,1,0),0))</f>
        <v/>
      </c>
      <c r="L3990" s="16" t="str">
        <f aca="false">IF(B3990="","",IF(A3990=_xlfn.MAXIFS($A$2:$A$5001,$B$2:$B$5001,B3990,$I$2:$I$5001,I3990),1,0))</f>
        <v/>
      </c>
    </row>
    <row r="3991" customFormat="false" ht="15" hidden="false" customHeight="false" outlineLevel="0" collapsed="false">
      <c r="I3991" s="15" t="str">
        <f aca="false">IF(A3991="","",INT(A3991))</f>
        <v/>
      </c>
      <c r="J3991" s="16" t="str">
        <f aca="false">IF(B3991="","",IF(A3991=_xlfn.MINIFS($A$2:$A$5001,$B$2:$B$5001,B3991),1,0))</f>
        <v/>
      </c>
      <c r="K3991" s="16" t="str">
        <f aca="false">IF(B3991="","",IF(AND(D3991="Formalização",E3991="Concluído"),IF(COUNTIFS($B$2:$B$5001,B3991,$E$2:$E$5001,"Em ajustes",$A$2:$A$5001,"&lt;"&amp;I3991)&gt;0,1,0),0))</f>
        <v/>
      </c>
      <c r="L3991" s="16" t="str">
        <f aca="false">IF(B3991="","",IF(A3991=_xlfn.MAXIFS($A$2:$A$5001,$B$2:$B$5001,B3991,$I$2:$I$5001,I3991),1,0))</f>
        <v/>
      </c>
    </row>
    <row r="3992" customFormat="false" ht="15" hidden="false" customHeight="false" outlineLevel="0" collapsed="false">
      <c r="I3992" s="15" t="str">
        <f aca="false">IF(A3992="","",INT(A3992))</f>
        <v/>
      </c>
      <c r="J3992" s="16" t="str">
        <f aca="false">IF(B3992="","",IF(A3992=_xlfn.MINIFS($A$2:$A$5001,$B$2:$B$5001,B3992),1,0))</f>
        <v/>
      </c>
      <c r="K3992" s="16" t="str">
        <f aca="false">IF(B3992="","",IF(AND(D3992="Formalização",E3992="Concluído"),IF(COUNTIFS($B$2:$B$5001,B3992,$E$2:$E$5001,"Em ajustes",$A$2:$A$5001,"&lt;"&amp;I3992)&gt;0,1,0),0))</f>
        <v/>
      </c>
      <c r="L3992" s="16" t="str">
        <f aca="false">IF(B3992="","",IF(A3992=_xlfn.MAXIFS($A$2:$A$5001,$B$2:$B$5001,B3992,$I$2:$I$5001,I3992),1,0))</f>
        <v/>
      </c>
    </row>
    <row r="3993" customFormat="false" ht="15" hidden="false" customHeight="false" outlineLevel="0" collapsed="false">
      <c r="I3993" s="15" t="str">
        <f aca="false">IF(A3993="","",INT(A3993))</f>
        <v/>
      </c>
      <c r="J3993" s="16" t="str">
        <f aca="false">IF(B3993="","",IF(A3993=_xlfn.MINIFS($A$2:$A$5001,$B$2:$B$5001,B3993),1,0))</f>
        <v/>
      </c>
      <c r="K3993" s="16" t="str">
        <f aca="false">IF(B3993="","",IF(AND(D3993="Formalização",E3993="Concluído"),IF(COUNTIFS($B$2:$B$5001,B3993,$E$2:$E$5001,"Em ajustes",$A$2:$A$5001,"&lt;"&amp;I3993)&gt;0,1,0),0))</f>
        <v/>
      </c>
      <c r="L3993" s="16" t="str">
        <f aca="false">IF(B3993="","",IF(A3993=_xlfn.MAXIFS($A$2:$A$5001,$B$2:$B$5001,B3993,$I$2:$I$5001,I3993),1,0))</f>
        <v/>
      </c>
    </row>
    <row r="3994" customFormat="false" ht="15" hidden="false" customHeight="false" outlineLevel="0" collapsed="false">
      <c r="I3994" s="15" t="str">
        <f aca="false">IF(A3994="","",INT(A3994))</f>
        <v/>
      </c>
      <c r="J3994" s="16" t="str">
        <f aca="false">IF(B3994="","",IF(A3994=_xlfn.MINIFS($A$2:$A$5001,$B$2:$B$5001,B3994),1,0))</f>
        <v/>
      </c>
      <c r="K3994" s="16" t="str">
        <f aca="false">IF(B3994="","",IF(AND(D3994="Formalização",E3994="Concluído"),IF(COUNTIFS($B$2:$B$5001,B3994,$E$2:$E$5001,"Em ajustes",$A$2:$A$5001,"&lt;"&amp;I3994)&gt;0,1,0),0))</f>
        <v/>
      </c>
      <c r="L3994" s="16" t="str">
        <f aca="false">IF(B3994="","",IF(A3994=_xlfn.MAXIFS($A$2:$A$5001,$B$2:$B$5001,B3994,$I$2:$I$5001,I3994),1,0))</f>
        <v/>
      </c>
    </row>
    <row r="3995" customFormat="false" ht="15" hidden="false" customHeight="false" outlineLevel="0" collapsed="false">
      <c r="I3995" s="15" t="str">
        <f aca="false">IF(A3995="","",INT(A3995))</f>
        <v/>
      </c>
      <c r="J3995" s="16" t="str">
        <f aca="false">IF(B3995="","",IF(A3995=_xlfn.MINIFS($A$2:$A$5001,$B$2:$B$5001,B3995),1,0))</f>
        <v/>
      </c>
      <c r="K3995" s="16" t="str">
        <f aca="false">IF(B3995="","",IF(AND(D3995="Formalização",E3995="Concluído"),IF(COUNTIFS($B$2:$B$5001,B3995,$E$2:$E$5001,"Em ajustes",$A$2:$A$5001,"&lt;"&amp;I3995)&gt;0,1,0),0))</f>
        <v/>
      </c>
      <c r="L3995" s="16" t="str">
        <f aca="false">IF(B3995="","",IF(A3995=_xlfn.MAXIFS($A$2:$A$5001,$B$2:$B$5001,B3995,$I$2:$I$5001,I3995),1,0))</f>
        <v/>
      </c>
    </row>
    <row r="3996" customFormat="false" ht="15" hidden="false" customHeight="false" outlineLevel="0" collapsed="false">
      <c r="I3996" s="15" t="str">
        <f aca="false">IF(A3996="","",INT(A3996))</f>
        <v/>
      </c>
      <c r="J3996" s="16" t="str">
        <f aca="false">IF(B3996="","",IF(A3996=_xlfn.MINIFS($A$2:$A$5001,$B$2:$B$5001,B3996),1,0))</f>
        <v/>
      </c>
      <c r="K3996" s="16" t="str">
        <f aca="false">IF(B3996="","",IF(AND(D3996="Formalização",E3996="Concluído"),IF(COUNTIFS($B$2:$B$5001,B3996,$E$2:$E$5001,"Em ajustes",$A$2:$A$5001,"&lt;"&amp;I3996)&gt;0,1,0),0))</f>
        <v/>
      </c>
      <c r="L3996" s="16" t="str">
        <f aca="false">IF(B3996="","",IF(A3996=_xlfn.MAXIFS($A$2:$A$5001,$B$2:$B$5001,B3996,$I$2:$I$5001,I3996),1,0))</f>
        <v/>
      </c>
    </row>
    <row r="3997" customFormat="false" ht="15" hidden="false" customHeight="false" outlineLevel="0" collapsed="false">
      <c r="I3997" s="15" t="str">
        <f aca="false">IF(A3997="","",INT(A3997))</f>
        <v/>
      </c>
      <c r="J3997" s="16" t="str">
        <f aca="false">IF(B3997="","",IF(A3997=_xlfn.MINIFS($A$2:$A$5001,$B$2:$B$5001,B3997),1,0))</f>
        <v/>
      </c>
      <c r="K3997" s="16" t="str">
        <f aca="false">IF(B3997="","",IF(AND(D3997="Formalização",E3997="Concluído"),IF(COUNTIFS($B$2:$B$5001,B3997,$E$2:$E$5001,"Em ajustes",$A$2:$A$5001,"&lt;"&amp;I3997)&gt;0,1,0),0))</f>
        <v/>
      </c>
      <c r="L3997" s="16" t="str">
        <f aca="false">IF(B3997="","",IF(A3997=_xlfn.MAXIFS($A$2:$A$5001,$B$2:$B$5001,B3997,$I$2:$I$5001,I3997),1,0))</f>
        <v/>
      </c>
    </row>
    <row r="3998" customFormat="false" ht="15" hidden="false" customHeight="false" outlineLevel="0" collapsed="false">
      <c r="I3998" s="15" t="str">
        <f aca="false">IF(A3998="","",INT(A3998))</f>
        <v/>
      </c>
      <c r="J3998" s="16" t="str">
        <f aca="false">IF(B3998="","",IF(A3998=_xlfn.MINIFS($A$2:$A$5001,$B$2:$B$5001,B3998),1,0))</f>
        <v/>
      </c>
      <c r="K3998" s="16" t="str">
        <f aca="false">IF(B3998="","",IF(AND(D3998="Formalização",E3998="Concluído"),IF(COUNTIFS($B$2:$B$5001,B3998,$E$2:$E$5001,"Em ajustes",$A$2:$A$5001,"&lt;"&amp;I3998)&gt;0,1,0),0))</f>
        <v/>
      </c>
      <c r="L3998" s="16" t="str">
        <f aca="false">IF(B3998="","",IF(A3998=_xlfn.MAXIFS($A$2:$A$5001,$B$2:$B$5001,B3998,$I$2:$I$5001,I3998),1,0))</f>
        <v/>
      </c>
    </row>
    <row r="3999" customFormat="false" ht="15" hidden="false" customHeight="false" outlineLevel="0" collapsed="false">
      <c r="I3999" s="15" t="str">
        <f aca="false">IF(A3999="","",INT(A3999))</f>
        <v/>
      </c>
      <c r="J3999" s="16" t="str">
        <f aca="false">IF(B3999="","",IF(A3999=_xlfn.MINIFS($A$2:$A$5001,$B$2:$B$5001,B3999),1,0))</f>
        <v/>
      </c>
      <c r="K3999" s="16" t="str">
        <f aca="false">IF(B3999="","",IF(AND(D3999="Formalização",E3999="Concluído"),IF(COUNTIFS($B$2:$B$5001,B3999,$E$2:$E$5001,"Em ajustes",$A$2:$A$5001,"&lt;"&amp;I3999)&gt;0,1,0),0))</f>
        <v/>
      </c>
      <c r="L3999" s="16" t="str">
        <f aca="false">IF(B3999="","",IF(A3999=_xlfn.MAXIFS($A$2:$A$5001,$B$2:$B$5001,B3999,$I$2:$I$5001,I3999),1,0))</f>
        <v/>
      </c>
    </row>
    <row r="4000" customFormat="false" ht="15" hidden="false" customHeight="false" outlineLevel="0" collapsed="false">
      <c r="I4000" s="15" t="str">
        <f aca="false">IF(A4000="","",INT(A4000))</f>
        <v/>
      </c>
      <c r="J4000" s="16" t="str">
        <f aca="false">IF(B4000="","",IF(A4000=_xlfn.MINIFS($A$2:$A$5001,$B$2:$B$5001,B4000),1,0))</f>
        <v/>
      </c>
      <c r="K4000" s="16" t="str">
        <f aca="false">IF(B4000="","",IF(AND(D4000="Formalização",E4000="Concluído"),IF(COUNTIFS($B$2:$B$5001,B4000,$E$2:$E$5001,"Em ajustes",$A$2:$A$5001,"&lt;"&amp;I4000)&gt;0,1,0),0))</f>
        <v/>
      </c>
      <c r="L4000" s="16" t="str">
        <f aca="false">IF(B4000="","",IF(A4000=_xlfn.MAXIFS($A$2:$A$5001,$B$2:$B$5001,B4000,$I$2:$I$5001,I4000),1,0))</f>
        <v/>
      </c>
    </row>
    <row r="4001" customFormat="false" ht="15" hidden="false" customHeight="false" outlineLevel="0" collapsed="false">
      <c r="I4001" s="15" t="str">
        <f aca="false">IF(A4001="","",INT(A4001))</f>
        <v/>
      </c>
      <c r="J4001" s="16" t="str">
        <f aca="false">IF(B4001="","",IF(A4001=_xlfn.MINIFS($A$2:$A$5001,$B$2:$B$5001,B4001),1,0))</f>
        <v/>
      </c>
      <c r="K4001" s="16" t="str">
        <f aca="false">IF(B4001="","",IF(AND(D4001="Formalização",E4001="Concluído"),IF(COUNTIFS($B$2:$B$5001,B4001,$E$2:$E$5001,"Em ajustes",$A$2:$A$5001,"&lt;"&amp;I4001)&gt;0,1,0),0))</f>
        <v/>
      </c>
      <c r="L4001" s="16" t="str">
        <f aca="false">IF(B4001="","",IF(A4001=_xlfn.MAXIFS($A$2:$A$5001,$B$2:$B$5001,B4001,$I$2:$I$5001,I4001),1,0))</f>
        <v/>
      </c>
    </row>
    <row r="4002" customFormat="false" ht="15" hidden="false" customHeight="false" outlineLevel="0" collapsed="false">
      <c r="I4002" s="15" t="str">
        <f aca="false">IF(A4002="","",INT(A4002))</f>
        <v/>
      </c>
      <c r="J4002" s="16" t="str">
        <f aca="false">IF(B4002="","",IF(A4002=_xlfn.MINIFS($A$2:$A$5001,$B$2:$B$5001,B4002),1,0))</f>
        <v/>
      </c>
      <c r="K4002" s="16" t="str">
        <f aca="false">IF(B4002="","",IF(AND(D4002="Formalização",E4002="Concluído"),IF(COUNTIFS($B$2:$B$5001,B4002,$E$2:$E$5001,"Em ajustes",$A$2:$A$5001,"&lt;"&amp;I4002)&gt;0,1,0),0))</f>
        <v/>
      </c>
      <c r="L4002" s="16" t="str">
        <f aca="false">IF(B4002="","",IF(A4002=_xlfn.MAXIFS($A$2:$A$5001,$B$2:$B$5001,B4002,$I$2:$I$5001,I4002),1,0))</f>
        <v/>
      </c>
    </row>
    <row r="4003" customFormat="false" ht="15" hidden="false" customHeight="false" outlineLevel="0" collapsed="false">
      <c r="I4003" s="15" t="str">
        <f aca="false">IF(A4003="","",INT(A4003))</f>
        <v/>
      </c>
      <c r="J4003" s="16" t="str">
        <f aca="false">IF(B4003="","",IF(A4003=_xlfn.MINIFS($A$2:$A$5001,$B$2:$B$5001,B4003),1,0))</f>
        <v/>
      </c>
      <c r="K4003" s="16" t="str">
        <f aca="false">IF(B4003="","",IF(AND(D4003="Formalização",E4003="Concluído"),IF(COUNTIFS($B$2:$B$5001,B4003,$E$2:$E$5001,"Em ajustes",$A$2:$A$5001,"&lt;"&amp;I4003)&gt;0,1,0),0))</f>
        <v/>
      </c>
      <c r="L4003" s="16" t="str">
        <f aca="false">IF(B4003="","",IF(A4003=_xlfn.MAXIFS($A$2:$A$5001,$B$2:$B$5001,B4003,$I$2:$I$5001,I4003),1,0))</f>
        <v/>
      </c>
    </row>
    <row r="4004" customFormat="false" ht="15" hidden="false" customHeight="false" outlineLevel="0" collapsed="false">
      <c r="I4004" s="15" t="str">
        <f aca="false">IF(A4004="","",INT(A4004))</f>
        <v/>
      </c>
      <c r="J4004" s="16" t="str">
        <f aca="false">IF(B4004="","",IF(A4004=_xlfn.MINIFS($A$2:$A$5001,$B$2:$B$5001,B4004),1,0))</f>
        <v/>
      </c>
      <c r="K4004" s="16" t="str">
        <f aca="false">IF(B4004="","",IF(AND(D4004="Formalização",E4004="Concluído"),IF(COUNTIFS($B$2:$B$5001,B4004,$E$2:$E$5001,"Em ajustes",$A$2:$A$5001,"&lt;"&amp;I4004)&gt;0,1,0),0))</f>
        <v/>
      </c>
      <c r="L4004" s="16" t="str">
        <f aca="false">IF(B4004="","",IF(A4004=_xlfn.MAXIFS($A$2:$A$5001,$B$2:$B$5001,B4004,$I$2:$I$5001,I4004),1,0))</f>
        <v/>
      </c>
    </row>
    <row r="4005" customFormat="false" ht="15" hidden="false" customHeight="false" outlineLevel="0" collapsed="false">
      <c r="I4005" s="15" t="str">
        <f aca="false">IF(A4005="","",INT(A4005))</f>
        <v/>
      </c>
      <c r="J4005" s="16" t="str">
        <f aca="false">IF(B4005="","",IF(A4005=_xlfn.MINIFS($A$2:$A$5001,$B$2:$B$5001,B4005),1,0))</f>
        <v/>
      </c>
      <c r="K4005" s="16" t="str">
        <f aca="false">IF(B4005="","",IF(AND(D4005="Formalização",E4005="Concluído"),IF(COUNTIFS($B$2:$B$5001,B4005,$E$2:$E$5001,"Em ajustes",$A$2:$A$5001,"&lt;"&amp;I4005)&gt;0,1,0),0))</f>
        <v/>
      </c>
      <c r="L4005" s="16" t="str">
        <f aca="false">IF(B4005="","",IF(A4005=_xlfn.MAXIFS($A$2:$A$5001,$B$2:$B$5001,B4005,$I$2:$I$5001,I4005),1,0))</f>
        <v/>
      </c>
    </row>
    <row r="4006" customFormat="false" ht="15" hidden="false" customHeight="false" outlineLevel="0" collapsed="false">
      <c r="I4006" s="15" t="str">
        <f aca="false">IF(A4006="","",INT(A4006))</f>
        <v/>
      </c>
      <c r="J4006" s="16" t="str">
        <f aca="false">IF(B4006="","",IF(A4006=_xlfn.MINIFS($A$2:$A$5001,$B$2:$B$5001,B4006),1,0))</f>
        <v/>
      </c>
      <c r="K4006" s="16" t="str">
        <f aca="false">IF(B4006="","",IF(AND(D4006="Formalização",E4006="Concluído"),IF(COUNTIFS($B$2:$B$5001,B4006,$E$2:$E$5001,"Em ajustes",$A$2:$A$5001,"&lt;"&amp;I4006)&gt;0,1,0),0))</f>
        <v/>
      </c>
      <c r="L4006" s="16" t="str">
        <f aca="false">IF(B4006="","",IF(A4006=_xlfn.MAXIFS($A$2:$A$5001,$B$2:$B$5001,B4006,$I$2:$I$5001,I4006),1,0))</f>
        <v/>
      </c>
    </row>
    <row r="4007" customFormat="false" ht="15" hidden="false" customHeight="false" outlineLevel="0" collapsed="false">
      <c r="I4007" s="15" t="str">
        <f aca="false">IF(A4007="","",INT(A4007))</f>
        <v/>
      </c>
      <c r="J4007" s="16" t="str">
        <f aca="false">IF(B4007="","",IF(A4007=_xlfn.MINIFS($A$2:$A$5001,$B$2:$B$5001,B4007),1,0))</f>
        <v/>
      </c>
      <c r="K4007" s="16" t="str">
        <f aca="false">IF(B4007="","",IF(AND(D4007="Formalização",E4007="Concluído"),IF(COUNTIFS($B$2:$B$5001,B4007,$E$2:$E$5001,"Em ajustes",$A$2:$A$5001,"&lt;"&amp;I4007)&gt;0,1,0),0))</f>
        <v/>
      </c>
      <c r="L4007" s="16" t="str">
        <f aca="false">IF(B4007="","",IF(A4007=_xlfn.MAXIFS($A$2:$A$5001,$B$2:$B$5001,B4007,$I$2:$I$5001,I4007),1,0))</f>
        <v/>
      </c>
    </row>
    <row r="4008" customFormat="false" ht="15" hidden="false" customHeight="false" outlineLevel="0" collapsed="false">
      <c r="I4008" s="15" t="str">
        <f aca="false">IF(A4008="","",INT(A4008))</f>
        <v/>
      </c>
      <c r="J4008" s="16" t="str">
        <f aca="false">IF(B4008="","",IF(A4008=_xlfn.MINIFS($A$2:$A$5001,$B$2:$B$5001,B4008),1,0))</f>
        <v/>
      </c>
      <c r="K4008" s="16" t="str">
        <f aca="false">IF(B4008="","",IF(AND(D4008="Formalização",E4008="Concluído"),IF(COUNTIFS($B$2:$B$5001,B4008,$E$2:$E$5001,"Em ajustes",$A$2:$A$5001,"&lt;"&amp;I4008)&gt;0,1,0),0))</f>
        <v/>
      </c>
      <c r="L4008" s="16" t="str">
        <f aca="false">IF(B4008="","",IF(A4008=_xlfn.MAXIFS($A$2:$A$5001,$B$2:$B$5001,B4008,$I$2:$I$5001,I4008),1,0))</f>
        <v/>
      </c>
    </row>
    <row r="4009" customFormat="false" ht="15" hidden="false" customHeight="false" outlineLevel="0" collapsed="false">
      <c r="I4009" s="15" t="str">
        <f aca="false">IF(A4009="","",INT(A4009))</f>
        <v/>
      </c>
      <c r="J4009" s="16" t="str">
        <f aca="false">IF(B4009="","",IF(A4009=_xlfn.MINIFS($A$2:$A$5001,$B$2:$B$5001,B4009),1,0))</f>
        <v/>
      </c>
      <c r="K4009" s="16" t="str">
        <f aca="false">IF(B4009="","",IF(AND(D4009="Formalização",E4009="Concluído"),IF(COUNTIFS($B$2:$B$5001,B4009,$E$2:$E$5001,"Em ajustes",$A$2:$A$5001,"&lt;"&amp;I4009)&gt;0,1,0),0))</f>
        <v/>
      </c>
      <c r="L4009" s="16" t="str">
        <f aca="false">IF(B4009="","",IF(A4009=_xlfn.MAXIFS($A$2:$A$5001,$B$2:$B$5001,B4009,$I$2:$I$5001,I4009),1,0))</f>
        <v/>
      </c>
    </row>
    <row r="4010" customFormat="false" ht="15" hidden="false" customHeight="false" outlineLevel="0" collapsed="false">
      <c r="I4010" s="15" t="str">
        <f aca="false">IF(A4010="","",INT(A4010))</f>
        <v/>
      </c>
      <c r="J4010" s="16" t="str">
        <f aca="false">IF(B4010="","",IF(A4010=_xlfn.MINIFS($A$2:$A$5001,$B$2:$B$5001,B4010),1,0))</f>
        <v/>
      </c>
      <c r="K4010" s="16" t="str">
        <f aca="false">IF(B4010="","",IF(AND(D4010="Formalização",E4010="Concluído"),IF(COUNTIFS($B$2:$B$5001,B4010,$E$2:$E$5001,"Em ajustes",$A$2:$A$5001,"&lt;"&amp;I4010)&gt;0,1,0),0))</f>
        <v/>
      </c>
      <c r="L4010" s="16" t="str">
        <f aca="false">IF(B4010="","",IF(A4010=_xlfn.MAXIFS($A$2:$A$5001,$B$2:$B$5001,B4010,$I$2:$I$5001,I4010),1,0))</f>
        <v/>
      </c>
    </row>
    <row r="4011" customFormat="false" ht="15" hidden="false" customHeight="false" outlineLevel="0" collapsed="false">
      <c r="I4011" s="15" t="str">
        <f aca="false">IF(A4011="","",INT(A4011))</f>
        <v/>
      </c>
      <c r="J4011" s="16" t="str">
        <f aca="false">IF(B4011="","",IF(A4011=_xlfn.MINIFS($A$2:$A$5001,$B$2:$B$5001,B4011),1,0))</f>
        <v/>
      </c>
      <c r="K4011" s="16" t="str">
        <f aca="false">IF(B4011="","",IF(AND(D4011="Formalização",E4011="Concluído"),IF(COUNTIFS($B$2:$B$5001,B4011,$E$2:$E$5001,"Em ajustes",$A$2:$A$5001,"&lt;"&amp;I4011)&gt;0,1,0),0))</f>
        <v/>
      </c>
      <c r="L4011" s="16" t="str">
        <f aca="false">IF(B4011="","",IF(A4011=_xlfn.MAXIFS($A$2:$A$5001,$B$2:$B$5001,B4011,$I$2:$I$5001,I4011),1,0))</f>
        <v/>
      </c>
    </row>
    <row r="4012" customFormat="false" ht="15" hidden="false" customHeight="false" outlineLevel="0" collapsed="false">
      <c r="I4012" s="15" t="str">
        <f aca="false">IF(A4012="","",INT(A4012))</f>
        <v/>
      </c>
      <c r="J4012" s="16" t="str">
        <f aca="false">IF(B4012="","",IF(A4012=_xlfn.MINIFS($A$2:$A$5001,$B$2:$B$5001,B4012),1,0))</f>
        <v/>
      </c>
      <c r="K4012" s="16" t="str">
        <f aca="false">IF(B4012="","",IF(AND(D4012="Formalização",E4012="Concluído"),IF(COUNTIFS($B$2:$B$5001,B4012,$E$2:$E$5001,"Em ajustes",$A$2:$A$5001,"&lt;"&amp;I4012)&gt;0,1,0),0))</f>
        <v/>
      </c>
      <c r="L4012" s="16" t="str">
        <f aca="false">IF(B4012="","",IF(A4012=_xlfn.MAXIFS($A$2:$A$5001,$B$2:$B$5001,B4012,$I$2:$I$5001,I4012),1,0))</f>
        <v/>
      </c>
    </row>
    <row r="4013" customFormat="false" ht="15" hidden="false" customHeight="false" outlineLevel="0" collapsed="false">
      <c r="I4013" s="15" t="str">
        <f aca="false">IF(A4013="","",INT(A4013))</f>
        <v/>
      </c>
      <c r="J4013" s="16" t="str">
        <f aca="false">IF(B4013="","",IF(A4013=_xlfn.MINIFS($A$2:$A$5001,$B$2:$B$5001,B4013),1,0))</f>
        <v/>
      </c>
      <c r="K4013" s="16" t="str">
        <f aca="false">IF(B4013="","",IF(AND(D4013="Formalização",E4013="Concluído"),IF(COUNTIFS($B$2:$B$5001,B4013,$E$2:$E$5001,"Em ajustes",$A$2:$A$5001,"&lt;"&amp;I4013)&gt;0,1,0),0))</f>
        <v/>
      </c>
      <c r="L4013" s="16" t="str">
        <f aca="false">IF(B4013="","",IF(A4013=_xlfn.MAXIFS($A$2:$A$5001,$B$2:$B$5001,B4013,$I$2:$I$5001,I4013),1,0))</f>
        <v/>
      </c>
    </row>
    <row r="4014" customFormat="false" ht="15" hidden="false" customHeight="false" outlineLevel="0" collapsed="false">
      <c r="I4014" s="15" t="str">
        <f aca="false">IF(A4014="","",INT(A4014))</f>
        <v/>
      </c>
      <c r="J4014" s="16" t="str">
        <f aca="false">IF(B4014="","",IF(A4014=_xlfn.MINIFS($A$2:$A$5001,$B$2:$B$5001,B4014),1,0))</f>
        <v/>
      </c>
      <c r="K4014" s="16" t="str">
        <f aca="false">IF(B4014="","",IF(AND(D4014="Formalização",E4014="Concluído"),IF(COUNTIFS($B$2:$B$5001,B4014,$E$2:$E$5001,"Em ajustes",$A$2:$A$5001,"&lt;"&amp;I4014)&gt;0,1,0),0))</f>
        <v/>
      </c>
      <c r="L4014" s="16" t="str">
        <f aca="false">IF(B4014="","",IF(A4014=_xlfn.MAXIFS($A$2:$A$5001,$B$2:$B$5001,B4014,$I$2:$I$5001,I4014),1,0))</f>
        <v/>
      </c>
    </row>
    <row r="4015" customFormat="false" ht="15" hidden="false" customHeight="false" outlineLevel="0" collapsed="false">
      <c r="I4015" s="15" t="str">
        <f aca="false">IF(A4015="","",INT(A4015))</f>
        <v/>
      </c>
      <c r="J4015" s="16" t="str">
        <f aca="false">IF(B4015="","",IF(A4015=_xlfn.MINIFS($A$2:$A$5001,$B$2:$B$5001,B4015),1,0))</f>
        <v/>
      </c>
      <c r="K4015" s="16" t="str">
        <f aca="false">IF(B4015="","",IF(AND(D4015="Formalização",E4015="Concluído"),IF(COUNTIFS($B$2:$B$5001,B4015,$E$2:$E$5001,"Em ajustes",$A$2:$A$5001,"&lt;"&amp;I4015)&gt;0,1,0),0))</f>
        <v/>
      </c>
      <c r="L4015" s="16" t="str">
        <f aca="false">IF(B4015="","",IF(A4015=_xlfn.MAXIFS($A$2:$A$5001,$B$2:$B$5001,B4015,$I$2:$I$5001,I4015),1,0))</f>
        <v/>
      </c>
    </row>
    <row r="4016" customFormat="false" ht="15" hidden="false" customHeight="false" outlineLevel="0" collapsed="false">
      <c r="I4016" s="15" t="str">
        <f aca="false">IF(A4016="","",INT(A4016))</f>
        <v/>
      </c>
      <c r="J4016" s="16" t="str">
        <f aca="false">IF(B4016="","",IF(A4016=_xlfn.MINIFS($A$2:$A$5001,$B$2:$B$5001,B4016),1,0))</f>
        <v/>
      </c>
      <c r="K4016" s="16" t="str">
        <f aca="false">IF(B4016="","",IF(AND(D4016="Formalização",E4016="Concluído"),IF(COUNTIFS($B$2:$B$5001,B4016,$E$2:$E$5001,"Em ajustes",$A$2:$A$5001,"&lt;"&amp;I4016)&gt;0,1,0),0))</f>
        <v/>
      </c>
      <c r="L4016" s="16" t="str">
        <f aca="false">IF(B4016="","",IF(A4016=_xlfn.MAXIFS($A$2:$A$5001,$B$2:$B$5001,B4016,$I$2:$I$5001,I4016),1,0))</f>
        <v/>
      </c>
    </row>
    <row r="4017" customFormat="false" ht="15" hidden="false" customHeight="false" outlineLevel="0" collapsed="false">
      <c r="I4017" s="15" t="str">
        <f aca="false">IF(A4017="","",INT(A4017))</f>
        <v/>
      </c>
      <c r="J4017" s="16" t="str">
        <f aca="false">IF(B4017="","",IF(A4017=_xlfn.MINIFS($A$2:$A$5001,$B$2:$B$5001,B4017),1,0))</f>
        <v/>
      </c>
      <c r="K4017" s="16" t="str">
        <f aca="false">IF(B4017="","",IF(AND(D4017="Formalização",E4017="Concluído"),IF(COUNTIFS($B$2:$B$5001,B4017,$E$2:$E$5001,"Em ajustes",$A$2:$A$5001,"&lt;"&amp;I4017)&gt;0,1,0),0))</f>
        <v/>
      </c>
      <c r="L4017" s="16" t="str">
        <f aca="false">IF(B4017="","",IF(A4017=_xlfn.MAXIFS($A$2:$A$5001,$B$2:$B$5001,B4017,$I$2:$I$5001,I4017),1,0))</f>
        <v/>
      </c>
    </row>
    <row r="4018" customFormat="false" ht="15" hidden="false" customHeight="false" outlineLevel="0" collapsed="false">
      <c r="I4018" s="15" t="str">
        <f aca="false">IF(A4018="","",INT(A4018))</f>
        <v/>
      </c>
      <c r="J4018" s="16" t="str">
        <f aca="false">IF(B4018="","",IF(A4018=_xlfn.MINIFS($A$2:$A$5001,$B$2:$B$5001,B4018),1,0))</f>
        <v/>
      </c>
      <c r="K4018" s="16" t="str">
        <f aca="false">IF(B4018="","",IF(AND(D4018="Formalização",E4018="Concluído"),IF(COUNTIFS($B$2:$B$5001,B4018,$E$2:$E$5001,"Em ajustes",$A$2:$A$5001,"&lt;"&amp;I4018)&gt;0,1,0),0))</f>
        <v/>
      </c>
      <c r="L4018" s="16" t="str">
        <f aca="false">IF(B4018="","",IF(A4018=_xlfn.MAXIFS($A$2:$A$5001,$B$2:$B$5001,B4018,$I$2:$I$5001,I4018),1,0))</f>
        <v/>
      </c>
    </row>
    <row r="4019" customFormat="false" ht="15" hidden="false" customHeight="false" outlineLevel="0" collapsed="false">
      <c r="I4019" s="15" t="str">
        <f aca="false">IF(A4019="","",INT(A4019))</f>
        <v/>
      </c>
      <c r="J4019" s="16" t="str">
        <f aca="false">IF(B4019="","",IF(A4019=_xlfn.MINIFS($A$2:$A$5001,$B$2:$B$5001,B4019),1,0))</f>
        <v/>
      </c>
      <c r="K4019" s="16" t="str">
        <f aca="false">IF(B4019="","",IF(AND(D4019="Formalização",E4019="Concluído"),IF(COUNTIFS($B$2:$B$5001,B4019,$E$2:$E$5001,"Em ajustes",$A$2:$A$5001,"&lt;"&amp;I4019)&gt;0,1,0),0))</f>
        <v/>
      </c>
      <c r="L4019" s="16" t="str">
        <f aca="false">IF(B4019="","",IF(A4019=_xlfn.MAXIFS($A$2:$A$5001,$B$2:$B$5001,B4019,$I$2:$I$5001,I4019),1,0))</f>
        <v/>
      </c>
    </row>
    <row r="4020" customFormat="false" ht="15" hidden="false" customHeight="false" outlineLevel="0" collapsed="false">
      <c r="I4020" s="15" t="str">
        <f aca="false">IF(A4020="","",INT(A4020))</f>
        <v/>
      </c>
      <c r="J4020" s="16" t="str">
        <f aca="false">IF(B4020="","",IF(A4020=_xlfn.MINIFS($A$2:$A$5001,$B$2:$B$5001,B4020),1,0))</f>
        <v/>
      </c>
      <c r="K4020" s="16" t="str">
        <f aca="false">IF(B4020="","",IF(AND(D4020="Formalização",E4020="Concluído"),IF(COUNTIFS($B$2:$B$5001,B4020,$E$2:$E$5001,"Em ajustes",$A$2:$A$5001,"&lt;"&amp;I4020)&gt;0,1,0),0))</f>
        <v/>
      </c>
      <c r="L4020" s="16" t="str">
        <f aca="false">IF(B4020="","",IF(A4020=_xlfn.MAXIFS($A$2:$A$5001,$B$2:$B$5001,B4020,$I$2:$I$5001,I4020),1,0))</f>
        <v/>
      </c>
    </row>
    <row r="4021" customFormat="false" ht="15" hidden="false" customHeight="false" outlineLevel="0" collapsed="false">
      <c r="I4021" s="15" t="str">
        <f aca="false">IF(A4021="","",INT(A4021))</f>
        <v/>
      </c>
      <c r="J4021" s="16" t="str">
        <f aca="false">IF(B4021="","",IF(A4021=_xlfn.MINIFS($A$2:$A$5001,$B$2:$B$5001,B4021),1,0))</f>
        <v/>
      </c>
      <c r="K4021" s="16" t="str">
        <f aca="false">IF(B4021="","",IF(AND(D4021="Formalização",E4021="Concluído"),IF(COUNTIFS($B$2:$B$5001,B4021,$E$2:$E$5001,"Em ajustes",$A$2:$A$5001,"&lt;"&amp;I4021)&gt;0,1,0),0))</f>
        <v/>
      </c>
      <c r="L4021" s="16" t="str">
        <f aca="false">IF(B4021="","",IF(A4021=_xlfn.MAXIFS($A$2:$A$5001,$B$2:$B$5001,B4021,$I$2:$I$5001,I4021),1,0))</f>
        <v/>
      </c>
    </row>
    <row r="4022" customFormat="false" ht="15" hidden="false" customHeight="false" outlineLevel="0" collapsed="false">
      <c r="I4022" s="15" t="str">
        <f aca="false">IF(A4022="","",INT(A4022))</f>
        <v/>
      </c>
      <c r="J4022" s="16" t="str">
        <f aca="false">IF(B4022="","",IF(A4022=_xlfn.MINIFS($A$2:$A$5001,$B$2:$B$5001,B4022),1,0))</f>
        <v/>
      </c>
      <c r="K4022" s="16" t="str">
        <f aca="false">IF(B4022="","",IF(AND(D4022="Formalização",E4022="Concluído"),IF(COUNTIFS($B$2:$B$5001,B4022,$E$2:$E$5001,"Em ajustes",$A$2:$A$5001,"&lt;"&amp;I4022)&gt;0,1,0),0))</f>
        <v/>
      </c>
      <c r="L4022" s="16" t="str">
        <f aca="false">IF(B4022="","",IF(A4022=_xlfn.MAXIFS($A$2:$A$5001,$B$2:$B$5001,B4022,$I$2:$I$5001,I4022),1,0))</f>
        <v/>
      </c>
    </row>
    <row r="4023" customFormat="false" ht="15" hidden="false" customHeight="false" outlineLevel="0" collapsed="false">
      <c r="I4023" s="15" t="str">
        <f aca="false">IF(A4023="","",INT(A4023))</f>
        <v/>
      </c>
      <c r="J4023" s="16" t="str">
        <f aca="false">IF(B4023="","",IF(A4023=_xlfn.MINIFS($A$2:$A$5001,$B$2:$B$5001,B4023),1,0))</f>
        <v/>
      </c>
      <c r="K4023" s="16" t="str">
        <f aca="false">IF(B4023="","",IF(AND(D4023="Formalização",E4023="Concluído"),IF(COUNTIFS($B$2:$B$5001,B4023,$E$2:$E$5001,"Em ajustes",$A$2:$A$5001,"&lt;"&amp;I4023)&gt;0,1,0),0))</f>
        <v/>
      </c>
      <c r="L4023" s="16" t="str">
        <f aca="false">IF(B4023="","",IF(A4023=_xlfn.MAXIFS($A$2:$A$5001,$B$2:$B$5001,B4023,$I$2:$I$5001,I4023),1,0))</f>
        <v/>
      </c>
    </row>
    <row r="4024" customFormat="false" ht="15" hidden="false" customHeight="false" outlineLevel="0" collapsed="false">
      <c r="I4024" s="15" t="str">
        <f aca="false">IF(A4024="","",INT(A4024))</f>
        <v/>
      </c>
      <c r="J4024" s="16" t="str">
        <f aca="false">IF(B4024="","",IF(A4024=_xlfn.MINIFS($A$2:$A$5001,$B$2:$B$5001,B4024),1,0))</f>
        <v/>
      </c>
      <c r="K4024" s="16" t="str">
        <f aca="false">IF(B4024="","",IF(AND(D4024="Formalização",E4024="Concluído"),IF(COUNTIFS($B$2:$B$5001,B4024,$E$2:$E$5001,"Em ajustes",$A$2:$A$5001,"&lt;"&amp;I4024)&gt;0,1,0),0))</f>
        <v/>
      </c>
      <c r="L4024" s="16" t="str">
        <f aca="false">IF(B4024="","",IF(A4024=_xlfn.MAXIFS($A$2:$A$5001,$B$2:$B$5001,B4024,$I$2:$I$5001,I4024),1,0))</f>
        <v/>
      </c>
    </row>
    <row r="4025" customFormat="false" ht="15" hidden="false" customHeight="false" outlineLevel="0" collapsed="false">
      <c r="I4025" s="15" t="str">
        <f aca="false">IF(A4025="","",INT(A4025))</f>
        <v/>
      </c>
      <c r="J4025" s="16" t="str">
        <f aca="false">IF(B4025="","",IF(A4025=_xlfn.MINIFS($A$2:$A$5001,$B$2:$B$5001,B4025),1,0))</f>
        <v/>
      </c>
      <c r="K4025" s="16" t="str">
        <f aca="false">IF(B4025="","",IF(AND(D4025="Formalização",E4025="Concluído"),IF(COUNTIFS($B$2:$B$5001,B4025,$E$2:$E$5001,"Em ajustes",$A$2:$A$5001,"&lt;"&amp;I4025)&gt;0,1,0),0))</f>
        <v/>
      </c>
      <c r="L4025" s="16" t="str">
        <f aca="false">IF(B4025="","",IF(A4025=_xlfn.MAXIFS($A$2:$A$5001,$B$2:$B$5001,B4025,$I$2:$I$5001,I4025),1,0))</f>
        <v/>
      </c>
    </row>
    <row r="4026" customFormat="false" ht="15" hidden="false" customHeight="false" outlineLevel="0" collapsed="false">
      <c r="I4026" s="15" t="str">
        <f aca="false">IF(A4026="","",INT(A4026))</f>
        <v/>
      </c>
      <c r="J4026" s="16" t="str">
        <f aca="false">IF(B4026="","",IF(A4026=_xlfn.MINIFS($A$2:$A$5001,$B$2:$B$5001,B4026),1,0))</f>
        <v/>
      </c>
      <c r="K4026" s="16" t="str">
        <f aca="false">IF(B4026="","",IF(AND(D4026="Formalização",E4026="Concluído"),IF(COUNTIFS($B$2:$B$5001,B4026,$E$2:$E$5001,"Em ajustes",$A$2:$A$5001,"&lt;"&amp;I4026)&gt;0,1,0),0))</f>
        <v/>
      </c>
      <c r="L4026" s="16" t="str">
        <f aca="false">IF(B4026="","",IF(A4026=_xlfn.MAXIFS($A$2:$A$5001,$B$2:$B$5001,B4026,$I$2:$I$5001,I4026),1,0))</f>
        <v/>
      </c>
    </row>
    <row r="4027" customFormat="false" ht="15" hidden="false" customHeight="false" outlineLevel="0" collapsed="false">
      <c r="I4027" s="15" t="str">
        <f aca="false">IF(A4027="","",INT(A4027))</f>
        <v/>
      </c>
      <c r="J4027" s="16" t="str">
        <f aca="false">IF(B4027="","",IF(A4027=_xlfn.MINIFS($A$2:$A$5001,$B$2:$B$5001,B4027),1,0))</f>
        <v/>
      </c>
      <c r="K4027" s="16" t="str">
        <f aca="false">IF(B4027="","",IF(AND(D4027="Formalização",E4027="Concluído"),IF(COUNTIFS($B$2:$B$5001,B4027,$E$2:$E$5001,"Em ajustes",$A$2:$A$5001,"&lt;"&amp;I4027)&gt;0,1,0),0))</f>
        <v/>
      </c>
      <c r="L4027" s="16" t="str">
        <f aca="false">IF(B4027="","",IF(A4027=_xlfn.MAXIFS($A$2:$A$5001,$B$2:$B$5001,B4027,$I$2:$I$5001,I4027),1,0))</f>
        <v/>
      </c>
    </row>
    <row r="4028" customFormat="false" ht="15" hidden="false" customHeight="false" outlineLevel="0" collapsed="false">
      <c r="I4028" s="15" t="str">
        <f aca="false">IF(A4028="","",INT(A4028))</f>
        <v/>
      </c>
      <c r="J4028" s="16" t="str">
        <f aca="false">IF(B4028="","",IF(A4028=_xlfn.MINIFS($A$2:$A$5001,$B$2:$B$5001,B4028),1,0))</f>
        <v/>
      </c>
      <c r="K4028" s="16" t="str">
        <f aca="false">IF(B4028="","",IF(AND(D4028="Formalização",E4028="Concluído"),IF(COUNTIFS($B$2:$B$5001,B4028,$E$2:$E$5001,"Em ajustes",$A$2:$A$5001,"&lt;"&amp;I4028)&gt;0,1,0),0))</f>
        <v/>
      </c>
      <c r="L4028" s="16" t="str">
        <f aca="false">IF(B4028="","",IF(A4028=_xlfn.MAXIFS($A$2:$A$5001,$B$2:$B$5001,B4028,$I$2:$I$5001,I4028),1,0))</f>
        <v/>
      </c>
    </row>
    <row r="4029" customFormat="false" ht="15" hidden="false" customHeight="false" outlineLevel="0" collapsed="false">
      <c r="I4029" s="15" t="str">
        <f aca="false">IF(A4029="","",INT(A4029))</f>
        <v/>
      </c>
      <c r="J4029" s="16" t="str">
        <f aca="false">IF(B4029="","",IF(A4029=_xlfn.MINIFS($A$2:$A$5001,$B$2:$B$5001,B4029),1,0))</f>
        <v/>
      </c>
      <c r="K4029" s="16" t="str">
        <f aca="false">IF(B4029="","",IF(AND(D4029="Formalização",E4029="Concluído"),IF(COUNTIFS($B$2:$B$5001,B4029,$E$2:$E$5001,"Em ajustes",$A$2:$A$5001,"&lt;"&amp;I4029)&gt;0,1,0),0))</f>
        <v/>
      </c>
      <c r="L4029" s="16" t="str">
        <f aca="false">IF(B4029="","",IF(A4029=_xlfn.MAXIFS($A$2:$A$5001,$B$2:$B$5001,B4029,$I$2:$I$5001,I4029),1,0))</f>
        <v/>
      </c>
    </row>
    <row r="4030" customFormat="false" ht="15" hidden="false" customHeight="false" outlineLevel="0" collapsed="false">
      <c r="I4030" s="15" t="str">
        <f aca="false">IF(A4030="","",INT(A4030))</f>
        <v/>
      </c>
      <c r="J4030" s="16" t="str">
        <f aca="false">IF(B4030="","",IF(A4030=_xlfn.MINIFS($A$2:$A$5001,$B$2:$B$5001,B4030),1,0))</f>
        <v/>
      </c>
      <c r="K4030" s="16" t="str">
        <f aca="false">IF(B4030="","",IF(AND(D4030="Formalização",E4030="Concluído"),IF(COUNTIFS($B$2:$B$5001,B4030,$E$2:$E$5001,"Em ajustes",$A$2:$A$5001,"&lt;"&amp;I4030)&gt;0,1,0),0))</f>
        <v/>
      </c>
      <c r="L4030" s="16" t="str">
        <f aca="false">IF(B4030="","",IF(A4030=_xlfn.MAXIFS($A$2:$A$5001,$B$2:$B$5001,B4030,$I$2:$I$5001,I4030),1,0))</f>
        <v/>
      </c>
    </row>
    <row r="4031" customFormat="false" ht="15" hidden="false" customHeight="false" outlineLevel="0" collapsed="false">
      <c r="I4031" s="15" t="str">
        <f aca="false">IF(A4031="","",INT(A4031))</f>
        <v/>
      </c>
      <c r="J4031" s="16" t="str">
        <f aca="false">IF(B4031="","",IF(A4031=_xlfn.MINIFS($A$2:$A$5001,$B$2:$B$5001,B4031),1,0))</f>
        <v/>
      </c>
      <c r="K4031" s="16" t="str">
        <f aca="false">IF(B4031="","",IF(AND(D4031="Formalização",E4031="Concluído"),IF(COUNTIFS($B$2:$B$5001,B4031,$E$2:$E$5001,"Em ajustes",$A$2:$A$5001,"&lt;"&amp;I4031)&gt;0,1,0),0))</f>
        <v/>
      </c>
      <c r="L4031" s="16" t="str">
        <f aca="false">IF(B4031="","",IF(A4031=_xlfn.MAXIFS($A$2:$A$5001,$B$2:$B$5001,B4031,$I$2:$I$5001,I4031),1,0))</f>
        <v/>
      </c>
    </row>
    <row r="4032" customFormat="false" ht="15" hidden="false" customHeight="false" outlineLevel="0" collapsed="false">
      <c r="I4032" s="15" t="str">
        <f aca="false">IF(A4032="","",INT(A4032))</f>
        <v/>
      </c>
      <c r="J4032" s="16" t="str">
        <f aca="false">IF(B4032="","",IF(A4032=_xlfn.MINIFS($A$2:$A$5001,$B$2:$B$5001,B4032),1,0))</f>
        <v/>
      </c>
      <c r="K4032" s="16" t="str">
        <f aca="false">IF(B4032="","",IF(AND(D4032="Formalização",E4032="Concluído"),IF(COUNTIFS($B$2:$B$5001,B4032,$E$2:$E$5001,"Em ajustes",$A$2:$A$5001,"&lt;"&amp;I4032)&gt;0,1,0),0))</f>
        <v/>
      </c>
      <c r="L4032" s="16" t="str">
        <f aca="false">IF(B4032="","",IF(A4032=_xlfn.MAXIFS($A$2:$A$5001,$B$2:$B$5001,B4032,$I$2:$I$5001,I4032),1,0))</f>
        <v/>
      </c>
    </row>
    <row r="4033" customFormat="false" ht="15" hidden="false" customHeight="false" outlineLevel="0" collapsed="false">
      <c r="I4033" s="15" t="str">
        <f aca="false">IF(A4033="","",INT(A4033))</f>
        <v/>
      </c>
      <c r="J4033" s="16" t="str">
        <f aca="false">IF(B4033="","",IF(A4033=_xlfn.MINIFS($A$2:$A$5001,$B$2:$B$5001,B4033),1,0))</f>
        <v/>
      </c>
      <c r="K4033" s="16" t="str">
        <f aca="false">IF(B4033="","",IF(AND(D4033="Formalização",E4033="Concluído"),IF(COUNTIFS($B$2:$B$5001,B4033,$E$2:$E$5001,"Em ajustes",$A$2:$A$5001,"&lt;"&amp;I4033)&gt;0,1,0),0))</f>
        <v/>
      </c>
      <c r="L4033" s="16" t="str">
        <f aca="false">IF(B4033="","",IF(A4033=_xlfn.MAXIFS($A$2:$A$5001,$B$2:$B$5001,B4033,$I$2:$I$5001,I4033),1,0))</f>
        <v/>
      </c>
    </row>
    <row r="4034" customFormat="false" ht="15" hidden="false" customHeight="false" outlineLevel="0" collapsed="false">
      <c r="I4034" s="15" t="str">
        <f aca="false">IF(A4034="","",INT(A4034))</f>
        <v/>
      </c>
      <c r="J4034" s="16" t="str">
        <f aca="false">IF(B4034="","",IF(A4034=_xlfn.MINIFS($A$2:$A$5001,$B$2:$B$5001,B4034),1,0))</f>
        <v/>
      </c>
      <c r="K4034" s="16" t="str">
        <f aca="false">IF(B4034="","",IF(AND(D4034="Formalização",E4034="Concluído"),IF(COUNTIFS($B$2:$B$5001,B4034,$E$2:$E$5001,"Em ajustes",$A$2:$A$5001,"&lt;"&amp;I4034)&gt;0,1,0),0))</f>
        <v/>
      </c>
      <c r="L4034" s="16" t="str">
        <f aca="false">IF(B4034="","",IF(A4034=_xlfn.MAXIFS($A$2:$A$5001,$B$2:$B$5001,B4034,$I$2:$I$5001,I4034),1,0))</f>
        <v/>
      </c>
    </row>
    <row r="4035" customFormat="false" ht="15" hidden="false" customHeight="false" outlineLevel="0" collapsed="false">
      <c r="I4035" s="15" t="str">
        <f aca="false">IF(A4035="","",INT(A4035))</f>
        <v/>
      </c>
      <c r="J4035" s="16" t="str">
        <f aca="false">IF(B4035="","",IF(A4035=_xlfn.MINIFS($A$2:$A$5001,$B$2:$B$5001,B4035),1,0))</f>
        <v/>
      </c>
      <c r="K4035" s="16" t="str">
        <f aca="false">IF(B4035="","",IF(AND(D4035="Formalização",E4035="Concluído"),IF(COUNTIFS($B$2:$B$5001,B4035,$E$2:$E$5001,"Em ajustes",$A$2:$A$5001,"&lt;"&amp;I4035)&gt;0,1,0),0))</f>
        <v/>
      </c>
      <c r="L4035" s="16" t="str">
        <f aca="false">IF(B4035="","",IF(A4035=_xlfn.MAXIFS($A$2:$A$5001,$B$2:$B$5001,B4035,$I$2:$I$5001,I4035),1,0))</f>
        <v/>
      </c>
    </row>
    <row r="4036" customFormat="false" ht="15" hidden="false" customHeight="false" outlineLevel="0" collapsed="false">
      <c r="I4036" s="15" t="str">
        <f aca="false">IF(A4036="","",INT(A4036))</f>
        <v/>
      </c>
      <c r="J4036" s="16" t="str">
        <f aca="false">IF(B4036="","",IF(A4036=_xlfn.MINIFS($A$2:$A$5001,$B$2:$B$5001,B4036),1,0))</f>
        <v/>
      </c>
      <c r="K4036" s="16" t="str">
        <f aca="false">IF(B4036="","",IF(AND(D4036="Formalização",E4036="Concluído"),IF(COUNTIFS($B$2:$B$5001,B4036,$E$2:$E$5001,"Em ajustes",$A$2:$A$5001,"&lt;"&amp;I4036)&gt;0,1,0),0))</f>
        <v/>
      </c>
      <c r="L4036" s="16" t="str">
        <f aca="false">IF(B4036="","",IF(A4036=_xlfn.MAXIFS($A$2:$A$5001,$B$2:$B$5001,B4036,$I$2:$I$5001,I4036),1,0))</f>
        <v/>
      </c>
    </row>
    <row r="4037" customFormat="false" ht="15" hidden="false" customHeight="false" outlineLevel="0" collapsed="false">
      <c r="I4037" s="15" t="str">
        <f aca="false">IF(A4037="","",INT(A4037))</f>
        <v/>
      </c>
      <c r="J4037" s="16" t="str">
        <f aca="false">IF(B4037="","",IF(A4037=_xlfn.MINIFS($A$2:$A$5001,$B$2:$B$5001,B4037),1,0))</f>
        <v/>
      </c>
      <c r="K4037" s="16" t="str">
        <f aca="false">IF(B4037="","",IF(AND(D4037="Formalização",E4037="Concluído"),IF(COUNTIFS($B$2:$B$5001,B4037,$E$2:$E$5001,"Em ajustes",$A$2:$A$5001,"&lt;"&amp;I4037)&gt;0,1,0),0))</f>
        <v/>
      </c>
      <c r="L4037" s="16" t="str">
        <f aca="false">IF(B4037="","",IF(A4037=_xlfn.MAXIFS($A$2:$A$5001,$B$2:$B$5001,B4037,$I$2:$I$5001,I4037),1,0))</f>
        <v/>
      </c>
    </row>
    <row r="4038" customFormat="false" ht="15" hidden="false" customHeight="false" outlineLevel="0" collapsed="false">
      <c r="I4038" s="15" t="str">
        <f aca="false">IF(A4038="","",INT(A4038))</f>
        <v/>
      </c>
      <c r="J4038" s="16" t="str">
        <f aca="false">IF(B4038="","",IF(A4038=_xlfn.MINIFS($A$2:$A$5001,$B$2:$B$5001,B4038),1,0))</f>
        <v/>
      </c>
      <c r="K4038" s="16" t="str">
        <f aca="false">IF(B4038="","",IF(AND(D4038="Formalização",E4038="Concluído"),IF(COUNTIFS($B$2:$B$5001,B4038,$E$2:$E$5001,"Em ajustes",$A$2:$A$5001,"&lt;"&amp;I4038)&gt;0,1,0),0))</f>
        <v/>
      </c>
      <c r="L4038" s="16" t="str">
        <f aca="false">IF(B4038="","",IF(A4038=_xlfn.MAXIFS($A$2:$A$5001,$B$2:$B$5001,B4038,$I$2:$I$5001,I4038),1,0))</f>
        <v/>
      </c>
    </row>
    <row r="4039" customFormat="false" ht="15" hidden="false" customHeight="false" outlineLevel="0" collapsed="false">
      <c r="I4039" s="15" t="str">
        <f aca="false">IF(A4039="","",INT(A4039))</f>
        <v/>
      </c>
      <c r="J4039" s="16" t="str">
        <f aca="false">IF(B4039="","",IF(A4039=_xlfn.MINIFS($A$2:$A$5001,$B$2:$B$5001,B4039),1,0))</f>
        <v/>
      </c>
      <c r="K4039" s="16" t="str">
        <f aca="false">IF(B4039="","",IF(AND(D4039="Formalização",E4039="Concluído"),IF(COUNTIFS($B$2:$B$5001,B4039,$E$2:$E$5001,"Em ajustes",$A$2:$A$5001,"&lt;"&amp;I4039)&gt;0,1,0),0))</f>
        <v/>
      </c>
      <c r="L4039" s="16" t="str">
        <f aca="false">IF(B4039="","",IF(A4039=_xlfn.MAXIFS($A$2:$A$5001,$B$2:$B$5001,B4039,$I$2:$I$5001,I4039),1,0))</f>
        <v/>
      </c>
    </row>
    <row r="4040" customFormat="false" ht="15" hidden="false" customHeight="false" outlineLevel="0" collapsed="false">
      <c r="I4040" s="15" t="str">
        <f aca="false">IF(A4040="","",INT(A4040))</f>
        <v/>
      </c>
      <c r="J4040" s="16" t="str">
        <f aca="false">IF(B4040="","",IF(A4040=_xlfn.MINIFS($A$2:$A$5001,$B$2:$B$5001,B4040),1,0))</f>
        <v/>
      </c>
      <c r="K4040" s="16" t="str">
        <f aca="false">IF(B4040="","",IF(AND(D4040="Formalização",E4040="Concluído"),IF(COUNTIFS($B$2:$B$5001,B4040,$E$2:$E$5001,"Em ajustes",$A$2:$A$5001,"&lt;"&amp;I4040)&gt;0,1,0),0))</f>
        <v/>
      </c>
      <c r="L4040" s="16" t="str">
        <f aca="false">IF(B4040="","",IF(A4040=_xlfn.MAXIFS($A$2:$A$5001,$B$2:$B$5001,B4040,$I$2:$I$5001,I4040),1,0))</f>
        <v/>
      </c>
    </row>
    <row r="4041" customFormat="false" ht="15" hidden="false" customHeight="false" outlineLevel="0" collapsed="false">
      <c r="I4041" s="15" t="str">
        <f aca="false">IF(A4041="","",INT(A4041))</f>
        <v/>
      </c>
      <c r="J4041" s="16" t="str">
        <f aca="false">IF(B4041="","",IF(A4041=_xlfn.MINIFS($A$2:$A$5001,$B$2:$B$5001,B4041),1,0))</f>
        <v/>
      </c>
      <c r="K4041" s="16" t="str">
        <f aca="false">IF(B4041="","",IF(AND(D4041="Formalização",E4041="Concluído"),IF(COUNTIFS($B$2:$B$5001,B4041,$E$2:$E$5001,"Em ajustes",$A$2:$A$5001,"&lt;"&amp;I4041)&gt;0,1,0),0))</f>
        <v/>
      </c>
      <c r="L4041" s="16" t="str">
        <f aca="false">IF(B4041="","",IF(A4041=_xlfn.MAXIFS($A$2:$A$5001,$B$2:$B$5001,B4041,$I$2:$I$5001,I4041),1,0))</f>
        <v/>
      </c>
    </row>
    <row r="4042" customFormat="false" ht="15" hidden="false" customHeight="false" outlineLevel="0" collapsed="false">
      <c r="I4042" s="15" t="str">
        <f aca="false">IF(A4042="","",INT(A4042))</f>
        <v/>
      </c>
      <c r="J4042" s="16" t="str">
        <f aca="false">IF(B4042="","",IF(A4042=_xlfn.MINIFS($A$2:$A$5001,$B$2:$B$5001,B4042),1,0))</f>
        <v/>
      </c>
      <c r="K4042" s="16" t="str">
        <f aca="false">IF(B4042="","",IF(AND(D4042="Formalização",E4042="Concluído"),IF(COUNTIFS($B$2:$B$5001,B4042,$E$2:$E$5001,"Em ajustes",$A$2:$A$5001,"&lt;"&amp;I4042)&gt;0,1,0),0))</f>
        <v/>
      </c>
      <c r="L4042" s="16" t="str">
        <f aca="false">IF(B4042="","",IF(A4042=_xlfn.MAXIFS($A$2:$A$5001,$B$2:$B$5001,B4042,$I$2:$I$5001,I4042),1,0))</f>
        <v/>
      </c>
    </row>
    <row r="4043" customFormat="false" ht="15" hidden="false" customHeight="false" outlineLevel="0" collapsed="false">
      <c r="I4043" s="15" t="str">
        <f aca="false">IF(A4043="","",INT(A4043))</f>
        <v/>
      </c>
      <c r="J4043" s="16" t="str">
        <f aca="false">IF(B4043="","",IF(A4043=_xlfn.MINIFS($A$2:$A$5001,$B$2:$B$5001,B4043),1,0))</f>
        <v/>
      </c>
      <c r="K4043" s="16" t="str">
        <f aca="false">IF(B4043="","",IF(AND(D4043="Formalização",E4043="Concluído"),IF(COUNTIFS($B$2:$B$5001,B4043,$E$2:$E$5001,"Em ajustes",$A$2:$A$5001,"&lt;"&amp;I4043)&gt;0,1,0),0))</f>
        <v/>
      </c>
      <c r="L4043" s="16" t="str">
        <f aca="false">IF(B4043="","",IF(A4043=_xlfn.MAXIFS($A$2:$A$5001,$B$2:$B$5001,B4043,$I$2:$I$5001,I4043),1,0))</f>
        <v/>
      </c>
    </row>
    <row r="4044" customFormat="false" ht="15" hidden="false" customHeight="false" outlineLevel="0" collapsed="false">
      <c r="I4044" s="15" t="str">
        <f aca="false">IF(A4044="","",INT(A4044))</f>
        <v/>
      </c>
      <c r="J4044" s="16" t="str">
        <f aca="false">IF(B4044="","",IF(A4044=_xlfn.MINIFS($A$2:$A$5001,$B$2:$B$5001,B4044),1,0))</f>
        <v/>
      </c>
      <c r="K4044" s="16" t="str">
        <f aca="false">IF(B4044="","",IF(AND(D4044="Formalização",E4044="Concluído"),IF(COUNTIFS($B$2:$B$5001,B4044,$E$2:$E$5001,"Em ajustes",$A$2:$A$5001,"&lt;"&amp;I4044)&gt;0,1,0),0))</f>
        <v/>
      </c>
      <c r="L4044" s="16" t="str">
        <f aca="false">IF(B4044="","",IF(A4044=_xlfn.MAXIFS($A$2:$A$5001,$B$2:$B$5001,B4044,$I$2:$I$5001,I4044),1,0))</f>
        <v/>
      </c>
    </row>
    <row r="4045" customFormat="false" ht="15" hidden="false" customHeight="false" outlineLevel="0" collapsed="false">
      <c r="I4045" s="15" t="str">
        <f aca="false">IF(A4045="","",INT(A4045))</f>
        <v/>
      </c>
      <c r="J4045" s="16" t="str">
        <f aca="false">IF(B4045="","",IF(A4045=_xlfn.MINIFS($A$2:$A$5001,$B$2:$B$5001,B4045),1,0))</f>
        <v/>
      </c>
      <c r="K4045" s="16" t="str">
        <f aca="false">IF(B4045="","",IF(AND(D4045="Formalização",E4045="Concluído"),IF(COUNTIFS($B$2:$B$5001,B4045,$E$2:$E$5001,"Em ajustes",$A$2:$A$5001,"&lt;"&amp;I4045)&gt;0,1,0),0))</f>
        <v/>
      </c>
      <c r="L4045" s="16" t="str">
        <f aca="false">IF(B4045="","",IF(A4045=_xlfn.MAXIFS($A$2:$A$5001,$B$2:$B$5001,B4045,$I$2:$I$5001,I4045),1,0))</f>
        <v/>
      </c>
    </row>
    <row r="4046" customFormat="false" ht="15" hidden="false" customHeight="false" outlineLevel="0" collapsed="false">
      <c r="I4046" s="15" t="str">
        <f aca="false">IF(A4046="","",INT(A4046))</f>
        <v/>
      </c>
      <c r="J4046" s="16" t="str">
        <f aca="false">IF(B4046="","",IF(A4046=_xlfn.MINIFS($A$2:$A$5001,$B$2:$B$5001,B4046),1,0))</f>
        <v/>
      </c>
      <c r="K4046" s="16" t="str">
        <f aca="false">IF(B4046="","",IF(AND(D4046="Formalização",E4046="Concluído"),IF(COUNTIFS($B$2:$B$5001,B4046,$E$2:$E$5001,"Em ajustes",$A$2:$A$5001,"&lt;"&amp;I4046)&gt;0,1,0),0))</f>
        <v/>
      </c>
      <c r="L4046" s="16" t="str">
        <f aca="false">IF(B4046="","",IF(A4046=_xlfn.MAXIFS($A$2:$A$5001,$B$2:$B$5001,B4046,$I$2:$I$5001,I4046),1,0))</f>
        <v/>
      </c>
    </row>
    <row r="4047" customFormat="false" ht="15" hidden="false" customHeight="false" outlineLevel="0" collapsed="false">
      <c r="I4047" s="15" t="str">
        <f aca="false">IF(A4047="","",INT(A4047))</f>
        <v/>
      </c>
      <c r="J4047" s="16" t="str">
        <f aca="false">IF(B4047="","",IF(A4047=_xlfn.MINIFS($A$2:$A$5001,$B$2:$B$5001,B4047),1,0))</f>
        <v/>
      </c>
      <c r="K4047" s="16" t="str">
        <f aca="false">IF(B4047="","",IF(AND(D4047="Formalização",E4047="Concluído"),IF(COUNTIFS($B$2:$B$5001,B4047,$E$2:$E$5001,"Em ajustes",$A$2:$A$5001,"&lt;"&amp;I4047)&gt;0,1,0),0))</f>
        <v/>
      </c>
      <c r="L4047" s="16" t="str">
        <f aca="false">IF(B4047="","",IF(A4047=_xlfn.MAXIFS($A$2:$A$5001,$B$2:$B$5001,B4047,$I$2:$I$5001,I4047),1,0))</f>
        <v/>
      </c>
    </row>
    <row r="4048" customFormat="false" ht="15" hidden="false" customHeight="false" outlineLevel="0" collapsed="false">
      <c r="I4048" s="15" t="str">
        <f aca="false">IF(A4048="","",INT(A4048))</f>
        <v/>
      </c>
      <c r="J4048" s="16" t="str">
        <f aca="false">IF(B4048="","",IF(A4048=_xlfn.MINIFS($A$2:$A$5001,$B$2:$B$5001,B4048),1,0))</f>
        <v/>
      </c>
      <c r="K4048" s="16" t="str">
        <f aca="false">IF(B4048="","",IF(AND(D4048="Formalização",E4048="Concluído"),IF(COUNTIFS($B$2:$B$5001,B4048,$E$2:$E$5001,"Em ajustes",$A$2:$A$5001,"&lt;"&amp;I4048)&gt;0,1,0),0))</f>
        <v/>
      </c>
      <c r="L4048" s="16" t="str">
        <f aca="false">IF(B4048="","",IF(A4048=_xlfn.MAXIFS($A$2:$A$5001,$B$2:$B$5001,B4048,$I$2:$I$5001,I4048),1,0))</f>
        <v/>
      </c>
    </row>
    <row r="4049" customFormat="false" ht="15" hidden="false" customHeight="false" outlineLevel="0" collapsed="false">
      <c r="I4049" s="15" t="str">
        <f aca="false">IF(A4049="","",INT(A4049))</f>
        <v/>
      </c>
      <c r="J4049" s="16" t="str">
        <f aca="false">IF(B4049="","",IF(A4049=_xlfn.MINIFS($A$2:$A$5001,$B$2:$B$5001,B4049),1,0))</f>
        <v/>
      </c>
      <c r="K4049" s="16" t="str">
        <f aca="false">IF(B4049="","",IF(AND(D4049="Formalização",E4049="Concluído"),IF(COUNTIFS($B$2:$B$5001,B4049,$E$2:$E$5001,"Em ajustes",$A$2:$A$5001,"&lt;"&amp;I4049)&gt;0,1,0),0))</f>
        <v/>
      </c>
      <c r="L4049" s="16" t="str">
        <f aca="false">IF(B4049="","",IF(A4049=_xlfn.MAXIFS($A$2:$A$5001,$B$2:$B$5001,B4049,$I$2:$I$5001,I4049),1,0))</f>
        <v/>
      </c>
    </row>
    <row r="4050" customFormat="false" ht="15" hidden="false" customHeight="false" outlineLevel="0" collapsed="false">
      <c r="I4050" s="15" t="str">
        <f aca="false">IF(A4050="","",INT(A4050))</f>
        <v/>
      </c>
      <c r="J4050" s="16" t="str">
        <f aca="false">IF(B4050="","",IF(A4050=_xlfn.MINIFS($A$2:$A$5001,$B$2:$B$5001,B4050),1,0))</f>
        <v/>
      </c>
      <c r="K4050" s="16" t="str">
        <f aca="false">IF(B4050="","",IF(AND(D4050="Formalização",E4050="Concluído"),IF(COUNTIFS($B$2:$B$5001,B4050,$E$2:$E$5001,"Em ajustes",$A$2:$A$5001,"&lt;"&amp;I4050)&gt;0,1,0),0))</f>
        <v/>
      </c>
      <c r="L4050" s="16" t="str">
        <f aca="false">IF(B4050="","",IF(A4050=_xlfn.MAXIFS($A$2:$A$5001,$B$2:$B$5001,B4050,$I$2:$I$5001,I4050),1,0))</f>
        <v/>
      </c>
    </row>
    <row r="4051" customFormat="false" ht="15" hidden="false" customHeight="false" outlineLevel="0" collapsed="false">
      <c r="I4051" s="15" t="str">
        <f aca="false">IF(A4051="","",INT(A4051))</f>
        <v/>
      </c>
      <c r="J4051" s="16" t="str">
        <f aca="false">IF(B4051="","",IF(A4051=_xlfn.MINIFS($A$2:$A$5001,$B$2:$B$5001,B4051),1,0))</f>
        <v/>
      </c>
      <c r="K4051" s="16" t="str">
        <f aca="false">IF(B4051="","",IF(AND(D4051="Formalização",E4051="Concluído"),IF(COUNTIFS($B$2:$B$5001,B4051,$E$2:$E$5001,"Em ajustes",$A$2:$A$5001,"&lt;"&amp;I4051)&gt;0,1,0),0))</f>
        <v/>
      </c>
      <c r="L4051" s="16" t="str">
        <f aca="false">IF(B4051="","",IF(A4051=_xlfn.MAXIFS($A$2:$A$5001,$B$2:$B$5001,B4051,$I$2:$I$5001,I4051),1,0))</f>
        <v/>
      </c>
    </row>
    <row r="4052" customFormat="false" ht="15" hidden="false" customHeight="false" outlineLevel="0" collapsed="false">
      <c r="I4052" s="15" t="str">
        <f aca="false">IF(A4052="","",INT(A4052))</f>
        <v/>
      </c>
      <c r="J4052" s="16" t="str">
        <f aca="false">IF(B4052="","",IF(A4052=_xlfn.MINIFS($A$2:$A$5001,$B$2:$B$5001,B4052),1,0))</f>
        <v/>
      </c>
      <c r="K4052" s="16" t="str">
        <f aca="false">IF(B4052="","",IF(AND(D4052="Formalização",E4052="Concluído"),IF(COUNTIFS($B$2:$B$5001,B4052,$E$2:$E$5001,"Em ajustes",$A$2:$A$5001,"&lt;"&amp;I4052)&gt;0,1,0),0))</f>
        <v/>
      </c>
      <c r="L4052" s="16" t="str">
        <f aca="false">IF(B4052="","",IF(A4052=_xlfn.MAXIFS($A$2:$A$5001,$B$2:$B$5001,B4052,$I$2:$I$5001,I4052),1,0))</f>
        <v/>
      </c>
    </row>
    <row r="4053" customFormat="false" ht="15" hidden="false" customHeight="false" outlineLevel="0" collapsed="false">
      <c r="I4053" s="15" t="str">
        <f aca="false">IF(A4053="","",INT(A4053))</f>
        <v/>
      </c>
      <c r="J4053" s="16" t="str">
        <f aca="false">IF(B4053="","",IF(A4053=_xlfn.MINIFS($A$2:$A$5001,$B$2:$B$5001,B4053),1,0))</f>
        <v/>
      </c>
      <c r="K4053" s="16" t="str">
        <f aca="false">IF(B4053="","",IF(AND(D4053="Formalização",E4053="Concluído"),IF(COUNTIFS($B$2:$B$5001,B4053,$E$2:$E$5001,"Em ajustes",$A$2:$A$5001,"&lt;"&amp;I4053)&gt;0,1,0),0))</f>
        <v/>
      </c>
      <c r="L4053" s="16" t="str">
        <f aca="false">IF(B4053="","",IF(A4053=_xlfn.MAXIFS($A$2:$A$5001,$B$2:$B$5001,B4053,$I$2:$I$5001,I4053),1,0))</f>
        <v/>
      </c>
    </row>
    <row r="4054" customFormat="false" ht="15" hidden="false" customHeight="false" outlineLevel="0" collapsed="false">
      <c r="I4054" s="15" t="str">
        <f aca="false">IF(A4054="","",INT(A4054))</f>
        <v/>
      </c>
      <c r="J4054" s="16" t="str">
        <f aca="false">IF(B4054="","",IF(A4054=_xlfn.MINIFS($A$2:$A$5001,$B$2:$B$5001,B4054),1,0))</f>
        <v/>
      </c>
      <c r="K4054" s="16" t="str">
        <f aca="false">IF(B4054="","",IF(AND(D4054="Formalização",E4054="Concluído"),IF(COUNTIFS($B$2:$B$5001,B4054,$E$2:$E$5001,"Em ajustes",$A$2:$A$5001,"&lt;"&amp;I4054)&gt;0,1,0),0))</f>
        <v/>
      </c>
      <c r="L4054" s="16" t="str">
        <f aca="false">IF(B4054="","",IF(A4054=_xlfn.MAXIFS($A$2:$A$5001,$B$2:$B$5001,B4054,$I$2:$I$5001,I4054),1,0))</f>
        <v/>
      </c>
    </row>
    <row r="4055" customFormat="false" ht="15" hidden="false" customHeight="false" outlineLevel="0" collapsed="false">
      <c r="I4055" s="15" t="str">
        <f aca="false">IF(A4055="","",INT(A4055))</f>
        <v/>
      </c>
      <c r="J4055" s="16" t="str">
        <f aca="false">IF(B4055="","",IF(A4055=_xlfn.MINIFS($A$2:$A$5001,$B$2:$B$5001,B4055),1,0))</f>
        <v/>
      </c>
      <c r="K4055" s="16" t="str">
        <f aca="false">IF(B4055="","",IF(AND(D4055="Formalização",E4055="Concluído"),IF(COUNTIFS($B$2:$B$5001,B4055,$E$2:$E$5001,"Em ajustes",$A$2:$A$5001,"&lt;"&amp;I4055)&gt;0,1,0),0))</f>
        <v/>
      </c>
      <c r="L4055" s="16" t="str">
        <f aca="false">IF(B4055="","",IF(A4055=_xlfn.MAXIFS($A$2:$A$5001,$B$2:$B$5001,B4055,$I$2:$I$5001,I4055),1,0))</f>
        <v/>
      </c>
    </row>
    <row r="4056" customFormat="false" ht="15" hidden="false" customHeight="false" outlineLevel="0" collapsed="false">
      <c r="I4056" s="15" t="str">
        <f aca="false">IF(A4056="","",INT(A4056))</f>
        <v/>
      </c>
      <c r="J4056" s="16" t="str">
        <f aca="false">IF(B4056="","",IF(A4056=_xlfn.MINIFS($A$2:$A$5001,$B$2:$B$5001,B4056),1,0))</f>
        <v/>
      </c>
      <c r="K4056" s="16" t="str">
        <f aca="false">IF(B4056="","",IF(AND(D4056="Formalização",E4056="Concluído"),IF(COUNTIFS($B$2:$B$5001,B4056,$E$2:$E$5001,"Em ajustes",$A$2:$A$5001,"&lt;"&amp;I4056)&gt;0,1,0),0))</f>
        <v/>
      </c>
      <c r="L4056" s="16" t="str">
        <f aca="false">IF(B4056="","",IF(A4056=_xlfn.MAXIFS($A$2:$A$5001,$B$2:$B$5001,B4056,$I$2:$I$5001,I4056),1,0))</f>
        <v/>
      </c>
    </row>
    <row r="4057" customFormat="false" ht="15" hidden="false" customHeight="false" outlineLevel="0" collapsed="false">
      <c r="I4057" s="15" t="str">
        <f aca="false">IF(A4057="","",INT(A4057))</f>
        <v/>
      </c>
      <c r="J4057" s="16" t="str">
        <f aca="false">IF(B4057="","",IF(A4057=_xlfn.MINIFS($A$2:$A$5001,$B$2:$B$5001,B4057),1,0))</f>
        <v/>
      </c>
      <c r="K4057" s="16" t="str">
        <f aca="false">IF(B4057="","",IF(AND(D4057="Formalização",E4057="Concluído"),IF(COUNTIFS($B$2:$B$5001,B4057,$E$2:$E$5001,"Em ajustes",$A$2:$A$5001,"&lt;"&amp;I4057)&gt;0,1,0),0))</f>
        <v/>
      </c>
      <c r="L4057" s="16" t="str">
        <f aca="false">IF(B4057="","",IF(A4057=_xlfn.MAXIFS($A$2:$A$5001,$B$2:$B$5001,B4057,$I$2:$I$5001,I4057),1,0))</f>
        <v/>
      </c>
    </row>
    <row r="4058" customFormat="false" ht="15" hidden="false" customHeight="false" outlineLevel="0" collapsed="false">
      <c r="I4058" s="15" t="str">
        <f aca="false">IF(A4058="","",INT(A4058))</f>
        <v/>
      </c>
      <c r="J4058" s="16" t="str">
        <f aca="false">IF(B4058="","",IF(A4058=_xlfn.MINIFS($A$2:$A$5001,$B$2:$B$5001,B4058),1,0))</f>
        <v/>
      </c>
      <c r="K4058" s="16" t="str">
        <f aca="false">IF(B4058="","",IF(AND(D4058="Formalização",E4058="Concluído"),IF(COUNTIFS($B$2:$B$5001,B4058,$E$2:$E$5001,"Em ajustes",$A$2:$A$5001,"&lt;"&amp;I4058)&gt;0,1,0),0))</f>
        <v/>
      </c>
      <c r="L4058" s="16" t="str">
        <f aca="false">IF(B4058="","",IF(A4058=_xlfn.MAXIFS($A$2:$A$5001,$B$2:$B$5001,B4058,$I$2:$I$5001,I4058),1,0))</f>
        <v/>
      </c>
    </row>
    <row r="4059" customFormat="false" ht="15" hidden="false" customHeight="false" outlineLevel="0" collapsed="false">
      <c r="I4059" s="15" t="str">
        <f aca="false">IF(A4059="","",INT(A4059))</f>
        <v/>
      </c>
      <c r="J4059" s="16" t="str">
        <f aca="false">IF(B4059="","",IF(A4059=_xlfn.MINIFS($A$2:$A$5001,$B$2:$B$5001,B4059),1,0))</f>
        <v/>
      </c>
      <c r="K4059" s="16" t="str">
        <f aca="false">IF(B4059="","",IF(AND(D4059="Formalização",E4059="Concluído"),IF(COUNTIFS($B$2:$B$5001,B4059,$E$2:$E$5001,"Em ajustes",$A$2:$A$5001,"&lt;"&amp;I4059)&gt;0,1,0),0))</f>
        <v/>
      </c>
      <c r="L4059" s="16" t="str">
        <f aca="false">IF(B4059="","",IF(A4059=_xlfn.MAXIFS($A$2:$A$5001,$B$2:$B$5001,B4059,$I$2:$I$5001,I4059),1,0))</f>
        <v/>
      </c>
    </row>
    <row r="4060" customFormat="false" ht="15" hidden="false" customHeight="false" outlineLevel="0" collapsed="false">
      <c r="I4060" s="15" t="str">
        <f aca="false">IF(A4060="","",INT(A4060))</f>
        <v/>
      </c>
      <c r="J4060" s="16" t="str">
        <f aca="false">IF(B4060="","",IF(A4060=_xlfn.MINIFS($A$2:$A$5001,$B$2:$B$5001,B4060),1,0))</f>
        <v/>
      </c>
      <c r="K4060" s="16" t="str">
        <f aca="false">IF(B4060="","",IF(AND(D4060="Formalização",E4060="Concluído"),IF(COUNTIFS($B$2:$B$5001,B4060,$E$2:$E$5001,"Em ajustes",$A$2:$A$5001,"&lt;"&amp;I4060)&gt;0,1,0),0))</f>
        <v/>
      </c>
      <c r="L4060" s="16" t="str">
        <f aca="false">IF(B4060="","",IF(A4060=_xlfn.MAXIFS($A$2:$A$5001,$B$2:$B$5001,B4060,$I$2:$I$5001,I4060),1,0))</f>
        <v/>
      </c>
    </row>
    <row r="4061" customFormat="false" ht="15" hidden="false" customHeight="false" outlineLevel="0" collapsed="false">
      <c r="I4061" s="15" t="str">
        <f aca="false">IF(A4061="","",INT(A4061))</f>
        <v/>
      </c>
      <c r="J4061" s="16" t="str">
        <f aca="false">IF(B4061="","",IF(A4061=_xlfn.MINIFS($A$2:$A$5001,$B$2:$B$5001,B4061),1,0))</f>
        <v/>
      </c>
      <c r="K4061" s="16" t="str">
        <f aca="false">IF(B4061="","",IF(AND(D4061="Formalização",E4061="Concluído"),IF(COUNTIFS($B$2:$B$5001,B4061,$E$2:$E$5001,"Em ajustes",$A$2:$A$5001,"&lt;"&amp;I4061)&gt;0,1,0),0))</f>
        <v/>
      </c>
      <c r="L4061" s="16" t="str">
        <f aca="false">IF(B4061="","",IF(A4061=_xlfn.MAXIFS($A$2:$A$5001,$B$2:$B$5001,B4061,$I$2:$I$5001,I4061),1,0))</f>
        <v/>
      </c>
    </row>
    <row r="4062" customFormat="false" ht="15" hidden="false" customHeight="false" outlineLevel="0" collapsed="false">
      <c r="I4062" s="15" t="str">
        <f aca="false">IF(A4062="","",INT(A4062))</f>
        <v/>
      </c>
      <c r="J4062" s="16" t="str">
        <f aca="false">IF(B4062="","",IF(A4062=_xlfn.MINIFS($A$2:$A$5001,$B$2:$B$5001,B4062),1,0))</f>
        <v/>
      </c>
      <c r="K4062" s="16" t="str">
        <f aca="false">IF(B4062="","",IF(AND(D4062="Formalização",E4062="Concluído"),IF(COUNTIFS($B$2:$B$5001,B4062,$E$2:$E$5001,"Em ajustes",$A$2:$A$5001,"&lt;"&amp;I4062)&gt;0,1,0),0))</f>
        <v/>
      </c>
      <c r="L4062" s="16" t="str">
        <f aca="false">IF(B4062="","",IF(A4062=_xlfn.MAXIFS($A$2:$A$5001,$B$2:$B$5001,B4062,$I$2:$I$5001,I4062),1,0))</f>
        <v/>
      </c>
    </row>
    <row r="4063" customFormat="false" ht="15" hidden="false" customHeight="false" outlineLevel="0" collapsed="false">
      <c r="I4063" s="15" t="str">
        <f aca="false">IF(A4063="","",INT(A4063))</f>
        <v/>
      </c>
      <c r="J4063" s="16" t="str">
        <f aca="false">IF(B4063="","",IF(A4063=_xlfn.MINIFS($A$2:$A$5001,$B$2:$B$5001,B4063),1,0))</f>
        <v/>
      </c>
      <c r="K4063" s="16" t="str">
        <f aca="false">IF(B4063="","",IF(AND(D4063="Formalização",E4063="Concluído"),IF(COUNTIFS($B$2:$B$5001,B4063,$E$2:$E$5001,"Em ajustes",$A$2:$A$5001,"&lt;"&amp;I4063)&gt;0,1,0),0))</f>
        <v/>
      </c>
      <c r="L4063" s="16" t="str">
        <f aca="false">IF(B4063="","",IF(A4063=_xlfn.MAXIFS($A$2:$A$5001,$B$2:$B$5001,B4063,$I$2:$I$5001,I4063),1,0))</f>
        <v/>
      </c>
    </row>
    <row r="4064" customFormat="false" ht="15" hidden="false" customHeight="false" outlineLevel="0" collapsed="false">
      <c r="I4064" s="15" t="str">
        <f aca="false">IF(A4064="","",INT(A4064))</f>
        <v/>
      </c>
      <c r="J4064" s="16" t="str">
        <f aca="false">IF(B4064="","",IF(A4064=_xlfn.MINIFS($A$2:$A$5001,$B$2:$B$5001,B4064),1,0))</f>
        <v/>
      </c>
      <c r="K4064" s="16" t="str">
        <f aca="false">IF(B4064="","",IF(AND(D4064="Formalização",E4064="Concluído"),IF(COUNTIFS($B$2:$B$5001,B4064,$E$2:$E$5001,"Em ajustes",$A$2:$A$5001,"&lt;"&amp;I4064)&gt;0,1,0),0))</f>
        <v/>
      </c>
      <c r="L4064" s="16" t="str">
        <f aca="false">IF(B4064="","",IF(A4064=_xlfn.MAXIFS($A$2:$A$5001,$B$2:$B$5001,B4064,$I$2:$I$5001,I4064),1,0))</f>
        <v/>
      </c>
    </row>
    <row r="4065" customFormat="false" ht="15" hidden="false" customHeight="false" outlineLevel="0" collapsed="false">
      <c r="I4065" s="15" t="str">
        <f aca="false">IF(A4065="","",INT(A4065))</f>
        <v/>
      </c>
      <c r="J4065" s="16" t="str">
        <f aca="false">IF(B4065="","",IF(A4065=_xlfn.MINIFS($A$2:$A$5001,$B$2:$B$5001,B4065),1,0))</f>
        <v/>
      </c>
      <c r="K4065" s="16" t="str">
        <f aca="false">IF(B4065="","",IF(AND(D4065="Formalização",E4065="Concluído"),IF(COUNTIFS($B$2:$B$5001,B4065,$E$2:$E$5001,"Em ajustes",$A$2:$A$5001,"&lt;"&amp;I4065)&gt;0,1,0),0))</f>
        <v/>
      </c>
      <c r="L4065" s="16" t="str">
        <f aca="false">IF(B4065="","",IF(A4065=_xlfn.MAXIFS($A$2:$A$5001,$B$2:$B$5001,B4065,$I$2:$I$5001,I4065),1,0))</f>
        <v/>
      </c>
    </row>
    <row r="4066" customFormat="false" ht="15" hidden="false" customHeight="false" outlineLevel="0" collapsed="false">
      <c r="I4066" s="15" t="str">
        <f aca="false">IF(A4066="","",INT(A4066))</f>
        <v/>
      </c>
      <c r="J4066" s="16" t="str">
        <f aca="false">IF(B4066="","",IF(A4066=_xlfn.MINIFS($A$2:$A$5001,$B$2:$B$5001,B4066),1,0))</f>
        <v/>
      </c>
      <c r="K4066" s="16" t="str">
        <f aca="false">IF(B4066="","",IF(AND(D4066="Formalização",E4066="Concluído"),IF(COUNTIFS($B$2:$B$5001,B4066,$E$2:$E$5001,"Em ajustes",$A$2:$A$5001,"&lt;"&amp;I4066)&gt;0,1,0),0))</f>
        <v/>
      </c>
      <c r="L4066" s="16" t="str">
        <f aca="false">IF(B4066="","",IF(A4066=_xlfn.MAXIFS($A$2:$A$5001,$B$2:$B$5001,B4066,$I$2:$I$5001,I4066),1,0))</f>
        <v/>
      </c>
    </row>
    <row r="4067" customFormat="false" ht="15" hidden="false" customHeight="false" outlineLevel="0" collapsed="false">
      <c r="I4067" s="15" t="str">
        <f aca="false">IF(A4067="","",INT(A4067))</f>
        <v/>
      </c>
      <c r="J4067" s="16" t="str">
        <f aca="false">IF(B4067="","",IF(A4067=_xlfn.MINIFS($A$2:$A$5001,$B$2:$B$5001,B4067),1,0))</f>
        <v/>
      </c>
      <c r="K4067" s="16" t="str">
        <f aca="false">IF(B4067="","",IF(AND(D4067="Formalização",E4067="Concluído"),IF(COUNTIFS($B$2:$B$5001,B4067,$E$2:$E$5001,"Em ajustes",$A$2:$A$5001,"&lt;"&amp;I4067)&gt;0,1,0),0))</f>
        <v/>
      </c>
      <c r="L4067" s="16" t="str">
        <f aca="false">IF(B4067="","",IF(A4067=_xlfn.MAXIFS($A$2:$A$5001,$B$2:$B$5001,B4067,$I$2:$I$5001,I4067),1,0))</f>
        <v/>
      </c>
    </row>
    <row r="4068" customFormat="false" ht="15" hidden="false" customHeight="false" outlineLevel="0" collapsed="false">
      <c r="I4068" s="15" t="str">
        <f aca="false">IF(A4068="","",INT(A4068))</f>
        <v/>
      </c>
      <c r="J4068" s="16" t="str">
        <f aca="false">IF(B4068="","",IF(A4068=_xlfn.MINIFS($A$2:$A$5001,$B$2:$B$5001,B4068),1,0))</f>
        <v/>
      </c>
      <c r="K4068" s="16" t="str">
        <f aca="false">IF(B4068="","",IF(AND(D4068="Formalização",E4068="Concluído"),IF(COUNTIFS($B$2:$B$5001,B4068,$E$2:$E$5001,"Em ajustes",$A$2:$A$5001,"&lt;"&amp;I4068)&gt;0,1,0),0))</f>
        <v/>
      </c>
      <c r="L4068" s="16" t="str">
        <f aca="false">IF(B4068="","",IF(A4068=_xlfn.MAXIFS($A$2:$A$5001,$B$2:$B$5001,B4068,$I$2:$I$5001,I4068),1,0))</f>
        <v/>
      </c>
    </row>
    <row r="4069" customFormat="false" ht="15" hidden="false" customHeight="false" outlineLevel="0" collapsed="false">
      <c r="I4069" s="15" t="str">
        <f aca="false">IF(A4069="","",INT(A4069))</f>
        <v/>
      </c>
      <c r="J4069" s="16" t="str">
        <f aca="false">IF(B4069="","",IF(A4069=_xlfn.MINIFS($A$2:$A$5001,$B$2:$B$5001,B4069),1,0))</f>
        <v/>
      </c>
      <c r="K4069" s="16" t="str">
        <f aca="false">IF(B4069="","",IF(AND(D4069="Formalização",E4069="Concluído"),IF(COUNTIFS($B$2:$B$5001,B4069,$E$2:$E$5001,"Em ajustes",$A$2:$A$5001,"&lt;"&amp;I4069)&gt;0,1,0),0))</f>
        <v/>
      </c>
      <c r="L4069" s="16" t="str">
        <f aca="false">IF(B4069="","",IF(A4069=_xlfn.MAXIFS($A$2:$A$5001,$B$2:$B$5001,B4069,$I$2:$I$5001,I4069),1,0))</f>
        <v/>
      </c>
    </row>
    <row r="4070" customFormat="false" ht="15" hidden="false" customHeight="false" outlineLevel="0" collapsed="false">
      <c r="I4070" s="15" t="str">
        <f aca="false">IF(A4070="","",INT(A4070))</f>
        <v/>
      </c>
      <c r="J4070" s="16" t="str">
        <f aca="false">IF(B4070="","",IF(A4070=_xlfn.MINIFS($A$2:$A$5001,$B$2:$B$5001,B4070),1,0))</f>
        <v/>
      </c>
      <c r="K4070" s="16" t="str">
        <f aca="false">IF(B4070="","",IF(AND(D4070="Formalização",E4070="Concluído"),IF(COUNTIFS($B$2:$B$5001,B4070,$E$2:$E$5001,"Em ajustes",$A$2:$A$5001,"&lt;"&amp;I4070)&gt;0,1,0),0))</f>
        <v/>
      </c>
      <c r="L4070" s="16" t="str">
        <f aca="false">IF(B4070="","",IF(A4070=_xlfn.MAXIFS($A$2:$A$5001,$B$2:$B$5001,B4070,$I$2:$I$5001,I4070),1,0))</f>
        <v/>
      </c>
    </row>
    <row r="4071" customFormat="false" ht="15" hidden="false" customHeight="false" outlineLevel="0" collapsed="false">
      <c r="I4071" s="15" t="str">
        <f aca="false">IF(A4071="","",INT(A4071))</f>
        <v/>
      </c>
      <c r="J4071" s="16" t="str">
        <f aca="false">IF(B4071="","",IF(A4071=_xlfn.MINIFS($A$2:$A$5001,$B$2:$B$5001,B4071),1,0))</f>
        <v/>
      </c>
      <c r="K4071" s="16" t="str">
        <f aca="false">IF(B4071="","",IF(AND(D4071="Formalização",E4071="Concluído"),IF(COUNTIFS($B$2:$B$5001,B4071,$E$2:$E$5001,"Em ajustes",$A$2:$A$5001,"&lt;"&amp;I4071)&gt;0,1,0),0))</f>
        <v/>
      </c>
      <c r="L4071" s="16" t="str">
        <f aca="false">IF(B4071="","",IF(A4071=_xlfn.MAXIFS($A$2:$A$5001,$B$2:$B$5001,B4071,$I$2:$I$5001,I4071),1,0))</f>
        <v/>
      </c>
    </row>
    <row r="4072" customFormat="false" ht="15" hidden="false" customHeight="false" outlineLevel="0" collapsed="false">
      <c r="I4072" s="15" t="str">
        <f aca="false">IF(A4072="","",INT(A4072))</f>
        <v/>
      </c>
      <c r="J4072" s="16" t="str">
        <f aca="false">IF(B4072="","",IF(A4072=_xlfn.MINIFS($A$2:$A$5001,$B$2:$B$5001,B4072),1,0))</f>
        <v/>
      </c>
      <c r="K4072" s="16" t="str">
        <f aca="false">IF(B4072="","",IF(AND(D4072="Formalização",E4072="Concluído"),IF(COUNTIFS($B$2:$B$5001,B4072,$E$2:$E$5001,"Em ajustes",$A$2:$A$5001,"&lt;"&amp;I4072)&gt;0,1,0),0))</f>
        <v/>
      </c>
      <c r="L4072" s="16" t="str">
        <f aca="false">IF(B4072="","",IF(A4072=_xlfn.MAXIFS($A$2:$A$5001,$B$2:$B$5001,B4072,$I$2:$I$5001,I4072),1,0))</f>
        <v/>
      </c>
    </row>
    <row r="4073" customFormat="false" ht="15" hidden="false" customHeight="false" outlineLevel="0" collapsed="false">
      <c r="I4073" s="15" t="str">
        <f aca="false">IF(A4073="","",INT(A4073))</f>
        <v/>
      </c>
      <c r="J4073" s="16" t="str">
        <f aca="false">IF(B4073="","",IF(A4073=_xlfn.MINIFS($A$2:$A$5001,$B$2:$B$5001,B4073),1,0))</f>
        <v/>
      </c>
      <c r="K4073" s="16" t="str">
        <f aca="false">IF(B4073="","",IF(AND(D4073="Formalização",E4073="Concluído"),IF(COUNTIFS($B$2:$B$5001,B4073,$E$2:$E$5001,"Em ajustes",$A$2:$A$5001,"&lt;"&amp;I4073)&gt;0,1,0),0))</f>
        <v/>
      </c>
      <c r="L4073" s="16" t="str">
        <f aca="false">IF(B4073="","",IF(A4073=_xlfn.MAXIFS($A$2:$A$5001,$B$2:$B$5001,B4073,$I$2:$I$5001,I4073),1,0))</f>
        <v/>
      </c>
    </row>
    <row r="4074" customFormat="false" ht="15" hidden="false" customHeight="false" outlineLevel="0" collapsed="false">
      <c r="I4074" s="15" t="str">
        <f aca="false">IF(A4074="","",INT(A4074))</f>
        <v/>
      </c>
      <c r="J4074" s="16" t="str">
        <f aca="false">IF(B4074="","",IF(A4074=_xlfn.MINIFS($A$2:$A$5001,$B$2:$B$5001,B4074),1,0))</f>
        <v/>
      </c>
      <c r="K4074" s="16" t="str">
        <f aca="false">IF(B4074="","",IF(AND(D4074="Formalização",E4074="Concluído"),IF(COUNTIFS($B$2:$B$5001,B4074,$E$2:$E$5001,"Em ajustes",$A$2:$A$5001,"&lt;"&amp;I4074)&gt;0,1,0),0))</f>
        <v/>
      </c>
      <c r="L4074" s="16" t="str">
        <f aca="false">IF(B4074="","",IF(A4074=_xlfn.MAXIFS($A$2:$A$5001,$B$2:$B$5001,B4074,$I$2:$I$5001,I4074),1,0))</f>
        <v/>
      </c>
    </row>
    <row r="4075" customFormat="false" ht="15" hidden="false" customHeight="false" outlineLevel="0" collapsed="false">
      <c r="I4075" s="15" t="str">
        <f aca="false">IF(A4075="","",INT(A4075))</f>
        <v/>
      </c>
      <c r="J4075" s="16" t="str">
        <f aca="false">IF(B4075="","",IF(A4075=_xlfn.MINIFS($A$2:$A$5001,$B$2:$B$5001,B4075),1,0))</f>
        <v/>
      </c>
      <c r="K4075" s="16" t="str">
        <f aca="false">IF(B4075="","",IF(AND(D4075="Formalização",E4075="Concluído"),IF(COUNTIFS($B$2:$B$5001,B4075,$E$2:$E$5001,"Em ajustes",$A$2:$A$5001,"&lt;"&amp;I4075)&gt;0,1,0),0))</f>
        <v/>
      </c>
      <c r="L4075" s="16" t="str">
        <f aca="false">IF(B4075="","",IF(A4075=_xlfn.MAXIFS($A$2:$A$5001,$B$2:$B$5001,B4075,$I$2:$I$5001,I4075),1,0))</f>
        <v/>
      </c>
    </row>
    <row r="4076" customFormat="false" ht="15" hidden="false" customHeight="false" outlineLevel="0" collapsed="false">
      <c r="I4076" s="15" t="str">
        <f aca="false">IF(A4076="","",INT(A4076))</f>
        <v/>
      </c>
      <c r="J4076" s="16" t="str">
        <f aca="false">IF(B4076="","",IF(A4076=_xlfn.MINIFS($A$2:$A$5001,$B$2:$B$5001,B4076),1,0))</f>
        <v/>
      </c>
      <c r="K4076" s="16" t="str">
        <f aca="false">IF(B4076="","",IF(AND(D4076="Formalização",E4076="Concluído"),IF(COUNTIFS($B$2:$B$5001,B4076,$E$2:$E$5001,"Em ajustes",$A$2:$A$5001,"&lt;"&amp;I4076)&gt;0,1,0),0))</f>
        <v/>
      </c>
      <c r="L4076" s="16" t="str">
        <f aca="false">IF(B4076="","",IF(A4076=_xlfn.MAXIFS($A$2:$A$5001,$B$2:$B$5001,B4076,$I$2:$I$5001,I4076),1,0))</f>
        <v/>
      </c>
    </row>
    <row r="4077" customFormat="false" ht="15" hidden="false" customHeight="false" outlineLevel="0" collapsed="false">
      <c r="I4077" s="15" t="str">
        <f aca="false">IF(A4077="","",INT(A4077))</f>
        <v/>
      </c>
      <c r="J4077" s="16" t="str">
        <f aca="false">IF(B4077="","",IF(A4077=_xlfn.MINIFS($A$2:$A$5001,$B$2:$B$5001,B4077),1,0))</f>
        <v/>
      </c>
      <c r="K4077" s="16" t="str">
        <f aca="false">IF(B4077="","",IF(AND(D4077="Formalização",E4077="Concluído"),IF(COUNTIFS($B$2:$B$5001,B4077,$E$2:$E$5001,"Em ajustes",$A$2:$A$5001,"&lt;"&amp;I4077)&gt;0,1,0),0))</f>
        <v/>
      </c>
      <c r="L4077" s="16" t="str">
        <f aca="false">IF(B4077="","",IF(A4077=_xlfn.MAXIFS($A$2:$A$5001,$B$2:$B$5001,B4077,$I$2:$I$5001,I4077),1,0))</f>
        <v/>
      </c>
    </row>
    <row r="4078" customFormat="false" ht="15" hidden="false" customHeight="false" outlineLevel="0" collapsed="false">
      <c r="I4078" s="15" t="str">
        <f aca="false">IF(A4078="","",INT(A4078))</f>
        <v/>
      </c>
      <c r="J4078" s="16" t="str">
        <f aca="false">IF(B4078="","",IF(A4078=_xlfn.MINIFS($A$2:$A$5001,$B$2:$B$5001,B4078),1,0))</f>
        <v/>
      </c>
      <c r="K4078" s="16" t="str">
        <f aca="false">IF(B4078="","",IF(AND(D4078="Formalização",E4078="Concluído"),IF(COUNTIFS($B$2:$B$5001,B4078,$E$2:$E$5001,"Em ajustes",$A$2:$A$5001,"&lt;"&amp;I4078)&gt;0,1,0),0))</f>
        <v/>
      </c>
      <c r="L4078" s="16" t="str">
        <f aca="false">IF(B4078="","",IF(A4078=_xlfn.MAXIFS($A$2:$A$5001,$B$2:$B$5001,B4078,$I$2:$I$5001,I4078),1,0))</f>
        <v/>
      </c>
    </row>
    <row r="4079" customFormat="false" ht="15" hidden="false" customHeight="false" outlineLevel="0" collapsed="false">
      <c r="I4079" s="15" t="str">
        <f aca="false">IF(A4079="","",INT(A4079))</f>
        <v/>
      </c>
      <c r="J4079" s="16" t="str">
        <f aca="false">IF(B4079="","",IF(A4079=_xlfn.MINIFS($A$2:$A$5001,$B$2:$B$5001,B4079),1,0))</f>
        <v/>
      </c>
      <c r="K4079" s="16" t="str">
        <f aca="false">IF(B4079="","",IF(AND(D4079="Formalização",E4079="Concluído"),IF(COUNTIFS($B$2:$B$5001,B4079,$E$2:$E$5001,"Em ajustes",$A$2:$A$5001,"&lt;"&amp;I4079)&gt;0,1,0),0))</f>
        <v/>
      </c>
      <c r="L4079" s="16" t="str">
        <f aca="false">IF(B4079="","",IF(A4079=_xlfn.MAXIFS($A$2:$A$5001,$B$2:$B$5001,B4079,$I$2:$I$5001,I4079),1,0))</f>
        <v/>
      </c>
    </row>
    <row r="4080" customFormat="false" ht="15" hidden="false" customHeight="false" outlineLevel="0" collapsed="false">
      <c r="I4080" s="15" t="str">
        <f aca="false">IF(A4080="","",INT(A4080))</f>
        <v/>
      </c>
      <c r="J4080" s="16" t="str">
        <f aca="false">IF(B4080="","",IF(A4080=_xlfn.MINIFS($A$2:$A$5001,$B$2:$B$5001,B4080),1,0))</f>
        <v/>
      </c>
      <c r="K4080" s="16" t="str">
        <f aca="false">IF(B4080="","",IF(AND(D4080="Formalização",E4080="Concluído"),IF(COUNTIFS($B$2:$B$5001,B4080,$E$2:$E$5001,"Em ajustes",$A$2:$A$5001,"&lt;"&amp;I4080)&gt;0,1,0),0))</f>
        <v/>
      </c>
      <c r="L4080" s="16" t="str">
        <f aca="false">IF(B4080="","",IF(A4080=_xlfn.MAXIFS($A$2:$A$5001,$B$2:$B$5001,B4080,$I$2:$I$5001,I4080),1,0))</f>
        <v/>
      </c>
    </row>
    <row r="4081" customFormat="false" ht="15" hidden="false" customHeight="false" outlineLevel="0" collapsed="false">
      <c r="I4081" s="15" t="str">
        <f aca="false">IF(A4081="","",INT(A4081))</f>
        <v/>
      </c>
      <c r="J4081" s="16" t="str">
        <f aca="false">IF(B4081="","",IF(A4081=_xlfn.MINIFS($A$2:$A$5001,$B$2:$B$5001,B4081),1,0))</f>
        <v/>
      </c>
      <c r="K4081" s="16" t="str">
        <f aca="false">IF(B4081="","",IF(AND(D4081="Formalização",E4081="Concluído"),IF(COUNTIFS($B$2:$B$5001,B4081,$E$2:$E$5001,"Em ajustes",$A$2:$A$5001,"&lt;"&amp;I4081)&gt;0,1,0),0))</f>
        <v/>
      </c>
      <c r="L4081" s="16" t="str">
        <f aca="false">IF(B4081="","",IF(A4081=_xlfn.MAXIFS($A$2:$A$5001,$B$2:$B$5001,B4081,$I$2:$I$5001,I4081),1,0))</f>
        <v/>
      </c>
    </row>
    <row r="4082" customFormat="false" ht="15" hidden="false" customHeight="false" outlineLevel="0" collapsed="false">
      <c r="I4082" s="15" t="str">
        <f aca="false">IF(A4082="","",INT(A4082))</f>
        <v/>
      </c>
      <c r="J4082" s="16" t="str">
        <f aca="false">IF(B4082="","",IF(A4082=_xlfn.MINIFS($A$2:$A$5001,$B$2:$B$5001,B4082),1,0))</f>
        <v/>
      </c>
      <c r="K4082" s="16" t="str">
        <f aca="false">IF(B4082="","",IF(AND(D4082="Formalização",E4082="Concluído"),IF(COUNTIFS($B$2:$B$5001,B4082,$E$2:$E$5001,"Em ajustes",$A$2:$A$5001,"&lt;"&amp;I4082)&gt;0,1,0),0))</f>
        <v/>
      </c>
      <c r="L4082" s="16" t="str">
        <f aca="false">IF(B4082="","",IF(A4082=_xlfn.MAXIFS($A$2:$A$5001,$B$2:$B$5001,B4082,$I$2:$I$5001,I4082),1,0))</f>
        <v/>
      </c>
    </row>
    <row r="4083" customFormat="false" ht="15" hidden="false" customHeight="false" outlineLevel="0" collapsed="false">
      <c r="I4083" s="15" t="str">
        <f aca="false">IF(A4083="","",INT(A4083))</f>
        <v/>
      </c>
      <c r="J4083" s="16" t="str">
        <f aca="false">IF(B4083="","",IF(A4083=_xlfn.MINIFS($A$2:$A$5001,$B$2:$B$5001,B4083),1,0))</f>
        <v/>
      </c>
      <c r="K4083" s="16" t="str">
        <f aca="false">IF(B4083="","",IF(AND(D4083="Formalização",E4083="Concluído"),IF(COUNTIFS($B$2:$B$5001,B4083,$E$2:$E$5001,"Em ajustes",$A$2:$A$5001,"&lt;"&amp;I4083)&gt;0,1,0),0))</f>
        <v/>
      </c>
      <c r="L4083" s="16" t="str">
        <f aca="false">IF(B4083="","",IF(A4083=_xlfn.MAXIFS($A$2:$A$5001,$B$2:$B$5001,B4083,$I$2:$I$5001,I4083),1,0))</f>
        <v/>
      </c>
    </row>
    <row r="4084" customFormat="false" ht="15" hidden="false" customHeight="false" outlineLevel="0" collapsed="false">
      <c r="I4084" s="15" t="str">
        <f aca="false">IF(A4084="","",INT(A4084))</f>
        <v/>
      </c>
      <c r="J4084" s="16" t="str">
        <f aca="false">IF(B4084="","",IF(A4084=_xlfn.MINIFS($A$2:$A$5001,$B$2:$B$5001,B4084),1,0))</f>
        <v/>
      </c>
      <c r="K4084" s="16" t="str">
        <f aca="false">IF(B4084="","",IF(AND(D4084="Formalização",E4084="Concluído"),IF(COUNTIFS($B$2:$B$5001,B4084,$E$2:$E$5001,"Em ajustes",$A$2:$A$5001,"&lt;"&amp;I4084)&gt;0,1,0),0))</f>
        <v/>
      </c>
      <c r="L4084" s="16" t="str">
        <f aca="false">IF(B4084="","",IF(A4084=_xlfn.MAXIFS($A$2:$A$5001,$B$2:$B$5001,B4084,$I$2:$I$5001,I4084),1,0))</f>
        <v/>
      </c>
    </row>
    <row r="4085" customFormat="false" ht="15" hidden="false" customHeight="false" outlineLevel="0" collapsed="false">
      <c r="I4085" s="15" t="str">
        <f aca="false">IF(A4085="","",INT(A4085))</f>
        <v/>
      </c>
      <c r="J4085" s="16" t="str">
        <f aca="false">IF(B4085="","",IF(A4085=_xlfn.MINIFS($A$2:$A$5001,$B$2:$B$5001,B4085),1,0))</f>
        <v/>
      </c>
      <c r="K4085" s="16" t="str">
        <f aca="false">IF(B4085="","",IF(AND(D4085="Formalização",E4085="Concluído"),IF(COUNTIFS($B$2:$B$5001,B4085,$E$2:$E$5001,"Em ajustes",$A$2:$A$5001,"&lt;"&amp;I4085)&gt;0,1,0),0))</f>
        <v/>
      </c>
      <c r="L4085" s="16" t="str">
        <f aca="false">IF(B4085="","",IF(A4085=_xlfn.MAXIFS($A$2:$A$5001,$B$2:$B$5001,B4085,$I$2:$I$5001,I4085),1,0))</f>
        <v/>
      </c>
    </row>
    <row r="4086" customFormat="false" ht="15" hidden="false" customHeight="false" outlineLevel="0" collapsed="false">
      <c r="I4086" s="15" t="str">
        <f aca="false">IF(A4086="","",INT(A4086))</f>
        <v/>
      </c>
      <c r="J4086" s="16" t="str">
        <f aca="false">IF(B4086="","",IF(A4086=_xlfn.MINIFS($A$2:$A$5001,$B$2:$B$5001,B4086),1,0))</f>
        <v/>
      </c>
      <c r="K4086" s="16" t="str">
        <f aca="false">IF(B4086="","",IF(AND(D4086="Formalização",E4086="Concluído"),IF(COUNTIFS($B$2:$B$5001,B4086,$E$2:$E$5001,"Em ajustes",$A$2:$A$5001,"&lt;"&amp;I4086)&gt;0,1,0),0))</f>
        <v/>
      </c>
      <c r="L4086" s="16" t="str">
        <f aca="false">IF(B4086="","",IF(A4086=_xlfn.MAXIFS($A$2:$A$5001,$B$2:$B$5001,B4086,$I$2:$I$5001,I4086),1,0))</f>
        <v/>
      </c>
    </row>
    <row r="4087" customFormat="false" ht="15" hidden="false" customHeight="false" outlineLevel="0" collapsed="false">
      <c r="I4087" s="15" t="str">
        <f aca="false">IF(A4087="","",INT(A4087))</f>
        <v/>
      </c>
      <c r="J4087" s="16" t="str">
        <f aca="false">IF(B4087="","",IF(A4087=_xlfn.MINIFS($A$2:$A$5001,$B$2:$B$5001,B4087),1,0))</f>
        <v/>
      </c>
      <c r="K4087" s="16" t="str">
        <f aca="false">IF(B4087="","",IF(AND(D4087="Formalização",E4087="Concluído"),IF(COUNTIFS($B$2:$B$5001,B4087,$E$2:$E$5001,"Em ajustes",$A$2:$A$5001,"&lt;"&amp;I4087)&gt;0,1,0),0))</f>
        <v/>
      </c>
      <c r="L4087" s="16" t="str">
        <f aca="false">IF(B4087="","",IF(A4087=_xlfn.MAXIFS($A$2:$A$5001,$B$2:$B$5001,B4087,$I$2:$I$5001,I4087),1,0))</f>
        <v/>
      </c>
    </row>
    <row r="4088" customFormat="false" ht="15" hidden="false" customHeight="false" outlineLevel="0" collapsed="false">
      <c r="I4088" s="15" t="str">
        <f aca="false">IF(A4088="","",INT(A4088))</f>
        <v/>
      </c>
      <c r="J4088" s="16" t="str">
        <f aca="false">IF(B4088="","",IF(A4088=_xlfn.MINIFS($A$2:$A$5001,$B$2:$B$5001,B4088),1,0))</f>
        <v/>
      </c>
      <c r="K4088" s="16" t="str">
        <f aca="false">IF(B4088="","",IF(AND(D4088="Formalização",E4088="Concluído"),IF(COUNTIFS($B$2:$B$5001,B4088,$E$2:$E$5001,"Em ajustes",$A$2:$A$5001,"&lt;"&amp;I4088)&gt;0,1,0),0))</f>
        <v/>
      </c>
      <c r="L4088" s="16" t="str">
        <f aca="false">IF(B4088="","",IF(A4088=_xlfn.MAXIFS($A$2:$A$5001,$B$2:$B$5001,B4088,$I$2:$I$5001,I4088),1,0))</f>
        <v/>
      </c>
    </row>
    <row r="4089" customFormat="false" ht="15" hidden="false" customHeight="false" outlineLevel="0" collapsed="false">
      <c r="I4089" s="15" t="str">
        <f aca="false">IF(A4089="","",INT(A4089))</f>
        <v/>
      </c>
      <c r="J4089" s="16" t="str">
        <f aca="false">IF(B4089="","",IF(A4089=_xlfn.MINIFS($A$2:$A$5001,$B$2:$B$5001,B4089),1,0))</f>
        <v/>
      </c>
      <c r="K4089" s="16" t="str">
        <f aca="false">IF(B4089="","",IF(AND(D4089="Formalização",E4089="Concluído"),IF(COUNTIFS($B$2:$B$5001,B4089,$E$2:$E$5001,"Em ajustes",$A$2:$A$5001,"&lt;"&amp;I4089)&gt;0,1,0),0))</f>
        <v/>
      </c>
      <c r="L4089" s="16" t="str">
        <f aca="false">IF(B4089="","",IF(A4089=_xlfn.MAXIFS($A$2:$A$5001,$B$2:$B$5001,B4089,$I$2:$I$5001,I4089),1,0))</f>
        <v/>
      </c>
    </row>
    <row r="4090" customFormat="false" ht="15" hidden="false" customHeight="false" outlineLevel="0" collapsed="false">
      <c r="I4090" s="15" t="str">
        <f aca="false">IF(A4090="","",INT(A4090))</f>
        <v/>
      </c>
      <c r="J4090" s="16" t="str">
        <f aca="false">IF(B4090="","",IF(A4090=_xlfn.MINIFS($A$2:$A$5001,$B$2:$B$5001,B4090),1,0))</f>
        <v/>
      </c>
      <c r="K4090" s="16" t="str">
        <f aca="false">IF(B4090="","",IF(AND(D4090="Formalização",E4090="Concluído"),IF(COUNTIFS($B$2:$B$5001,B4090,$E$2:$E$5001,"Em ajustes",$A$2:$A$5001,"&lt;"&amp;I4090)&gt;0,1,0),0))</f>
        <v/>
      </c>
      <c r="L4090" s="16" t="str">
        <f aca="false">IF(B4090="","",IF(A4090=_xlfn.MAXIFS($A$2:$A$5001,$B$2:$B$5001,B4090,$I$2:$I$5001,I4090),1,0))</f>
        <v/>
      </c>
    </row>
    <row r="4091" customFormat="false" ht="15" hidden="false" customHeight="false" outlineLevel="0" collapsed="false">
      <c r="I4091" s="15" t="str">
        <f aca="false">IF(A4091="","",INT(A4091))</f>
        <v/>
      </c>
      <c r="J4091" s="16" t="str">
        <f aca="false">IF(B4091="","",IF(A4091=_xlfn.MINIFS($A$2:$A$5001,$B$2:$B$5001,B4091),1,0))</f>
        <v/>
      </c>
      <c r="K4091" s="16" t="str">
        <f aca="false">IF(B4091="","",IF(AND(D4091="Formalização",E4091="Concluído"),IF(COUNTIFS($B$2:$B$5001,B4091,$E$2:$E$5001,"Em ajustes",$A$2:$A$5001,"&lt;"&amp;I4091)&gt;0,1,0),0))</f>
        <v/>
      </c>
      <c r="L4091" s="16" t="str">
        <f aca="false">IF(B4091="","",IF(A4091=_xlfn.MAXIFS($A$2:$A$5001,$B$2:$B$5001,B4091,$I$2:$I$5001,I4091),1,0))</f>
        <v/>
      </c>
    </row>
    <row r="4092" customFormat="false" ht="15" hidden="false" customHeight="false" outlineLevel="0" collapsed="false">
      <c r="I4092" s="15" t="str">
        <f aca="false">IF(A4092="","",INT(A4092))</f>
        <v/>
      </c>
      <c r="J4092" s="16" t="str">
        <f aca="false">IF(B4092="","",IF(A4092=_xlfn.MINIFS($A$2:$A$5001,$B$2:$B$5001,B4092),1,0))</f>
        <v/>
      </c>
      <c r="K4092" s="16" t="str">
        <f aca="false">IF(B4092="","",IF(AND(D4092="Formalização",E4092="Concluído"),IF(COUNTIFS($B$2:$B$5001,B4092,$E$2:$E$5001,"Em ajustes",$A$2:$A$5001,"&lt;"&amp;I4092)&gt;0,1,0),0))</f>
        <v/>
      </c>
      <c r="L4092" s="16" t="str">
        <f aca="false">IF(B4092="","",IF(A4092=_xlfn.MAXIFS($A$2:$A$5001,$B$2:$B$5001,B4092,$I$2:$I$5001,I4092),1,0))</f>
        <v/>
      </c>
    </row>
    <row r="4093" customFormat="false" ht="15" hidden="false" customHeight="false" outlineLevel="0" collapsed="false">
      <c r="I4093" s="15" t="str">
        <f aca="false">IF(A4093="","",INT(A4093))</f>
        <v/>
      </c>
      <c r="J4093" s="16" t="str">
        <f aca="false">IF(B4093="","",IF(A4093=_xlfn.MINIFS($A$2:$A$5001,$B$2:$B$5001,B4093),1,0))</f>
        <v/>
      </c>
      <c r="K4093" s="16" t="str">
        <f aca="false">IF(B4093="","",IF(AND(D4093="Formalização",E4093="Concluído"),IF(COUNTIFS($B$2:$B$5001,B4093,$E$2:$E$5001,"Em ajustes",$A$2:$A$5001,"&lt;"&amp;I4093)&gt;0,1,0),0))</f>
        <v/>
      </c>
      <c r="L4093" s="16" t="str">
        <f aca="false">IF(B4093="","",IF(A4093=_xlfn.MAXIFS($A$2:$A$5001,$B$2:$B$5001,B4093,$I$2:$I$5001,I4093),1,0))</f>
        <v/>
      </c>
    </row>
    <row r="4094" customFormat="false" ht="15" hidden="false" customHeight="false" outlineLevel="0" collapsed="false">
      <c r="I4094" s="15" t="str">
        <f aca="false">IF(A4094="","",INT(A4094))</f>
        <v/>
      </c>
      <c r="J4094" s="16" t="str">
        <f aca="false">IF(B4094="","",IF(A4094=_xlfn.MINIFS($A$2:$A$5001,$B$2:$B$5001,B4094),1,0))</f>
        <v/>
      </c>
      <c r="K4094" s="16" t="str">
        <f aca="false">IF(B4094="","",IF(AND(D4094="Formalização",E4094="Concluído"),IF(COUNTIFS($B$2:$B$5001,B4094,$E$2:$E$5001,"Em ajustes",$A$2:$A$5001,"&lt;"&amp;I4094)&gt;0,1,0),0))</f>
        <v/>
      </c>
      <c r="L4094" s="16" t="str">
        <f aca="false">IF(B4094="","",IF(A4094=_xlfn.MAXIFS($A$2:$A$5001,$B$2:$B$5001,B4094,$I$2:$I$5001,I4094),1,0))</f>
        <v/>
      </c>
    </row>
    <row r="4095" customFormat="false" ht="15" hidden="false" customHeight="false" outlineLevel="0" collapsed="false">
      <c r="I4095" s="15" t="str">
        <f aca="false">IF(A4095="","",INT(A4095))</f>
        <v/>
      </c>
      <c r="J4095" s="16" t="str">
        <f aca="false">IF(B4095="","",IF(A4095=_xlfn.MINIFS($A$2:$A$5001,$B$2:$B$5001,B4095),1,0))</f>
        <v/>
      </c>
      <c r="K4095" s="16" t="str">
        <f aca="false">IF(B4095="","",IF(AND(D4095="Formalização",E4095="Concluído"),IF(COUNTIFS($B$2:$B$5001,B4095,$E$2:$E$5001,"Em ajustes",$A$2:$A$5001,"&lt;"&amp;I4095)&gt;0,1,0),0))</f>
        <v/>
      </c>
      <c r="L4095" s="16" t="str">
        <f aca="false">IF(B4095="","",IF(A4095=_xlfn.MAXIFS($A$2:$A$5001,$B$2:$B$5001,B4095,$I$2:$I$5001,I4095),1,0))</f>
        <v/>
      </c>
    </row>
    <row r="4096" customFormat="false" ht="15" hidden="false" customHeight="false" outlineLevel="0" collapsed="false">
      <c r="I4096" s="15" t="str">
        <f aca="false">IF(A4096="","",INT(A4096))</f>
        <v/>
      </c>
      <c r="J4096" s="16" t="str">
        <f aca="false">IF(B4096="","",IF(A4096=_xlfn.MINIFS($A$2:$A$5001,$B$2:$B$5001,B4096),1,0))</f>
        <v/>
      </c>
      <c r="K4096" s="16" t="str">
        <f aca="false">IF(B4096="","",IF(AND(D4096="Formalização",E4096="Concluído"),IF(COUNTIFS($B$2:$B$5001,B4096,$E$2:$E$5001,"Em ajustes",$A$2:$A$5001,"&lt;"&amp;I4096)&gt;0,1,0),0))</f>
        <v/>
      </c>
      <c r="L4096" s="16" t="str">
        <f aca="false">IF(B4096="","",IF(A4096=_xlfn.MAXIFS($A$2:$A$5001,$B$2:$B$5001,B4096,$I$2:$I$5001,I4096),1,0))</f>
        <v/>
      </c>
    </row>
    <row r="4097" customFormat="false" ht="15" hidden="false" customHeight="false" outlineLevel="0" collapsed="false">
      <c r="I4097" s="15" t="str">
        <f aca="false">IF(A4097="","",INT(A4097))</f>
        <v/>
      </c>
      <c r="J4097" s="16" t="str">
        <f aca="false">IF(B4097="","",IF(A4097=_xlfn.MINIFS($A$2:$A$5001,$B$2:$B$5001,B4097),1,0))</f>
        <v/>
      </c>
      <c r="K4097" s="16" t="str">
        <f aca="false">IF(B4097="","",IF(AND(D4097="Formalização",E4097="Concluído"),IF(COUNTIFS($B$2:$B$5001,B4097,$E$2:$E$5001,"Em ajustes",$A$2:$A$5001,"&lt;"&amp;I4097)&gt;0,1,0),0))</f>
        <v/>
      </c>
      <c r="L4097" s="16" t="str">
        <f aca="false">IF(B4097="","",IF(A4097=_xlfn.MAXIFS($A$2:$A$5001,$B$2:$B$5001,B4097,$I$2:$I$5001,I4097),1,0))</f>
        <v/>
      </c>
    </row>
    <row r="4098" customFormat="false" ht="15" hidden="false" customHeight="false" outlineLevel="0" collapsed="false">
      <c r="I4098" s="15" t="str">
        <f aca="false">IF(A4098="","",INT(A4098))</f>
        <v/>
      </c>
      <c r="J4098" s="16" t="str">
        <f aca="false">IF(B4098="","",IF(A4098=_xlfn.MINIFS($A$2:$A$5001,$B$2:$B$5001,B4098),1,0))</f>
        <v/>
      </c>
      <c r="K4098" s="16" t="str">
        <f aca="false">IF(B4098="","",IF(AND(D4098="Formalização",E4098="Concluído"),IF(COUNTIFS($B$2:$B$5001,B4098,$E$2:$E$5001,"Em ajustes",$A$2:$A$5001,"&lt;"&amp;I4098)&gt;0,1,0),0))</f>
        <v/>
      </c>
      <c r="L4098" s="16" t="str">
        <f aca="false">IF(B4098="","",IF(A4098=_xlfn.MAXIFS($A$2:$A$5001,$B$2:$B$5001,B4098,$I$2:$I$5001,I4098),1,0))</f>
        <v/>
      </c>
    </row>
    <row r="4099" customFormat="false" ht="15" hidden="false" customHeight="false" outlineLevel="0" collapsed="false">
      <c r="I4099" s="15" t="str">
        <f aca="false">IF(A4099="","",INT(A4099))</f>
        <v/>
      </c>
      <c r="J4099" s="16" t="str">
        <f aca="false">IF(B4099="","",IF(A4099=_xlfn.MINIFS($A$2:$A$5001,$B$2:$B$5001,B4099),1,0))</f>
        <v/>
      </c>
      <c r="K4099" s="16" t="str">
        <f aca="false">IF(B4099="","",IF(AND(D4099="Formalização",E4099="Concluído"),IF(COUNTIFS($B$2:$B$5001,B4099,$E$2:$E$5001,"Em ajustes",$A$2:$A$5001,"&lt;"&amp;I4099)&gt;0,1,0),0))</f>
        <v/>
      </c>
      <c r="L4099" s="16" t="str">
        <f aca="false">IF(B4099="","",IF(A4099=_xlfn.MAXIFS($A$2:$A$5001,$B$2:$B$5001,B4099,$I$2:$I$5001,I4099),1,0))</f>
        <v/>
      </c>
    </row>
    <row r="4100" customFormat="false" ht="15" hidden="false" customHeight="false" outlineLevel="0" collapsed="false">
      <c r="I4100" s="15" t="str">
        <f aca="false">IF(A4100="","",INT(A4100))</f>
        <v/>
      </c>
      <c r="J4100" s="16" t="str">
        <f aca="false">IF(B4100="","",IF(A4100=_xlfn.MINIFS($A$2:$A$5001,$B$2:$B$5001,B4100),1,0))</f>
        <v/>
      </c>
      <c r="K4100" s="16" t="str">
        <f aca="false">IF(B4100="","",IF(AND(D4100="Formalização",E4100="Concluído"),IF(COUNTIFS($B$2:$B$5001,B4100,$E$2:$E$5001,"Em ajustes",$A$2:$A$5001,"&lt;"&amp;I4100)&gt;0,1,0),0))</f>
        <v/>
      </c>
      <c r="L4100" s="16" t="str">
        <f aca="false">IF(B4100="","",IF(A4100=_xlfn.MAXIFS($A$2:$A$5001,$B$2:$B$5001,B4100,$I$2:$I$5001,I4100),1,0))</f>
        <v/>
      </c>
    </row>
    <row r="4101" customFormat="false" ht="15" hidden="false" customHeight="false" outlineLevel="0" collapsed="false">
      <c r="I4101" s="15" t="str">
        <f aca="false">IF(A4101="","",INT(A4101))</f>
        <v/>
      </c>
      <c r="J4101" s="16" t="str">
        <f aca="false">IF(B4101="","",IF(A4101=_xlfn.MINIFS($A$2:$A$5001,$B$2:$B$5001,B4101),1,0))</f>
        <v/>
      </c>
      <c r="K4101" s="16" t="str">
        <f aca="false">IF(B4101="","",IF(AND(D4101="Formalização",E4101="Concluído"),IF(COUNTIFS($B$2:$B$5001,B4101,$E$2:$E$5001,"Em ajustes",$A$2:$A$5001,"&lt;"&amp;I4101)&gt;0,1,0),0))</f>
        <v/>
      </c>
      <c r="L4101" s="16" t="str">
        <f aca="false">IF(B4101="","",IF(A4101=_xlfn.MAXIFS($A$2:$A$5001,$B$2:$B$5001,B4101,$I$2:$I$5001,I4101),1,0))</f>
        <v/>
      </c>
    </row>
    <row r="4102" customFormat="false" ht="15" hidden="false" customHeight="false" outlineLevel="0" collapsed="false">
      <c r="I4102" s="15" t="str">
        <f aca="false">IF(A4102="","",INT(A4102))</f>
        <v/>
      </c>
      <c r="J4102" s="16" t="str">
        <f aca="false">IF(B4102="","",IF(A4102=_xlfn.MINIFS($A$2:$A$5001,$B$2:$B$5001,B4102),1,0))</f>
        <v/>
      </c>
      <c r="K4102" s="16" t="str">
        <f aca="false">IF(B4102="","",IF(AND(D4102="Formalização",E4102="Concluído"),IF(COUNTIFS($B$2:$B$5001,B4102,$E$2:$E$5001,"Em ajustes",$A$2:$A$5001,"&lt;"&amp;I4102)&gt;0,1,0),0))</f>
        <v/>
      </c>
      <c r="L4102" s="16" t="str">
        <f aca="false">IF(B4102="","",IF(A4102=_xlfn.MAXIFS($A$2:$A$5001,$B$2:$B$5001,B4102,$I$2:$I$5001,I4102),1,0))</f>
        <v/>
      </c>
    </row>
    <row r="4103" customFormat="false" ht="15" hidden="false" customHeight="false" outlineLevel="0" collapsed="false">
      <c r="I4103" s="15" t="str">
        <f aca="false">IF(A4103="","",INT(A4103))</f>
        <v/>
      </c>
      <c r="J4103" s="16" t="str">
        <f aca="false">IF(B4103="","",IF(A4103=_xlfn.MINIFS($A$2:$A$5001,$B$2:$B$5001,B4103),1,0))</f>
        <v/>
      </c>
      <c r="K4103" s="16" t="str">
        <f aca="false">IF(B4103="","",IF(AND(D4103="Formalização",E4103="Concluído"),IF(COUNTIFS($B$2:$B$5001,B4103,$E$2:$E$5001,"Em ajustes",$A$2:$A$5001,"&lt;"&amp;I4103)&gt;0,1,0),0))</f>
        <v/>
      </c>
      <c r="L4103" s="16" t="str">
        <f aca="false">IF(B4103="","",IF(A4103=_xlfn.MAXIFS($A$2:$A$5001,$B$2:$B$5001,B4103,$I$2:$I$5001,I4103),1,0))</f>
        <v/>
      </c>
    </row>
    <row r="4104" customFormat="false" ht="15" hidden="false" customHeight="false" outlineLevel="0" collapsed="false">
      <c r="I4104" s="15" t="str">
        <f aca="false">IF(A4104="","",INT(A4104))</f>
        <v/>
      </c>
      <c r="J4104" s="16" t="str">
        <f aca="false">IF(B4104="","",IF(A4104=_xlfn.MINIFS($A$2:$A$5001,$B$2:$B$5001,B4104),1,0))</f>
        <v/>
      </c>
      <c r="K4104" s="16" t="str">
        <f aca="false">IF(B4104="","",IF(AND(D4104="Formalização",E4104="Concluído"),IF(COUNTIFS($B$2:$B$5001,B4104,$E$2:$E$5001,"Em ajustes",$A$2:$A$5001,"&lt;"&amp;I4104)&gt;0,1,0),0))</f>
        <v/>
      </c>
      <c r="L4104" s="16" t="str">
        <f aca="false">IF(B4104="","",IF(A4104=_xlfn.MAXIFS($A$2:$A$5001,$B$2:$B$5001,B4104,$I$2:$I$5001,I4104),1,0))</f>
        <v/>
      </c>
    </row>
    <row r="4105" customFormat="false" ht="15" hidden="false" customHeight="false" outlineLevel="0" collapsed="false">
      <c r="I4105" s="15" t="str">
        <f aca="false">IF(A4105="","",INT(A4105))</f>
        <v/>
      </c>
      <c r="J4105" s="16" t="str">
        <f aca="false">IF(B4105="","",IF(A4105=_xlfn.MINIFS($A$2:$A$5001,$B$2:$B$5001,B4105),1,0))</f>
        <v/>
      </c>
      <c r="K4105" s="16" t="str">
        <f aca="false">IF(B4105="","",IF(AND(D4105="Formalização",E4105="Concluído"),IF(COUNTIFS($B$2:$B$5001,B4105,$E$2:$E$5001,"Em ajustes",$A$2:$A$5001,"&lt;"&amp;I4105)&gt;0,1,0),0))</f>
        <v/>
      </c>
      <c r="L4105" s="16" t="str">
        <f aca="false">IF(B4105="","",IF(A4105=_xlfn.MAXIFS($A$2:$A$5001,$B$2:$B$5001,B4105,$I$2:$I$5001,I4105),1,0))</f>
        <v/>
      </c>
    </row>
    <row r="4106" customFormat="false" ht="15" hidden="false" customHeight="false" outlineLevel="0" collapsed="false">
      <c r="I4106" s="15" t="str">
        <f aca="false">IF(A4106="","",INT(A4106))</f>
        <v/>
      </c>
      <c r="J4106" s="16" t="str">
        <f aca="false">IF(B4106="","",IF(A4106=_xlfn.MINIFS($A$2:$A$5001,$B$2:$B$5001,B4106),1,0))</f>
        <v/>
      </c>
      <c r="K4106" s="16" t="str">
        <f aca="false">IF(B4106="","",IF(AND(D4106="Formalização",E4106="Concluído"),IF(COUNTIFS($B$2:$B$5001,B4106,$E$2:$E$5001,"Em ajustes",$A$2:$A$5001,"&lt;"&amp;I4106)&gt;0,1,0),0))</f>
        <v/>
      </c>
      <c r="L4106" s="16" t="str">
        <f aca="false">IF(B4106="","",IF(A4106=_xlfn.MAXIFS($A$2:$A$5001,$B$2:$B$5001,B4106,$I$2:$I$5001,I4106),1,0))</f>
        <v/>
      </c>
    </row>
    <row r="4107" customFormat="false" ht="15" hidden="false" customHeight="false" outlineLevel="0" collapsed="false">
      <c r="I4107" s="15" t="str">
        <f aca="false">IF(A4107="","",INT(A4107))</f>
        <v/>
      </c>
      <c r="J4107" s="16" t="str">
        <f aca="false">IF(B4107="","",IF(A4107=_xlfn.MINIFS($A$2:$A$5001,$B$2:$B$5001,B4107),1,0))</f>
        <v/>
      </c>
      <c r="K4107" s="16" t="str">
        <f aca="false">IF(B4107="","",IF(AND(D4107="Formalização",E4107="Concluído"),IF(COUNTIFS($B$2:$B$5001,B4107,$E$2:$E$5001,"Em ajustes",$A$2:$A$5001,"&lt;"&amp;I4107)&gt;0,1,0),0))</f>
        <v/>
      </c>
      <c r="L4107" s="16" t="str">
        <f aca="false">IF(B4107="","",IF(A4107=_xlfn.MAXIFS($A$2:$A$5001,$B$2:$B$5001,B4107,$I$2:$I$5001,I4107),1,0))</f>
        <v/>
      </c>
    </row>
    <row r="4108" customFormat="false" ht="15" hidden="false" customHeight="false" outlineLevel="0" collapsed="false">
      <c r="I4108" s="15" t="str">
        <f aca="false">IF(A4108="","",INT(A4108))</f>
        <v/>
      </c>
      <c r="J4108" s="16" t="str">
        <f aca="false">IF(B4108="","",IF(A4108=_xlfn.MINIFS($A$2:$A$5001,$B$2:$B$5001,B4108),1,0))</f>
        <v/>
      </c>
      <c r="K4108" s="16" t="str">
        <f aca="false">IF(B4108="","",IF(AND(D4108="Formalização",E4108="Concluído"),IF(COUNTIFS($B$2:$B$5001,B4108,$E$2:$E$5001,"Em ajustes",$A$2:$A$5001,"&lt;"&amp;I4108)&gt;0,1,0),0))</f>
        <v/>
      </c>
      <c r="L4108" s="16" t="str">
        <f aca="false">IF(B4108="","",IF(A4108=_xlfn.MAXIFS($A$2:$A$5001,$B$2:$B$5001,B4108,$I$2:$I$5001,I4108),1,0))</f>
        <v/>
      </c>
    </row>
    <row r="4109" customFormat="false" ht="15" hidden="false" customHeight="false" outlineLevel="0" collapsed="false">
      <c r="I4109" s="15" t="str">
        <f aca="false">IF(A4109="","",INT(A4109))</f>
        <v/>
      </c>
      <c r="J4109" s="16" t="str">
        <f aca="false">IF(B4109="","",IF(A4109=_xlfn.MINIFS($A$2:$A$5001,$B$2:$B$5001,B4109),1,0))</f>
        <v/>
      </c>
      <c r="K4109" s="16" t="str">
        <f aca="false">IF(B4109="","",IF(AND(D4109="Formalização",E4109="Concluído"),IF(COUNTIFS($B$2:$B$5001,B4109,$E$2:$E$5001,"Em ajustes",$A$2:$A$5001,"&lt;"&amp;I4109)&gt;0,1,0),0))</f>
        <v/>
      </c>
      <c r="L4109" s="16" t="str">
        <f aca="false">IF(B4109="","",IF(A4109=_xlfn.MAXIFS($A$2:$A$5001,$B$2:$B$5001,B4109,$I$2:$I$5001,I4109),1,0))</f>
        <v/>
      </c>
    </row>
    <row r="4110" customFormat="false" ht="15" hidden="false" customHeight="false" outlineLevel="0" collapsed="false">
      <c r="I4110" s="15" t="str">
        <f aca="false">IF(A4110="","",INT(A4110))</f>
        <v/>
      </c>
      <c r="J4110" s="16" t="str">
        <f aca="false">IF(B4110="","",IF(A4110=_xlfn.MINIFS($A$2:$A$5001,$B$2:$B$5001,B4110),1,0))</f>
        <v/>
      </c>
      <c r="K4110" s="16" t="str">
        <f aca="false">IF(B4110="","",IF(AND(D4110="Formalização",E4110="Concluído"),IF(COUNTIFS($B$2:$B$5001,B4110,$E$2:$E$5001,"Em ajustes",$A$2:$A$5001,"&lt;"&amp;I4110)&gt;0,1,0),0))</f>
        <v/>
      </c>
      <c r="L4110" s="16" t="str">
        <f aca="false">IF(B4110="","",IF(A4110=_xlfn.MAXIFS($A$2:$A$5001,$B$2:$B$5001,B4110,$I$2:$I$5001,I4110),1,0))</f>
        <v/>
      </c>
    </row>
    <row r="4111" customFormat="false" ht="15" hidden="false" customHeight="false" outlineLevel="0" collapsed="false">
      <c r="I4111" s="15" t="str">
        <f aca="false">IF(A4111="","",INT(A4111))</f>
        <v/>
      </c>
      <c r="J4111" s="16" t="str">
        <f aca="false">IF(B4111="","",IF(A4111=_xlfn.MINIFS($A$2:$A$5001,$B$2:$B$5001,B4111),1,0))</f>
        <v/>
      </c>
      <c r="K4111" s="16" t="str">
        <f aca="false">IF(B4111="","",IF(AND(D4111="Formalização",E4111="Concluído"),IF(COUNTIFS($B$2:$B$5001,B4111,$E$2:$E$5001,"Em ajustes",$A$2:$A$5001,"&lt;"&amp;I4111)&gt;0,1,0),0))</f>
        <v/>
      </c>
      <c r="L4111" s="16" t="str">
        <f aca="false">IF(B4111="","",IF(A4111=_xlfn.MAXIFS($A$2:$A$5001,$B$2:$B$5001,B4111,$I$2:$I$5001,I4111),1,0))</f>
        <v/>
      </c>
    </row>
    <row r="4112" customFormat="false" ht="15" hidden="false" customHeight="false" outlineLevel="0" collapsed="false">
      <c r="I4112" s="15" t="str">
        <f aca="false">IF(A4112="","",INT(A4112))</f>
        <v/>
      </c>
      <c r="J4112" s="16" t="str">
        <f aca="false">IF(B4112="","",IF(A4112=_xlfn.MINIFS($A$2:$A$5001,$B$2:$B$5001,B4112),1,0))</f>
        <v/>
      </c>
      <c r="K4112" s="16" t="str">
        <f aca="false">IF(B4112="","",IF(AND(D4112="Formalização",E4112="Concluído"),IF(COUNTIFS($B$2:$B$5001,B4112,$E$2:$E$5001,"Em ajustes",$A$2:$A$5001,"&lt;"&amp;I4112)&gt;0,1,0),0))</f>
        <v/>
      </c>
      <c r="L4112" s="16" t="str">
        <f aca="false">IF(B4112="","",IF(A4112=_xlfn.MAXIFS($A$2:$A$5001,$B$2:$B$5001,B4112,$I$2:$I$5001,I4112),1,0))</f>
        <v/>
      </c>
    </row>
    <row r="4113" customFormat="false" ht="15" hidden="false" customHeight="false" outlineLevel="0" collapsed="false">
      <c r="I4113" s="15" t="str">
        <f aca="false">IF(A4113="","",INT(A4113))</f>
        <v/>
      </c>
      <c r="J4113" s="16" t="str">
        <f aca="false">IF(B4113="","",IF(A4113=_xlfn.MINIFS($A$2:$A$5001,$B$2:$B$5001,B4113),1,0))</f>
        <v/>
      </c>
      <c r="K4113" s="16" t="str">
        <f aca="false">IF(B4113="","",IF(AND(D4113="Formalização",E4113="Concluído"),IF(COUNTIFS($B$2:$B$5001,B4113,$E$2:$E$5001,"Em ajustes",$A$2:$A$5001,"&lt;"&amp;I4113)&gt;0,1,0),0))</f>
        <v/>
      </c>
      <c r="L4113" s="16" t="str">
        <f aca="false">IF(B4113="","",IF(A4113=_xlfn.MAXIFS($A$2:$A$5001,$B$2:$B$5001,B4113,$I$2:$I$5001,I4113),1,0))</f>
        <v/>
      </c>
    </row>
    <row r="4114" customFormat="false" ht="15" hidden="false" customHeight="false" outlineLevel="0" collapsed="false">
      <c r="I4114" s="15" t="str">
        <f aca="false">IF(A4114="","",INT(A4114))</f>
        <v/>
      </c>
      <c r="J4114" s="16" t="str">
        <f aca="false">IF(B4114="","",IF(A4114=_xlfn.MINIFS($A$2:$A$5001,$B$2:$B$5001,B4114),1,0))</f>
        <v/>
      </c>
      <c r="K4114" s="16" t="str">
        <f aca="false">IF(B4114="","",IF(AND(D4114="Formalização",E4114="Concluído"),IF(COUNTIFS($B$2:$B$5001,B4114,$E$2:$E$5001,"Em ajustes",$A$2:$A$5001,"&lt;"&amp;I4114)&gt;0,1,0),0))</f>
        <v/>
      </c>
      <c r="L4114" s="16" t="str">
        <f aca="false">IF(B4114="","",IF(A4114=_xlfn.MAXIFS($A$2:$A$5001,$B$2:$B$5001,B4114,$I$2:$I$5001,I4114),1,0))</f>
        <v/>
      </c>
    </row>
    <row r="4115" customFormat="false" ht="15" hidden="false" customHeight="false" outlineLevel="0" collapsed="false">
      <c r="I4115" s="15" t="str">
        <f aca="false">IF(A4115="","",INT(A4115))</f>
        <v/>
      </c>
      <c r="J4115" s="16" t="str">
        <f aca="false">IF(B4115="","",IF(A4115=_xlfn.MINIFS($A$2:$A$5001,$B$2:$B$5001,B4115),1,0))</f>
        <v/>
      </c>
      <c r="K4115" s="16" t="str">
        <f aca="false">IF(B4115="","",IF(AND(D4115="Formalização",E4115="Concluído"),IF(COUNTIFS($B$2:$B$5001,B4115,$E$2:$E$5001,"Em ajustes",$A$2:$A$5001,"&lt;"&amp;I4115)&gt;0,1,0),0))</f>
        <v/>
      </c>
      <c r="L4115" s="16" t="str">
        <f aca="false">IF(B4115="","",IF(A4115=_xlfn.MAXIFS($A$2:$A$5001,$B$2:$B$5001,B4115,$I$2:$I$5001,I4115),1,0))</f>
        <v/>
      </c>
    </row>
    <row r="4116" customFormat="false" ht="15" hidden="false" customHeight="false" outlineLevel="0" collapsed="false">
      <c r="I4116" s="15" t="str">
        <f aca="false">IF(A4116="","",INT(A4116))</f>
        <v/>
      </c>
      <c r="J4116" s="16" t="str">
        <f aca="false">IF(B4116="","",IF(A4116=_xlfn.MINIFS($A$2:$A$5001,$B$2:$B$5001,B4116),1,0))</f>
        <v/>
      </c>
      <c r="K4116" s="16" t="str">
        <f aca="false">IF(B4116="","",IF(AND(D4116="Formalização",E4116="Concluído"),IF(COUNTIFS($B$2:$B$5001,B4116,$E$2:$E$5001,"Em ajustes",$A$2:$A$5001,"&lt;"&amp;I4116)&gt;0,1,0),0))</f>
        <v/>
      </c>
      <c r="L4116" s="16" t="str">
        <f aca="false">IF(B4116="","",IF(A4116=_xlfn.MAXIFS($A$2:$A$5001,$B$2:$B$5001,B4116,$I$2:$I$5001,I4116),1,0))</f>
        <v/>
      </c>
    </row>
    <row r="4117" customFormat="false" ht="15" hidden="false" customHeight="false" outlineLevel="0" collapsed="false">
      <c r="I4117" s="15" t="str">
        <f aca="false">IF(A4117="","",INT(A4117))</f>
        <v/>
      </c>
      <c r="J4117" s="16" t="str">
        <f aca="false">IF(B4117="","",IF(A4117=_xlfn.MINIFS($A$2:$A$5001,$B$2:$B$5001,B4117),1,0))</f>
        <v/>
      </c>
      <c r="K4117" s="16" t="str">
        <f aca="false">IF(B4117="","",IF(AND(D4117="Formalização",E4117="Concluído"),IF(COUNTIFS($B$2:$B$5001,B4117,$E$2:$E$5001,"Em ajustes",$A$2:$A$5001,"&lt;"&amp;I4117)&gt;0,1,0),0))</f>
        <v/>
      </c>
      <c r="L4117" s="16" t="str">
        <f aca="false">IF(B4117="","",IF(A4117=_xlfn.MAXIFS($A$2:$A$5001,$B$2:$B$5001,B4117,$I$2:$I$5001,I4117),1,0))</f>
        <v/>
      </c>
    </row>
    <row r="4118" customFormat="false" ht="15" hidden="false" customHeight="false" outlineLevel="0" collapsed="false">
      <c r="I4118" s="15" t="str">
        <f aca="false">IF(A4118="","",INT(A4118))</f>
        <v/>
      </c>
      <c r="J4118" s="16" t="str">
        <f aca="false">IF(B4118="","",IF(A4118=_xlfn.MINIFS($A$2:$A$5001,$B$2:$B$5001,B4118),1,0))</f>
        <v/>
      </c>
      <c r="K4118" s="16" t="str">
        <f aca="false">IF(B4118="","",IF(AND(D4118="Formalização",E4118="Concluído"),IF(COUNTIFS($B$2:$B$5001,B4118,$E$2:$E$5001,"Em ajustes",$A$2:$A$5001,"&lt;"&amp;I4118)&gt;0,1,0),0))</f>
        <v/>
      </c>
      <c r="L4118" s="16" t="str">
        <f aca="false">IF(B4118="","",IF(A4118=_xlfn.MAXIFS($A$2:$A$5001,$B$2:$B$5001,B4118,$I$2:$I$5001,I4118),1,0))</f>
        <v/>
      </c>
    </row>
    <row r="4119" customFormat="false" ht="15" hidden="false" customHeight="false" outlineLevel="0" collapsed="false">
      <c r="I4119" s="15" t="str">
        <f aca="false">IF(A4119="","",INT(A4119))</f>
        <v/>
      </c>
      <c r="J4119" s="16" t="str">
        <f aca="false">IF(B4119="","",IF(A4119=_xlfn.MINIFS($A$2:$A$5001,$B$2:$B$5001,B4119),1,0))</f>
        <v/>
      </c>
      <c r="K4119" s="16" t="str">
        <f aca="false">IF(B4119="","",IF(AND(D4119="Formalização",E4119="Concluído"),IF(COUNTIFS($B$2:$B$5001,B4119,$E$2:$E$5001,"Em ajustes",$A$2:$A$5001,"&lt;"&amp;I4119)&gt;0,1,0),0))</f>
        <v/>
      </c>
      <c r="L4119" s="16" t="str">
        <f aca="false">IF(B4119="","",IF(A4119=_xlfn.MAXIFS($A$2:$A$5001,$B$2:$B$5001,B4119,$I$2:$I$5001,I4119),1,0))</f>
        <v/>
      </c>
    </row>
    <row r="4120" customFormat="false" ht="15" hidden="false" customHeight="false" outlineLevel="0" collapsed="false">
      <c r="I4120" s="15" t="str">
        <f aca="false">IF(A4120="","",INT(A4120))</f>
        <v/>
      </c>
      <c r="J4120" s="16" t="str">
        <f aca="false">IF(B4120="","",IF(A4120=_xlfn.MINIFS($A$2:$A$5001,$B$2:$B$5001,B4120),1,0))</f>
        <v/>
      </c>
      <c r="K4120" s="16" t="str">
        <f aca="false">IF(B4120="","",IF(AND(D4120="Formalização",E4120="Concluído"),IF(COUNTIFS($B$2:$B$5001,B4120,$E$2:$E$5001,"Em ajustes",$A$2:$A$5001,"&lt;"&amp;I4120)&gt;0,1,0),0))</f>
        <v/>
      </c>
      <c r="L4120" s="16" t="str">
        <f aca="false">IF(B4120="","",IF(A4120=_xlfn.MAXIFS($A$2:$A$5001,$B$2:$B$5001,B4120,$I$2:$I$5001,I4120),1,0))</f>
        <v/>
      </c>
    </row>
    <row r="4121" customFormat="false" ht="15" hidden="false" customHeight="false" outlineLevel="0" collapsed="false">
      <c r="I4121" s="15" t="str">
        <f aca="false">IF(A4121="","",INT(A4121))</f>
        <v/>
      </c>
      <c r="J4121" s="16" t="str">
        <f aca="false">IF(B4121="","",IF(A4121=_xlfn.MINIFS($A$2:$A$5001,$B$2:$B$5001,B4121),1,0))</f>
        <v/>
      </c>
      <c r="K4121" s="16" t="str">
        <f aca="false">IF(B4121="","",IF(AND(D4121="Formalização",E4121="Concluído"),IF(COUNTIFS($B$2:$B$5001,B4121,$E$2:$E$5001,"Em ajustes",$A$2:$A$5001,"&lt;"&amp;I4121)&gt;0,1,0),0))</f>
        <v/>
      </c>
      <c r="L4121" s="16" t="str">
        <f aca="false">IF(B4121="","",IF(A4121=_xlfn.MAXIFS($A$2:$A$5001,$B$2:$B$5001,B4121,$I$2:$I$5001,I4121),1,0))</f>
        <v/>
      </c>
    </row>
    <row r="4122" customFormat="false" ht="15" hidden="false" customHeight="false" outlineLevel="0" collapsed="false">
      <c r="I4122" s="15" t="str">
        <f aca="false">IF(A4122="","",INT(A4122))</f>
        <v/>
      </c>
      <c r="J4122" s="16" t="str">
        <f aca="false">IF(B4122="","",IF(A4122=_xlfn.MINIFS($A$2:$A$5001,$B$2:$B$5001,B4122),1,0))</f>
        <v/>
      </c>
      <c r="K4122" s="16" t="str">
        <f aca="false">IF(B4122="","",IF(AND(D4122="Formalização",E4122="Concluído"),IF(COUNTIFS($B$2:$B$5001,B4122,$E$2:$E$5001,"Em ajustes",$A$2:$A$5001,"&lt;"&amp;I4122)&gt;0,1,0),0))</f>
        <v/>
      </c>
      <c r="L4122" s="16" t="str">
        <f aca="false">IF(B4122="","",IF(A4122=_xlfn.MAXIFS($A$2:$A$5001,$B$2:$B$5001,B4122,$I$2:$I$5001,I4122),1,0))</f>
        <v/>
      </c>
    </row>
    <row r="4123" customFormat="false" ht="15" hidden="false" customHeight="false" outlineLevel="0" collapsed="false">
      <c r="I4123" s="15" t="str">
        <f aca="false">IF(A4123="","",INT(A4123))</f>
        <v/>
      </c>
      <c r="J4123" s="16" t="str">
        <f aca="false">IF(B4123="","",IF(A4123=_xlfn.MINIFS($A$2:$A$5001,$B$2:$B$5001,B4123),1,0))</f>
        <v/>
      </c>
      <c r="K4123" s="16" t="str">
        <f aca="false">IF(B4123="","",IF(AND(D4123="Formalização",E4123="Concluído"),IF(COUNTIFS($B$2:$B$5001,B4123,$E$2:$E$5001,"Em ajustes",$A$2:$A$5001,"&lt;"&amp;I4123)&gt;0,1,0),0))</f>
        <v/>
      </c>
      <c r="L4123" s="16" t="str">
        <f aca="false">IF(B4123="","",IF(A4123=_xlfn.MAXIFS($A$2:$A$5001,$B$2:$B$5001,B4123,$I$2:$I$5001,I4123),1,0))</f>
        <v/>
      </c>
    </row>
    <row r="4124" customFormat="false" ht="15" hidden="false" customHeight="false" outlineLevel="0" collapsed="false">
      <c r="I4124" s="15" t="str">
        <f aca="false">IF(A4124="","",INT(A4124))</f>
        <v/>
      </c>
      <c r="J4124" s="16" t="str">
        <f aca="false">IF(B4124="","",IF(A4124=_xlfn.MINIFS($A$2:$A$5001,$B$2:$B$5001,B4124),1,0))</f>
        <v/>
      </c>
      <c r="K4124" s="16" t="str">
        <f aca="false">IF(B4124="","",IF(AND(D4124="Formalização",E4124="Concluído"),IF(COUNTIFS($B$2:$B$5001,B4124,$E$2:$E$5001,"Em ajustes",$A$2:$A$5001,"&lt;"&amp;I4124)&gt;0,1,0),0))</f>
        <v/>
      </c>
      <c r="L4124" s="16" t="str">
        <f aca="false">IF(B4124="","",IF(A4124=_xlfn.MAXIFS($A$2:$A$5001,$B$2:$B$5001,B4124,$I$2:$I$5001,I4124),1,0))</f>
        <v/>
      </c>
    </row>
    <row r="4125" customFormat="false" ht="15" hidden="false" customHeight="false" outlineLevel="0" collapsed="false">
      <c r="I4125" s="15" t="str">
        <f aca="false">IF(A4125="","",INT(A4125))</f>
        <v/>
      </c>
      <c r="J4125" s="16" t="str">
        <f aca="false">IF(B4125="","",IF(A4125=_xlfn.MINIFS($A$2:$A$5001,$B$2:$B$5001,B4125),1,0))</f>
        <v/>
      </c>
      <c r="K4125" s="16" t="str">
        <f aca="false">IF(B4125="","",IF(AND(D4125="Formalização",E4125="Concluído"),IF(COUNTIFS($B$2:$B$5001,B4125,$E$2:$E$5001,"Em ajustes",$A$2:$A$5001,"&lt;"&amp;I4125)&gt;0,1,0),0))</f>
        <v/>
      </c>
      <c r="L4125" s="16" t="str">
        <f aca="false">IF(B4125="","",IF(A4125=_xlfn.MAXIFS($A$2:$A$5001,$B$2:$B$5001,B4125,$I$2:$I$5001,I4125),1,0))</f>
        <v/>
      </c>
    </row>
    <row r="4126" customFormat="false" ht="15" hidden="false" customHeight="false" outlineLevel="0" collapsed="false">
      <c r="I4126" s="15" t="str">
        <f aca="false">IF(A4126="","",INT(A4126))</f>
        <v/>
      </c>
      <c r="J4126" s="16" t="str">
        <f aca="false">IF(B4126="","",IF(A4126=_xlfn.MINIFS($A$2:$A$5001,$B$2:$B$5001,B4126),1,0))</f>
        <v/>
      </c>
      <c r="K4126" s="16" t="str">
        <f aca="false">IF(B4126="","",IF(AND(D4126="Formalização",E4126="Concluído"),IF(COUNTIFS($B$2:$B$5001,B4126,$E$2:$E$5001,"Em ajustes",$A$2:$A$5001,"&lt;"&amp;I4126)&gt;0,1,0),0))</f>
        <v/>
      </c>
      <c r="L4126" s="16" t="str">
        <f aca="false">IF(B4126="","",IF(A4126=_xlfn.MAXIFS($A$2:$A$5001,$B$2:$B$5001,B4126,$I$2:$I$5001,I4126),1,0))</f>
        <v/>
      </c>
    </row>
    <row r="4127" customFormat="false" ht="15" hidden="false" customHeight="false" outlineLevel="0" collapsed="false">
      <c r="I4127" s="15" t="str">
        <f aca="false">IF(A4127="","",INT(A4127))</f>
        <v/>
      </c>
      <c r="J4127" s="16" t="str">
        <f aca="false">IF(B4127="","",IF(A4127=_xlfn.MINIFS($A$2:$A$5001,$B$2:$B$5001,B4127),1,0))</f>
        <v/>
      </c>
      <c r="K4127" s="16" t="str">
        <f aca="false">IF(B4127="","",IF(AND(D4127="Formalização",E4127="Concluído"),IF(COUNTIFS($B$2:$B$5001,B4127,$E$2:$E$5001,"Em ajustes",$A$2:$A$5001,"&lt;"&amp;I4127)&gt;0,1,0),0))</f>
        <v/>
      </c>
      <c r="L4127" s="16" t="str">
        <f aca="false">IF(B4127="","",IF(A4127=_xlfn.MAXIFS($A$2:$A$5001,$B$2:$B$5001,B4127,$I$2:$I$5001,I4127),1,0))</f>
        <v/>
      </c>
    </row>
    <row r="4128" customFormat="false" ht="15" hidden="false" customHeight="false" outlineLevel="0" collapsed="false">
      <c r="I4128" s="15" t="str">
        <f aca="false">IF(A4128="","",INT(A4128))</f>
        <v/>
      </c>
      <c r="J4128" s="16" t="str">
        <f aca="false">IF(B4128="","",IF(A4128=_xlfn.MINIFS($A$2:$A$5001,$B$2:$B$5001,B4128),1,0))</f>
        <v/>
      </c>
      <c r="K4128" s="16" t="str">
        <f aca="false">IF(B4128="","",IF(AND(D4128="Formalização",E4128="Concluído"),IF(COUNTIFS($B$2:$B$5001,B4128,$E$2:$E$5001,"Em ajustes",$A$2:$A$5001,"&lt;"&amp;I4128)&gt;0,1,0),0))</f>
        <v/>
      </c>
      <c r="L4128" s="16" t="str">
        <f aca="false">IF(B4128="","",IF(A4128=_xlfn.MAXIFS($A$2:$A$5001,$B$2:$B$5001,B4128,$I$2:$I$5001,I4128),1,0))</f>
        <v/>
      </c>
    </row>
    <row r="4129" customFormat="false" ht="15" hidden="false" customHeight="false" outlineLevel="0" collapsed="false">
      <c r="I4129" s="15" t="str">
        <f aca="false">IF(A4129="","",INT(A4129))</f>
        <v/>
      </c>
      <c r="J4129" s="16" t="str">
        <f aca="false">IF(B4129="","",IF(A4129=_xlfn.MINIFS($A$2:$A$5001,$B$2:$B$5001,B4129),1,0))</f>
        <v/>
      </c>
      <c r="K4129" s="16" t="str">
        <f aca="false">IF(B4129="","",IF(AND(D4129="Formalização",E4129="Concluído"),IF(COUNTIFS($B$2:$B$5001,B4129,$E$2:$E$5001,"Em ajustes",$A$2:$A$5001,"&lt;"&amp;I4129)&gt;0,1,0),0))</f>
        <v/>
      </c>
      <c r="L4129" s="16" t="str">
        <f aca="false">IF(B4129="","",IF(A4129=_xlfn.MAXIFS($A$2:$A$5001,$B$2:$B$5001,B4129,$I$2:$I$5001,I4129),1,0))</f>
        <v/>
      </c>
    </row>
    <row r="4130" customFormat="false" ht="15" hidden="false" customHeight="false" outlineLevel="0" collapsed="false">
      <c r="I4130" s="15" t="str">
        <f aca="false">IF(A4130="","",INT(A4130))</f>
        <v/>
      </c>
      <c r="J4130" s="16" t="str">
        <f aca="false">IF(B4130="","",IF(A4130=_xlfn.MINIFS($A$2:$A$5001,$B$2:$B$5001,B4130),1,0))</f>
        <v/>
      </c>
      <c r="K4130" s="16" t="str">
        <f aca="false">IF(B4130="","",IF(AND(D4130="Formalização",E4130="Concluído"),IF(COUNTIFS($B$2:$B$5001,B4130,$E$2:$E$5001,"Em ajustes",$A$2:$A$5001,"&lt;"&amp;I4130)&gt;0,1,0),0))</f>
        <v/>
      </c>
      <c r="L4130" s="16" t="str">
        <f aca="false">IF(B4130="","",IF(A4130=_xlfn.MAXIFS($A$2:$A$5001,$B$2:$B$5001,B4130,$I$2:$I$5001,I4130),1,0))</f>
        <v/>
      </c>
    </row>
    <row r="4131" customFormat="false" ht="15" hidden="false" customHeight="false" outlineLevel="0" collapsed="false">
      <c r="I4131" s="15" t="str">
        <f aca="false">IF(A4131="","",INT(A4131))</f>
        <v/>
      </c>
      <c r="J4131" s="16" t="str">
        <f aca="false">IF(B4131="","",IF(A4131=_xlfn.MINIFS($A$2:$A$5001,$B$2:$B$5001,B4131),1,0))</f>
        <v/>
      </c>
      <c r="K4131" s="16" t="str">
        <f aca="false">IF(B4131="","",IF(AND(D4131="Formalização",E4131="Concluído"),IF(COUNTIFS($B$2:$B$5001,B4131,$E$2:$E$5001,"Em ajustes",$A$2:$A$5001,"&lt;"&amp;I4131)&gt;0,1,0),0))</f>
        <v/>
      </c>
      <c r="L4131" s="16" t="str">
        <f aca="false">IF(B4131="","",IF(A4131=_xlfn.MAXIFS($A$2:$A$5001,$B$2:$B$5001,B4131,$I$2:$I$5001,I4131),1,0))</f>
        <v/>
      </c>
    </row>
    <row r="4132" customFormat="false" ht="15" hidden="false" customHeight="false" outlineLevel="0" collapsed="false">
      <c r="I4132" s="15" t="str">
        <f aca="false">IF(A4132="","",INT(A4132))</f>
        <v/>
      </c>
      <c r="J4132" s="16" t="str">
        <f aca="false">IF(B4132="","",IF(A4132=_xlfn.MINIFS($A$2:$A$5001,$B$2:$B$5001,B4132),1,0))</f>
        <v/>
      </c>
      <c r="K4132" s="16" t="str">
        <f aca="false">IF(B4132="","",IF(AND(D4132="Formalização",E4132="Concluído"),IF(COUNTIFS($B$2:$B$5001,B4132,$E$2:$E$5001,"Em ajustes",$A$2:$A$5001,"&lt;"&amp;I4132)&gt;0,1,0),0))</f>
        <v/>
      </c>
      <c r="L4132" s="16" t="str">
        <f aca="false">IF(B4132="","",IF(A4132=_xlfn.MAXIFS($A$2:$A$5001,$B$2:$B$5001,B4132,$I$2:$I$5001,I4132),1,0))</f>
        <v/>
      </c>
    </row>
    <row r="4133" customFormat="false" ht="15" hidden="false" customHeight="false" outlineLevel="0" collapsed="false">
      <c r="I4133" s="15" t="str">
        <f aca="false">IF(A4133="","",INT(A4133))</f>
        <v/>
      </c>
      <c r="J4133" s="16" t="str">
        <f aca="false">IF(B4133="","",IF(A4133=_xlfn.MINIFS($A$2:$A$5001,$B$2:$B$5001,B4133),1,0))</f>
        <v/>
      </c>
      <c r="K4133" s="16" t="str">
        <f aca="false">IF(B4133="","",IF(AND(D4133="Formalização",E4133="Concluído"),IF(COUNTIFS($B$2:$B$5001,B4133,$E$2:$E$5001,"Em ajustes",$A$2:$A$5001,"&lt;"&amp;I4133)&gt;0,1,0),0))</f>
        <v/>
      </c>
      <c r="L4133" s="16" t="str">
        <f aca="false">IF(B4133="","",IF(A4133=_xlfn.MAXIFS($A$2:$A$5001,$B$2:$B$5001,B4133,$I$2:$I$5001,I4133),1,0))</f>
        <v/>
      </c>
    </row>
    <row r="4134" customFormat="false" ht="15" hidden="false" customHeight="false" outlineLevel="0" collapsed="false">
      <c r="I4134" s="15" t="str">
        <f aca="false">IF(A4134="","",INT(A4134))</f>
        <v/>
      </c>
      <c r="J4134" s="16" t="str">
        <f aca="false">IF(B4134="","",IF(A4134=_xlfn.MINIFS($A$2:$A$5001,$B$2:$B$5001,B4134),1,0))</f>
        <v/>
      </c>
      <c r="K4134" s="16" t="str">
        <f aca="false">IF(B4134="","",IF(AND(D4134="Formalização",E4134="Concluído"),IF(COUNTIFS($B$2:$B$5001,B4134,$E$2:$E$5001,"Em ajustes",$A$2:$A$5001,"&lt;"&amp;I4134)&gt;0,1,0),0))</f>
        <v/>
      </c>
      <c r="L4134" s="16" t="str">
        <f aca="false">IF(B4134="","",IF(A4134=_xlfn.MAXIFS($A$2:$A$5001,$B$2:$B$5001,B4134,$I$2:$I$5001,I4134),1,0))</f>
        <v/>
      </c>
    </row>
    <row r="4135" customFormat="false" ht="15" hidden="false" customHeight="false" outlineLevel="0" collapsed="false">
      <c r="I4135" s="15" t="str">
        <f aca="false">IF(A4135="","",INT(A4135))</f>
        <v/>
      </c>
      <c r="J4135" s="16" t="str">
        <f aca="false">IF(B4135="","",IF(A4135=_xlfn.MINIFS($A$2:$A$5001,$B$2:$B$5001,B4135),1,0))</f>
        <v/>
      </c>
      <c r="K4135" s="16" t="str">
        <f aca="false">IF(B4135="","",IF(AND(D4135="Formalização",E4135="Concluído"),IF(COUNTIFS($B$2:$B$5001,B4135,$E$2:$E$5001,"Em ajustes",$A$2:$A$5001,"&lt;"&amp;I4135)&gt;0,1,0),0))</f>
        <v/>
      </c>
      <c r="L4135" s="16" t="str">
        <f aca="false">IF(B4135="","",IF(A4135=_xlfn.MAXIFS($A$2:$A$5001,$B$2:$B$5001,B4135,$I$2:$I$5001,I4135),1,0))</f>
        <v/>
      </c>
    </row>
    <row r="4136" customFormat="false" ht="15" hidden="false" customHeight="false" outlineLevel="0" collapsed="false">
      <c r="I4136" s="15" t="str">
        <f aca="false">IF(A4136="","",INT(A4136))</f>
        <v/>
      </c>
      <c r="J4136" s="16" t="str">
        <f aca="false">IF(B4136="","",IF(A4136=_xlfn.MINIFS($A$2:$A$5001,$B$2:$B$5001,B4136),1,0))</f>
        <v/>
      </c>
      <c r="K4136" s="16" t="str">
        <f aca="false">IF(B4136="","",IF(AND(D4136="Formalização",E4136="Concluído"),IF(COUNTIFS($B$2:$B$5001,B4136,$E$2:$E$5001,"Em ajustes",$A$2:$A$5001,"&lt;"&amp;I4136)&gt;0,1,0),0))</f>
        <v/>
      </c>
      <c r="L4136" s="16" t="str">
        <f aca="false">IF(B4136="","",IF(A4136=_xlfn.MAXIFS($A$2:$A$5001,$B$2:$B$5001,B4136,$I$2:$I$5001,I4136),1,0))</f>
        <v/>
      </c>
    </row>
    <row r="4137" customFormat="false" ht="15" hidden="false" customHeight="false" outlineLevel="0" collapsed="false">
      <c r="I4137" s="15" t="str">
        <f aca="false">IF(A4137="","",INT(A4137))</f>
        <v/>
      </c>
      <c r="J4137" s="16" t="str">
        <f aca="false">IF(B4137="","",IF(A4137=_xlfn.MINIFS($A$2:$A$5001,$B$2:$B$5001,B4137),1,0))</f>
        <v/>
      </c>
      <c r="K4137" s="16" t="str">
        <f aca="false">IF(B4137="","",IF(AND(D4137="Formalização",E4137="Concluído"),IF(COUNTIFS($B$2:$B$5001,B4137,$E$2:$E$5001,"Em ajustes",$A$2:$A$5001,"&lt;"&amp;I4137)&gt;0,1,0),0))</f>
        <v/>
      </c>
      <c r="L4137" s="16" t="str">
        <f aca="false">IF(B4137="","",IF(A4137=_xlfn.MAXIFS($A$2:$A$5001,$B$2:$B$5001,B4137,$I$2:$I$5001,I4137),1,0))</f>
        <v/>
      </c>
    </row>
    <row r="4138" customFormat="false" ht="15" hidden="false" customHeight="false" outlineLevel="0" collapsed="false">
      <c r="I4138" s="15" t="str">
        <f aca="false">IF(A4138="","",INT(A4138))</f>
        <v/>
      </c>
      <c r="J4138" s="16" t="str">
        <f aca="false">IF(B4138="","",IF(A4138=_xlfn.MINIFS($A$2:$A$5001,$B$2:$B$5001,B4138),1,0))</f>
        <v/>
      </c>
      <c r="K4138" s="16" t="str">
        <f aca="false">IF(B4138="","",IF(AND(D4138="Formalização",E4138="Concluído"),IF(COUNTIFS($B$2:$B$5001,B4138,$E$2:$E$5001,"Em ajustes",$A$2:$A$5001,"&lt;"&amp;I4138)&gt;0,1,0),0))</f>
        <v/>
      </c>
      <c r="L4138" s="16" t="str">
        <f aca="false">IF(B4138="","",IF(A4138=_xlfn.MAXIFS($A$2:$A$5001,$B$2:$B$5001,B4138,$I$2:$I$5001,I4138),1,0))</f>
        <v/>
      </c>
    </row>
    <row r="4139" customFormat="false" ht="15" hidden="false" customHeight="false" outlineLevel="0" collapsed="false">
      <c r="I4139" s="15" t="str">
        <f aca="false">IF(A4139="","",INT(A4139))</f>
        <v/>
      </c>
      <c r="J4139" s="16" t="str">
        <f aca="false">IF(B4139="","",IF(A4139=_xlfn.MINIFS($A$2:$A$5001,$B$2:$B$5001,B4139),1,0))</f>
        <v/>
      </c>
      <c r="K4139" s="16" t="str">
        <f aca="false">IF(B4139="","",IF(AND(D4139="Formalização",E4139="Concluído"),IF(COUNTIFS($B$2:$B$5001,B4139,$E$2:$E$5001,"Em ajustes",$A$2:$A$5001,"&lt;"&amp;I4139)&gt;0,1,0),0))</f>
        <v/>
      </c>
      <c r="L4139" s="16" t="str">
        <f aca="false">IF(B4139="","",IF(A4139=_xlfn.MAXIFS($A$2:$A$5001,$B$2:$B$5001,B4139,$I$2:$I$5001,I4139),1,0))</f>
        <v/>
      </c>
    </row>
    <row r="4140" customFormat="false" ht="15" hidden="false" customHeight="false" outlineLevel="0" collapsed="false">
      <c r="I4140" s="15" t="str">
        <f aca="false">IF(A4140="","",INT(A4140))</f>
        <v/>
      </c>
      <c r="J4140" s="16" t="str">
        <f aca="false">IF(B4140="","",IF(A4140=_xlfn.MINIFS($A$2:$A$5001,$B$2:$B$5001,B4140),1,0))</f>
        <v/>
      </c>
      <c r="K4140" s="16" t="str">
        <f aca="false">IF(B4140="","",IF(AND(D4140="Formalização",E4140="Concluído"),IF(COUNTIFS($B$2:$B$5001,B4140,$E$2:$E$5001,"Em ajustes",$A$2:$A$5001,"&lt;"&amp;I4140)&gt;0,1,0),0))</f>
        <v/>
      </c>
      <c r="L4140" s="16" t="str">
        <f aca="false">IF(B4140="","",IF(A4140=_xlfn.MAXIFS($A$2:$A$5001,$B$2:$B$5001,B4140,$I$2:$I$5001,I4140),1,0))</f>
        <v/>
      </c>
    </row>
    <row r="4141" customFormat="false" ht="15" hidden="false" customHeight="false" outlineLevel="0" collapsed="false">
      <c r="I4141" s="15" t="str">
        <f aca="false">IF(A4141="","",INT(A4141))</f>
        <v/>
      </c>
      <c r="J4141" s="16" t="str">
        <f aca="false">IF(B4141="","",IF(A4141=_xlfn.MINIFS($A$2:$A$5001,$B$2:$B$5001,B4141),1,0))</f>
        <v/>
      </c>
      <c r="K4141" s="16" t="str">
        <f aca="false">IF(B4141="","",IF(AND(D4141="Formalização",E4141="Concluído"),IF(COUNTIFS($B$2:$B$5001,B4141,$E$2:$E$5001,"Em ajustes",$A$2:$A$5001,"&lt;"&amp;I4141)&gt;0,1,0),0))</f>
        <v/>
      </c>
      <c r="L4141" s="16" t="str">
        <f aca="false">IF(B4141="","",IF(A4141=_xlfn.MAXIFS($A$2:$A$5001,$B$2:$B$5001,B4141,$I$2:$I$5001,I4141),1,0))</f>
        <v/>
      </c>
    </row>
    <row r="4142" customFormat="false" ht="15" hidden="false" customHeight="false" outlineLevel="0" collapsed="false">
      <c r="I4142" s="15" t="str">
        <f aca="false">IF(A4142="","",INT(A4142))</f>
        <v/>
      </c>
      <c r="J4142" s="16" t="str">
        <f aca="false">IF(B4142="","",IF(A4142=_xlfn.MINIFS($A$2:$A$5001,$B$2:$B$5001,B4142),1,0))</f>
        <v/>
      </c>
      <c r="K4142" s="16" t="str">
        <f aca="false">IF(B4142="","",IF(AND(D4142="Formalização",E4142="Concluído"),IF(COUNTIFS($B$2:$B$5001,B4142,$E$2:$E$5001,"Em ajustes",$A$2:$A$5001,"&lt;"&amp;I4142)&gt;0,1,0),0))</f>
        <v/>
      </c>
      <c r="L4142" s="16" t="str">
        <f aca="false">IF(B4142="","",IF(A4142=_xlfn.MAXIFS($A$2:$A$5001,$B$2:$B$5001,B4142,$I$2:$I$5001,I4142),1,0))</f>
        <v/>
      </c>
    </row>
    <row r="4143" customFormat="false" ht="15" hidden="false" customHeight="false" outlineLevel="0" collapsed="false">
      <c r="I4143" s="15" t="str">
        <f aca="false">IF(A4143="","",INT(A4143))</f>
        <v/>
      </c>
      <c r="J4143" s="16" t="str">
        <f aca="false">IF(B4143="","",IF(A4143=_xlfn.MINIFS($A$2:$A$5001,$B$2:$B$5001,B4143),1,0))</f>
        <v/>
      </c>
      <c r="K4143" s="16" t="str">
        <f aca="false">IF(B4143="","",IF(AND(D4143="Formalização",E4143="Concluído"),IF(COUNTIFS($B$2:$B$5001,B4143,$E$2:$E$5001,"Em ajustes",$A$2:$A$5001,"&lt;"&amp;I4143)&gt;0,1,0),0))</f>
        <v/>
      </c>
      <c r="L4143" s="16" t="str">
        <f aca="false">IF(B4143="","",IF(A4143=_xlfn.MAXIFS($A$2:$A$5001,$B$2:$B$5001,B4143,$I$2:$I$5001,I4143),1,0))</f>
        <v/>
      </c>
    </row>
    <row r="4144" customFormat="false" ht="15" hidden="false" customHeight="false" outlineLevel="0" collapsed="false">
      <c r="I4144" s="15" t="str">
        <f aca="false">IF(A4144="","",INT(A4144))</f>
        <v/>
      </c>
      <c r="J4144" s="16" t="str">
        <f aca="false">IF(B4144="","",IF(A4144=_xlfn.MINIFS($A$2:$A$5001,$B$2:$B$5001,B4144),1,0))</f>
        <v/>
      </c>
      <c r="K4144" s="16" t="str">
        <f aca="false">IF(B4144="","",IF(AND(D4144="Formalização",E4144="Concluído"),IF(COUNTIFS($B$2:$B$5001,B4144,$E$2:$E$5001,"Em ajustes",$A$2:$A$5001,"&lt;"&amp;I4144)&gt;0,1,0),0))</f>
        <v/>
      </c>
      <c r="L4144" s="16" t="str">
        <f aca="false">IF(B4144="","",IF(A4144=_xlfn.MAXIFS($A$2:$A$5001,$B$2:$B$5001,B4144,$I$2:$I$5001,I4144),1,0))</f>
        <v/>
      </c>
    </row>
    <row r="4145" customFormat="false" ht="15" hidden="false" customHeight="false" outlineLevel="0" collapsed="false">
      <c r="I4145" s="15" t="str">
        <f aca="false">IF(A4145="","",INT(A4145))</f>
        <v/>
      </c>
      <c r="J4145" s="16" t="str">
        <f aca="false">IF(B4145="","",IF(A4145=_xlfn.MINIFS($A$2:$A$5001,$B$2:$B$5001,B4145),1,0))</f>
        <v/>
      </c>
      <c r="K4145" s="16" t="str">
        <f aca="false">IF(B4145="","",IF(AND(D4145="Formalização",E4145="Concluído"),IF(COUNTIFS($B$2:$B$5001,B4145,$E$2:$E$5001,"Em ajustes",$A$2:$A$5001,"&lt;"&amp;I4145)&gt;0,1,0),0))</f>
        <v/>
      </c>
      <c r="L4145" s="16" t="str">
        <f aca="false">IF(B4145="","",IF(A4145=_xlfn.MAXIFS($A$2:$A$5001,$B$2:$B$5001,B4145,$I$2:$I$5001,I4145),1,0))</f>
        <v/>
      </c>
    </row>
    <row r="4146" customFormat="false" ht="15" hidden="false" customHeight="false" outlineLevel="0" collapsed="false">
      <c r="I4146" s="15" t="str">
        <f aca="false">IF(A4146="","",INT(A4146))</f>
        <v/>
      </c>
      <c r="J4146" s="16" t="str">
        <f aca="false">IF(B4146="","",IF(A4146=_xlfn.MINIFS($A$2:$A$5001,$B$2:$B$5001,B4146),1,0))</f>
        <v/>
      </c>
      <c r="K4146" s="16" t="str">
        <f aca="false">IF(B4146="","",IF(AND(D4146="Formalização",E4146="Concluído"),IF(COUNTIFS($B$2:$B$5001,B4146,$E$2:$E$5001,"Em ajustes",$A$2:$A$5001,"&lt;"&amp;I4146)&gt;0,1,0),0))</f>
        <v/>
      </c>
      <c r="L4146" s="16" t="str">
        <f aca="false">IF(B4146="","",IF(A4146=_xlfn.MAXIFS($A$2:$A$5001,$B$2:$B$5001,B4146,$I$2:$I$5001,I4146),1,0))</f>
        <v/>
      </c>
    </row>
    <row r="4147" customFormat="false" ht="15" hidden="false" customHeight="false" outlineLevel="0" collapsed="false">
      <c r="I4147" s="15" t="str">
        <f aca="false">IF(A4147="","",INT(A4147))</f>
        <v/>
      </c>
      <c r="J4147" s="16" t="str">
        <f aca="false">IF(B4147="","",IF(A4147=_xlfn.MINIFS($A$2:$A$5001,$B$2:$B$5001,B4147),1,0))</f>
        <v/>
      </c>
      <c r="K4147" s="16" t="str">
        <f aca="false">IF(B4147="","",IF(AND(D4147="Formalização",E4147="Concluído"),IF(COUNTIFS($B$2:$B$5001,B4147,$E$2:$E$5001,"Em ajustes",$A$2:$A$5001,"&lt;"&amp;I4147)&gt;0,1,0),0))</f>
        <v/>
      </c>
      <c r="L4147" s="16" t="str">
        <f aca="false">IF(B4147="","",IF(A4147=_xlfn.MAXIFS($A$2:$A$5001,$B$2:$B$5001,B4147,$I$2:$I$5001,I4147),1,0))</f>
        <v/>
      </c>
    </row>
    <row r="4148" customFormat="false" ht="15" hidden="false" customHeight="false" outlineLevel="0" collapsed="false">
      <c r="I4148" s="15" t="str">
        <f aca="false">IF(A4148="","",INT(A4148))</f>
        <v/>
      </c>
      <c r="J4148" s="16" t="str">
        <f aca="false">IF(B4148="","",IF(A4148=_xlfn.MINIFS($A$2:$A$5001,$B$2:$B$5001,B4148),1,0))</f>
        <v/>
      </c>
      <c r="K4148" s="16" t="str">
        <f aca="false">IF(B4148="","",IF(AND(D4148="Formalização",E4148="Concluído"),IF(COUNTIFS($B$2:$B$5001,B4148,$E$2:$E$5001,"Em ajustes",$A$2:$A$5001,"&lt;"&amp;I4148)&gt;0,1,0),0))</f>
        <v/>
      </c>
      <c r="L4148" s="16" t="str">
        <f aca="false">IF(B4148="","",IF(A4148=_xlfn.MAXIFS($A$2:$A$5001,$B$2:$B$5001,B4148,$I$2:$I$5001,I4148),1,0))</f>
        <v/>
      </c>
    </row>
    <row r="4149" customFormat="false" ht="15" hidden="false" customHeight="false" outlineLevel="0" collapsed="false">
      <c r="I4149" s="15" t="str">
        <f aca="false">IF(A4149="","",INT(A4149))</f>
        <v/>
      </c>
      <c r="J4149" s="16" t="str">
        <f aca="false">IF(B4149="","",IF(A4149=_xlfn.MINIFS($A$2:$A$5001,$B$2:$B$5001,B4149),1,0))</f>
        <v/>
      </c>
      <c r="K4149" s="16" t="str">
        <f aca="false">IF(B4149="","",IF(AND(D4149="Formalização",E4149="Concluído"),IF(COUNTIFS($B$2:$B$5001,B4149,$E$2:$E$5001,"Em ajustes",$A$2:$A$5001,"&lt;"&amp;I4149)&gt;0,1,0),0))</f>
        <v/>
      </c>
      <c r="L4149" s="16" t="str">
        <f aca="false">IF(B4149="","",IF(A4149=_xlfn.MAXIFS($A$2:$A$5001,$B$2:$B$5001,B4149,$I$2:$I$5001,I4149),1,0))</f>
        <v/>
      </c>
    </row>
    <row r="4150" customFormat="false" ht="15" hidden="false" customHeight="false" outlineLevel="0" collapsed="false">
      <c r="I4150" s="15" t="str">
        <f aca="false">IF(A4150="","",INT(A4150))</f>
        <v/>
      </c>
      <c r="J4150" s="16" t="str">
        <f aca="false">IF(B4150="","",IF(A4150=_xlfn.MINIFS($A$2:$A$5001,$B$2:$B$5001,B4150),1,0))</f>
        <v/>
      </c>
      <c r="K4150" s="16" t="str">
        <f aca="false">IF(B4150="","",IF(AND(D4150="Formalização",E4150="Concluído"),IF(COUNTIFS($B$2:$B$5001,B4150,$E$2:$E$5001,"Em ajustes",$A$2:$A$5001,"&lt;"&amp;I4150)&gt;0,1,0),0))</f>
        <v/>
      </c>
      <c r="L4150" s="16" t="str">
        <f aca="false">IF(B4150="","",IF(A4150=_xlfn.MAXIFS($A$2:$A$5001,$B$2:$B$5001,B4150,$I$2:$I$5001,I4150),1,0))</f>
        <v/>
      </c>
    </row>
    <row r="4151" customFormat="false" ht="15" hidden="false" customHeight="false" outlineLevel="0" collapsed="false">
      <c r="I4151" s="15" t="str">
        <f aca="false">IF(A4151="","",INT(A4151))</f>
        <v/>
      </c>
      <c r="J4151" s="16" t="str">
        <f aca="false">IF(B4151="","",IF(A4151=_xlfn.MINIFS($A$2:$A$5001,$B$2:$B$5001,B4151),1,0))</f>
        <v/>
      </c>
      <c r="K4151" s="16" t="str">
        <f aca="false">IF(B4151="","",IF(AND(D4151="Formalização",E4151="Concluído"),IF(COUNTIFS($B$2:$B$5001,B4151,$E$2:$E$5001,"Em ajustes",$A$2:$A$5001,"&lt;"&amp;I4151)&gt;0,1,0),0))</f>
        <v/>
      </c>
      <c r="L4151" s="16" t="str">
        <f aca="false">IF(B4151="","",IF(A4151=_xlfn.MAXIFS($A$2:$A$5001,$B$2:$B$5001,B4151,$I$2:$I$5001,I4151),1,0))</f>
        <v/>
      </c>
    </row>
    <row r="4152" customFormat="false" ht="15" hidden="false" customHeight="false" outlineLevel="0" collapsed="false">
      <c r="I4152" s="15" t="str">
        <f aca="false">IF(A4152="","",INT(A4152))</f>
        <v/>
      </c>
      <c r="J4152" s="16" t="str">
        <f aca="false">IF(B4152="","",IF(A4152=_xlfn.MINIFS($A$2:$A$5001,$B$2:$B$5001,B4152),1,0))</f>
        <v/>
      </c>
      <c r="K4152" s="16" t="str">
        <f aca="false">IF(B4152="","",IF(AND(D4152="Formalização",E4152="Concluído"),IF(COUNTIFS($B$2:$B$5001,B4152,$E$2:$E$5001,"Em ajustes",$A$2:$A$5001,"&lt;"&amp;I4152)&gt;0,1,0),0))</f>
        <v/>
      </c>
      <c r="L4152" s="16" t="str">
        <f aca="false">IF(B4152="","",IF(A4152=_xlfn.MAXIFS($A$2:$A$5001,$B$2:$B$5001,B4152,$I$2:$I$5001,I4152),1,0))</f>
        <v/>
      </c>
    </row>
    <row r="4153" customFormat="false" ht="15" hidden="false" customHeight="false" outlineLevel="0" collapsed="false">
      <c r="I4153" s="15" t="str">
        <f aca="false">IF(A4153="","",INT(A4153))</f>
        <v/>
      </c>
      <c r="J4153" s="16" t="str">
        <f aca="false">IF(B4153="","",IF(A4153=_xlfn.MINIFS($A$2:$A$5001,$B$2:$B$5001,B4153),1,0))</f>
        <v/>
      </c>
      <c r="K4153" s="16" t="str">
        <f aca="false">IF(B4153="","",IF(AND(D4153="Formalização",E4153="Concluído"),IF(COUNTIFS($B$2:$B$5001,B4153,$E$2:$E$5001,"Em ajustes",$A$2:$A$5001,"&lt;"&amp;I4153)&gt;0,1,0),0))</f>
        <v/>
      </c>
      <c r="L4153" s="16" t="str">
        <f aca="false">IF(B4153="","",IF(A4153=_xlfn.MAXIFS($A$2:$A$5001,$B$2:$B$5001,B4153,$I$2:$I$5001,I4153),1,0))</f>
        <v/>
      </c>
    </row>
    <row r="4154" customFormat="false" ht="15" hidden="false" customHeight="false" outlineLevel="0" collapsed="false">
      <c r="I4154" s="15" t="str">
        <f aca="false">IF(A4154="","",INT(A4154))</f>
        <v/>
      </c>
      <c r="J4154" s="16" t="str">
        <f aca="false">IF(B4154="","",IF(A4154=_xlfn.MINIFS($A$2:$A$5001,$B$2:$B$5001,B4154),1,0))</f>
        <v/>
      </c>
      <c r="K4154" s="16" t="str">
        <f aca="false">IF(B4154="","",IF(AND(D4154="Formalização",E4154="Concluído"),IF(COUNTIFS($B$2:$B$5001,B4154,$E$2:$E$5001,"Em ajustes",$A$2:$A$5001,"&lt;"&amp;I4154)&gt;0,1,0),0))</f>
        <v/>
      </c>
      <c r="L4154" s="16" t="str">
        <f aca="false">IF(B4154="","",IF(A4154=_xlfn.MAXIFS($A$2:$A$5001,$B$2:$B$5001,B4154,$I$2:$I$5001,I4154),1,0))</f>
        <v/>
      </c>
    </row>
    <row r="4155" customFormat="false" ht="15" hidden="false" customHeight="false" outlineLevel="0" collapsed="false">
      <c r="I4155" s="15" t="str">
        <f aca="false">IF(A4155="","",INT(A4155))</f>
        <v/>
      </c>
      <c r="J4155" s="16" t="str">
        <f aca="false">IF(B4155="","",IF(A4155=_xlfn.MINIFS($A$2:$A$5001,$B$2:$B$5001,B4155),1,0))</f>
        <v/>
      </c>
      <c r="K4155" s="16" t="str">
        <f aca="false">IF(B4155="","",IF(AND(D4155="Formalização",E4155="Concluído"),IF(COUNTIFS($B$2:$B$5001,B4155,$E$2:$E$5001,"Em ajustes",$A$2:$A$5001,"&lt;"&amp;I4155)&gt;0,1,0),0))</f>
        <v/>
      </c>
      <c r="L4155" s="16" t="str">
        <f aca="false">IF(B4155="","",IF(A4155=_xlfn.MAXIFS($A$2:$A$5001,$B$2:$B$5001,B4155,$I$2:$I$5001,I4155),1,0))</f>
        <v/>
      </c>
    </row>
    <row r="4156" customFormat="false" ht="15" hidden="false" customHeight="false" outlineLevel="0" collapsed="false">
      <c r="I4156" s="15" t="str">
        <f aca="false">IF(A4156="","",INT(A4156))</f>
        <v/>
      </c>
      <c r="J4156" s="16" t="str">
        <f aca="false">IF(B4156="","",IF(A4156=_xlfn.MINIFS($A$2:$A$5001,$B$2:$B$5001,B4156),1,0))</f>
        <v/>
      </c>
      <c r="K4156" s="16" t="str">
        <f aca="false">IF(B4156="","",IF(AND(D4156="Formalização",E4156="Concluído"),IF(COUNTIFS($B$2:$B$5001,B4156,$E$2:$E$5001,"Em ajustes",$A$2:$A$5001,"&lt;"&amp;I4156)&gt;0,1,0),0))</f>
        <v/>
      </c>
      <c r="L4156" s="16" t="str">
        <f aca="false">IF(B4156="","",IF(A4156=_xlfn.MAXIFS($A$2:$A$5001,$B$2:$B$5001,B4156,$I$2:$I$5001,I4156),1,0))</f>
        <v/>
      </c>
    </row>
    <row r="4157" customFormat="false" ht="15" hidden="false" customHeight="false" outlineLevel="0" collapsed="false">
      <c r="I4157" s="15" t="str">
        <f aca="false">IF(A4157="","",INT(A4157))</f>
        <v/>
      </c>
      <c r="J4157" s="16" t="str">
        <f aca="false">IF(B4157="","",IF(A4157=_xlfn.MINIFS($A$2:$A$5001,$B$2:$B$5001,B4157),1,0))</f>
        <v/>
      </c>
      <c r="K4157" s="16" t="str">
        <f aca="false">IF(B4157="","",IF(AND(D4157="Formalização",E4157="Concluído"),IF(COUNTIFS($B$2:$B$5001,B4157,$E$2:$E$5001,"Em ajustes",$A$2:$A$5001,"&lt;"&amp;I4157)&gt;0,1,0),0))</f>
        <v/>
      </c>
      <c r="L4157" s="16" t="str">
        <f aca="false">IF(B4157="","",IF(A4157=_xlfn.MAXIFS($A$2:$A$5001,$B$2:$B$5001,B4157,$I$2:$I$5001,I4157),1,0))</f>
        <v/>
      </c>
    </row>
    <row r="4158" customFormat="false" ht="15" hidden="false" customHeight="false" outlineLevel="0" collapsed="false">
      <c r="I4158" s="15" t="str">
        <f aca="false">IF(A4158="","",INT(A4158))</f>
        <v/>
      </c>
      <c r="J4158" s="16" t="str">
        <f aca="false">IF(B4158="","",IF(A4158=_xlfn.MINIFS($A$2:$A$5001,$B$2:$B$5001,B4158),1,0))</f>
        <v/>
      </c>
      <c r="K4158" s="16" t="str">
        <f aca="false">IF(B4158="","",IF(AND(D4158="Formalização",E4158="Concluído"),IF(COUNTIFS($B$2:$B$5001,B4158,$E$2:$E$5001,"Em ajustes",$A$2:$A$5001,"&lt;"&amp;I4158)&gt;0,1,0),0))</f>
        <v/>
      </c>
      <c r="L4158" s="16" t="str">
        <f aca="false">IF(B4158="","",IF(A4158=_xlfn.MAXIFS($A$2:$A$5001,$B$2:$B$5001,B4158,$I$2:$I$5001,I4158),1,0))</f>
        <v/>
      </c>
    </row>
    <row r="4159" customFormat="false" ht="15" hidden="false" customHeight="false" outlineLevel="0" collapsed="false">
      <c r="I4159" s="15" t="str">
        <f aca="false">IF(A4159="","",INT(A4159))</f>
        <v/>
      </c>
      <c r="J4159" s="16" t="str">
        <f aca="false">IF(B4159="","",IF(A4159=_xlfn.MINIFS($A$2:$A$5001,$B$2:$B$5001,B4159),1,0))</f>
        <v/>
      </c>
      <c r="K4159" s="16" t="str">
        <f aca="false">IF(B4159="","",IF(AND(D4159="Formalização",E4159="Concluído"),IF(COUNTIFS($B$2:$B$5001,B4159,$E$2:$E$5001,"Em ajustes",$A$2:$A$5001,"&lt;"&amp;I4159)&gt;0,1,0),0))</f>
        <v/>
      </c>
      <c r="L4159" s="16" t="str">
        <f aca="false">IF(B4159="","",IF(A4159=_xlfn.MAXIFS($A$2:$A$5001,$B$2:$B$5001,B4159,$I$2:$I$5001,I4159),1,0))</f>
        <v/>
      </c>
    </row>
    <row r="4160" customFormat="false" ht="15" hidden="false" customHeight="false" outlineLevel="0" collapsed="false">
      <c r="I4160" s="15" t="str">
        <f aca="false">IF(A4160="","",INT(A4160))</f>
        <v/>
      </c>
      <c r="J4160" s="16" t="str">
        <f aca="false">IF(B4160="","",IF(A4160=_xlfn.MINIFS($A$2:$A$5001,$B$2:$B$5001,B4160),1,0))</f>
        <v/>
      </c>
      <c r="K4160" s="16" t="str">
        <f aca="false">IF(B4160="","",IF(AND(D4160="Formalização",E4160="Concluído"),IF(COUNTIFS($B$2:$B$5001,B4160,$E$2:$E$5001,"Em ajustes",$A$2:$A$5001,"&lt;"&amp;I4160)&gt;0,1,0),0))</f>
        <v/>
      </c>
      <c r="L4160" s="16" t="str">
        <f aca="false">IF(B4160="","",IF(A4160=_xlfn.MAXIFS($A$2:$A$5001,$B$2:$B$5001,B4160,$I$2:$I$5001,I4160),1,0))</f>
        <v/>
      </c>
    </row>
    <row r="4161" customFormat="false" ht="15" hidden="false" customHeight="false" outlineLevel="0" collapsed="false">
      <c r="I4161" s="15" t="str">
        <f aca="false">IF(A4161="","",INT(A4161))</f>
        <v/>
      </c>
      <c r="J4161" s="16" t="str">
        <f aca="false">IF(B4161="","",IF(A4161=_xlfn.MINIFS($A$2:$A$5001,$B$2:$B$5001,B4161),1,0))</f>
        <v/>
      </c>
      <c r="K4161" s="16" t="str">
        <f aca="false">IF(B4161="","",IF(AND(D4161="Formalização",E4161="Concluído"),IF(COUNTIFS($B$2:$B$5001,B4161,$E$2:$E$5001,"Em ajustes",$A$2:$A$5001,"&lt;"&amp;I4161)&gt;0,1,0),0))</f>
        <v/>
      </c>
      <c r="L4161" s="16" t="str">
        <f aca="false">IF(B4161="","",IF(A4161=_xlfn.MAXIFS($A$2:$A$5001,$B$2:$B$5001,B4161,$I$2:$I$5001,I4161),1,0))</f>
        <v/>
      </c>
    </row>
    <row r="4162" customFormat="false" ht="15" hidden="false" customHeight="false" outlineLevel="0" collapsed="false">
      <c r="I4162" s="15" t="str">
        <f aca="false">IF(A4162="","",INT(A4162))</f>
        <v/>
      </c>
      <c r="J4162" s="16" t="str">
        <f aca="false">IF(B4162="","",IF(A4162=_xlfn.MINIFS($A$2:$A$5001,$B$2:$B$5001,B4162),1,0))</f>
        <v/>
      </c>
      <c r="K4162" s="16" t="str">
        <f aca="false">IF(B4162="","",IF(AND(D4162="Formalização",E4162="Concluído"),IF(COUNTIFS($B$2:$B$5001,B4162,$E$2:$E$5001,"Em ajustes",$A$2:$A$5001,"&lt;"&amp;I4162)&gt;0,1,0),0))</f>
        <v/>
      </c>
      <c r="L4162" s="16" t="str">
        <f aca="false">IF(B4162="","",IF(A4162=_xlfn.MAXIFS($A$2:$A$5001,$B$2:$B$5001,B4162,$I$2:$I$5001,I4162),1,0))</f>
        <v/>
      </c>
    </row>
    <row r="4163" customFormat="false" ht="15" hidden="false" customHeight="false" outlineLevel="0" collapsed="false">
      <c r="I4163" s="15" t="str">
        <f aca="false">IF(A4163="","",INT(A4163))</f>
        <v/>
      </c>
      <c r="J4163" s="16" t="str">
        <f aca="false">IF(B4163="","",IF(A4163=_xlfn.MINIFS($A$2:$A$5001,$B$2:$B$5001,B4163),1,0))</f>
        <v/>
      </c>
      <c r="K4163" s="16" t="str">
        <f aca="false">IF(B4163="","",IF(AND(D4163="Formalização",E4163="Concluído"),IF(COUNTIFS($B$2:$B$5001,B4163,$E$2:$E$5001,"Em ajustes",$A$2:$A$5001,"&lt;"&amp;I4163)&gt;0,1,0),0))</f>
        <v/>
      </c>
      <c r="L4163" s="16" t="str">
        <f aca="false">IF(B4163="","",IF(A4163=_xlfn.MAXIFS($A$2:$A$5001,$B$2:$B$5001,B4163,$I$2:$I$5001,I4163),1,0))</f>
        <v/>
      </c>
    </row>
    <row r="4164" customFormat="false" ht="15" hidden="false" customHeight="false" outlineLevel="0" collapsed="false">
      <c r="I4164" s="15" t="str">
        <f aca="false">IF(A4164="","",INT(A4164))</f>
        <v/>
      </c>
      <c r="J4164" s="16" t="str">
        <f aca="false">IF(B4164="","",IF(A4164=_xlfn.MINIFS($A$2:$A$5001,$B$2:$B$5001,B4164),1,0))</f>
        <v/>
      </c>
      <c r="K4164" s="16" t="str">
        <f aca="false">IF(B4164="","",IF(AND(D4164="Formalização",E4164="Concluído"),IF(COUNTIFS($B$2:$B$5001,B4164,$E$2:$E$5001,"Em ajustes",$A$2:$A$5001,"&lt;"&amp;I4164)&gt;0,1,0),0))</f>
        <v/>
      </c>
      <c r="L4164" s="16" t="str">
        <f aca="false">IF(B4164="","",IF(A4164=_xlfn.MAXIFS($A$2:$A$5001,$B$2:$B$5001,B4164,$I$2:$I$5001,I4164),1,0))</f>
        <v/>
      </c>
    </row>
    <row r="4165" customFormat="false" ht="15" hidden="false" customHeight="false" outlineLevel="0" collapsed="false">
      <c r="I4165" s="15" t="str">
        <f aca="false">IF(A4165="","",INT(A4165))</f>
        <v/>
      </c>
      <c r="J4165" s="16" t="str">
        <f aca="false">IF(B4165="","",IF(A4165=_xlfn.MINIFS($A$2:$A$5001,$B$2:$B$5001,B4165),1,0))</f>
        <v/>
      </c>
      <c r="K4165" s="16" t="str">
        <f aca="false">IF(B4165="","",IF(AND(D4165="Formalização",E4165="Concluído"),IF(COUNTIFS($B$2:$B$5001,B4165,$E$2:$E$5001,"Em ajustes",$A$2:$A$5001,"&lt;"&amp;I4165)&gt;0,1,0),0))</f>
        <v/>
      </c>
      <c r="L4165" s="16" t="str">
        <f aca="false">IF(B4165="","",IF(A4165=_xlfn.MAXIFS($A$2:$A$5001,$B$2:$B$5001,B4165,$I$2:$I$5001,I4165),1,0))</f>
        <v/>
      </c>
    </row>
    <row r="4166" customFormat="false" ht="15" hidden="false" customHeight="false" outlineLevel="0" collapsed="false">
      <c r="I4166" s="15" t="str">
        <f aca="false">IF(A4166="","",INT(A4166))</f>
        <v/>
      </c>
      <c r="J4166" s="16" t="str">
        <f aca="false">IF(B4166="","",IF(A4166=_xlfn.MINIFS($A$2:$A$5001,$B$2:$B$5001,B4166),1,0))</f>
        <v/>
      </c>
      <c r="K4166" s="16" t="str">
        <f aca="false">IF(B4166="","",IF(AND(D4166="Formalização",E4166="Concluído"),IF(COUNTIFS($B$2:$B$5001,B4166,$E$2:$E$5001,"Em ajustes",$A$2:$A$5001,"&lt;"&amp;I4166)&gt;0,1,0),0))</f>
        <v/>
      </c>
      <c r="L4166" s="16" t="str">
        <f aca="false">IF(B4166="","",IF(A4166=_xlfn.MAXIFS($A$2:$A$5001,$B$2:$B$5001,B4166,$I$2:$I$5001,I4166),1,0))</f>
        <v/>
      </c>
    </row>
    <row r="4167" customFormat="false" ht="15" hidden="false" customHeight="false" outlineLevel="0" collapsed="false">
      <c r="I4167" s="15" t="str">
        <f aca="false">IF(A4167="","",INT(A4167))</f>
        <v/>
      </c>
      <c r="J4167" s="16" t="str">
        <f aca="false">IF(B4167="","",IF(A4167=_xlfn.MINIFS($A$2:$A$5001,$B$2:$B$5001,B4167),1,0))</f>
        <v/>
      </c>
      <c r="K4167" s="16" t="str">
        <f aca="false">IF(B4167="","",IF(AND(D4167="Formalização",E4167="Concluído"),IF(COUNTIFS($B$2:$B$5001,B4167,$E$2:$E$5001,"Em ajustes",$A$2:$A$5001,"&lt;"&amp;I4167)&gt;0,1,0),0))</f>
        <v/>
      </c>
      <c r="L4167" s="16" t="str">
        <f aca="false">IF(B4167="","",IF(A4167=_xlfn.MAXIFS($A$2:$A$5001,$B$2:$B$5001,B4167,$I$2:$I$5001,I4167),1,0))</f>
        <v/>
      </c>
    </row>
    <row r="4168" customFormat="false" ht="15" hidden="false" customHeight="false" outlineLevel="0" collapsed="false">
      <c r="I4168" s="15" t="str">
        <f aca="false">IF(A4168="","",INT(A4168))</f>
        <v/>
      </c>
      <c r="J4168" s="16" t="str">
        <f aca="false">IF(B4168="","",IF(A4168=_xlfn.MINIFS($A$2:$A$5001,$B$2:$B$5001,B4168),1,0))</f>
        <v/>
      </c>
      <c r="K4168" s="16" t="str">
        <f aca="false">IF(B4168="","",IF(AND(D4168="Formalização",E4168="Concluído"),IF(COUNTIFS($B$2:$B$5001,B4168,$E$2:$E$5001,"Em ajustes",$A$2:$A$5001,"&lt;"&amp;I4168)&gt;0,1,0),0))</f>
        <v/>
      </c>
      <c r="L4168" s="16" t="str">
        <f aca="false">IF(B4168="","",IF(A4168=_xlfn.MAXIFS($A$2:$A$5001,$B$2:$B$5001,B4168,$I$2:$I$5001,I4168),1,0))</f>
        <v/>
      </c>
    </row>
    <row r="4169" customFormat="false" ht="15" hidden="false" customHeight="false" outlineLevel="0" collapsed="false">
      <c r="I4169" s="15" t="str">
        <f aca="false">IF(A4169="","",INT(A4169))</f>
        <v/>
      </c>
      <c r="J4169" s="16" t="str">
        <f aca="false">IF(B4169="","",IF(A4169=_xlfn.MINIFS($A$2:$A$5001,$B$2:$B$5001,B4169),1,0))</f>
        <v/>
      </c>
      <c r="K4169" s="16" t="str">
        <f aca="false">IF(B4169="","",IF(AND(D4169="Formalização",E4169="Concluído"),IF(COUNTIFS($B$2:$B$5001,B4169,$E$2:$E$5001,"Em ajustes",$A$2:$A$5001,"&lt;"&amp;I4169)&gt;0,1,0),0))</f>
        <v/>
      </c>
      <c r="L4169" s="16" t="str">
        <f aca="false">IF(B4169="","",IF(A4169=_xlfn.MAXIFS($A$2:$A$5001,$B$2:$B$5001,B4169,$I$2:$I$5001,I4169),1,0))</f>
        <v/>
      </c>
    </row>
    <row r="4170" customFormat="false" ht="15" hidden="false" customHeight="false" outlineLevel="0" collapsed="false">
      <c r="I4170" s="15" t="str">
        <f aca="false">IF(A4170="","",INT(A4170))</f>
        <v/>
      </c>
      <c r="J4170" s="16" t="str">
        <f aca="false">IF(B4170="","",IF(A4170=_xlfn.MINIFS($A$2:$A$5001,$B$2:$B$5001,B4170),1,0))</f>
        <v/>
      </c>
      <c r="K4170" s="16" t="str">
        <f aca="false">IF(B4170="","",IF(AND(D4170="Formalização",E4170="Concluído"),IF(COUNTIFS($B$2:$B$5001,B4170,$E$2:$E$5001,"Em ajustes",$A$2:$A$5001,"&lt;"&amp;I4170)&gt;0,1,0),0))</f>
        <v/>
      </c>
      <c r="L4170" s="16" t="str">
        <f aca="false">IF(B4170="","",IF(A4170=_xlfn.MAXIFS($A$2:$A$5001,$B$2:$B$5001,B4170,$I$2:$I$5001,I4170),1,0))</f>
        <v/>
      </c>
    </row>
    <row r="4171" customFormat="false" ht="15" hidden="false" customHeight="false" outlineLevel="0" collapsed="false">
      <c r="I4171" s="15" t="str">
        <f aca="false">IF(A4171="","",INT(A4171))</f>
        <v/>
      </c>
      <c r="J4171" s="16" t="str">
        <f aca="false">IF(B4171="","",IF(A4171=_xlfn.MINIFS($A$2:$A$5001,$B$2:$B$5001,B4171),1,0))</f>
        <v/>
      </c>
      <c r="K4171" s="16" t="str">
        <f aca="false">IF(B4171="","",IF(AND(D4171="Formalização",E4171="Concluído"),IF(COUNTIFS($B$2:$B$5001,B4171,$E$2:$E$5001,"Em ajustes",$A$2:$A$5001,"&lt;"&amp;I4171)&gt;0,1,0),0))</f>
        <v/>
      </c>
      <c r="L4171" s="16" t="str">
        <f aca="false">IF(B4171="","",IF(A4171=_xlfn.MAXIFS($A$2:$A$5001,$B$2:$B$5001,B4171,$I$2:$I$5001,I4171),1,0))</f>
        <v/>
      </c>
    </row>
    <row r="4172" customFormat="false" ht="15" hidden="false" customHeight="false" outlineLevel="0" collapsed="false">
      <c r="I4172" s="15" t="str">
        <f aca="false">IF(A4172="","",INT(A4172))</f>
        <v/>
      </c>
      <c r="J4172" s="16" t="str">
        <f aca="false">IF(B4172="","",IF(A4172=_xlfn.MINIFS($A$2:$A$5001,$B$2:$B$5001,B4172),1,0))</f>
        <v/>
      </c>
      <c r="K4172" s="16" t="str">
        <f aca="false">IF(B4172="","",IF(AND(D4172="Formalização",E4172="Concluído"),IF(COUNTIFS($B$2:$B$5001,B4172,$E$2:$E$5001,"Em ajustes",$A$2:$A$5001,"&lt;"&amp;I4172)&gt;0,1,0),0))</f>
        <v/>
      </c>
      <c r="L4172" s="16" t="str">
        <f aca="false">IF(B4172="","",IF(A4172=_xlfn.MAXIFS($A$2:$A$5001,$B$2:$B$5001,B4172,$I$2:$I$5001,I4172),1,0))</f>
        <v/>
      </c>
    </row>
    <row r="4173" customFormat="false" ht="15" hidden="false" customHeight="false" outlineLevel="0" collapsed="false">
      <c r="I4173" s="15" t="str">
        <f aca="false">IF(A4173="","",INT(A4173))</f>
        <v/>
      </c>
      <c r="J4173" s="16" t="str">
        <f aca="false">IF(B4173="","",IF(A4173=_xlfn.MINIFS($A$2:$A$5001,$B$2:$B$5001,B4173),1,0))</f>
        <v/>
      </c>
      <c r="K4173" s="16" t="str">
        <f aca="false">IF(B4173="","",IF(AND(D4173="Formalização",E4173="Concluído"),IF(COUNTIFS($B$2:$B$5001,B4173,$E$2:$E$5001,"Em ajustes",$A$2:$A$5001,"&lt;"&amp;I4173)&gt;0,1,0),0))</f>
        <v/>
      </c>
      <c r="L4173" s="16" t="str">
        <f aca="false">IF(B4173="","",IF(A4173=_xlfn.MAXIFS($A$2:$A$5001,$B$2:$B$5001,B4173,$I$2:$I$5001,I4173),1,0))</f>
        <v/>
      </c>
    </row>
    <row r="4174" customFormat="false" ht="15" hidden="false" customHeight="false" outlineLevel="0" collapsed="false">
      <c r="I4174" s="15" t="str">
        <f aca="false">IF(A4174="","",INT(A4174))</f>
        <v/>
      </c>
      <c r="J4174" s="16" t="str">
        <f aca="false">IF(B4174="","",IF(A4174=_xlfn.MINIFS($A$2:$A$5001,$B$2:$B$5001,B4174),1,0))</f>
        <v/>
      </c>
      <c r="K4174" s="16" t="str">
        <f aca="false">IF(B4174="","",IF(AND(D4174="Formalização",E4174="Concluído"),IF(COUNTIFS($B$2:$B$5001,B4174,$E$2:$E$5001,"Em ajustes",$A$2:$A$5001,"&lt;"&amp;I4174)&gt;0,1,0),0))</f>
        <v/>
      </c>
      <c r="L4174" s="16" t="str">
        <f aca="false">IF(B4174="","",IF(A4174=_xlfn.MAXIFS($A$2:$A$5001,$B$2:$B$5001,B4174,$I$2:$I$5001,I4174),1,0))</f>
        <v/>
      </c>
    </row>
    <row r="4175" customFormat="false" ht="15" hidden="false" customHeight="false" outlineLevel="0" collapsed="false">
      <c r="I4175" s="15" t="str">
        <f aca="false">IF(A4175="","",INT(A4175))</f>
        <v/>
      </c>
      <c r="J4175" s="16" t="str">
        <f aca="false">IF(B4175="","",IF(A4175=_xlfn.MINIFS($A$2:$A$5001,$B$2:$B$5001,B4175),1,0))</f>
        <v/>
      </c>
      <c r="K4175" s="16" t="str">
        <f aca="false">IF(B4175="","",IF(AND(D4175="Formalização",E4175="Concluído"),IF(COUNTIFS($B$2:$B$5001,B4175,$E$2:$E$5001,"Em ajustes",$A$2:$A$5001,"&lt;"&amp;I4175)&gt;0,1,0),0))</f>
        <v/>
      </c>
      <c r="L4175" s="16" t="str">
        <f aca="false">IF(B4175="","",IF(A4175=_xlfn.MAXIFS($A$2:$A$5001,$B$2:$B$5001,B4175,$I$2:$I$5001,I4175),1,0))</f>
        <v/>
      </c>
    </row>
    <row r="4176" customFormat="false" ht="15" hidden="false" customHeight="false" outlineLevel="0" collapsed="false">
      <c r="I4176" s="15" t="str">
        <f aca="false">IF(A4176="","",INT(A4176))</f>
        <v/>
      </c>
      <c r="J4176" s="16" t="str">
        <f aca="false">IF(B4176="","",IF(A4176=_xlfn.MINIFS($A$2:$A$5001,$B$2:$B$5001,B4176),1,0))</f>
        <v/>
      </c>
      <c r="K4176" s="16" t="str">
        <f aca="false">IF(B4176="","",IF(AND(D4176="Formalização",E4176="Concluído"),IF(COUNTIFS($B$2:$B$5001,B4176,$E$2:$E$5001,"Em ajustes",$A$2:$A$5001,"&lt;"&amp;I4176)&gt;0,1,0),0))</f>
        <v/>
      </c>
      <c r="L4176" s="16" t="str">
        <f aca="false">IF(B4176="","",IF(A4176=_xlfn.MAXIFS($A$2:$A$5001,$B$2:$B$5001,B4176,$I$2:$I$5001,I4176),1,0))</f>
        <v/>
      </c>
    </row>
    <row r="4177" customFormat="false" ht="15" hidden="false" customHeight="false" outlineLevel="0" collapsed="false">
      <c r="I4177" s="15" t="str">
        <f aca="false">IF(A4177="","",INT(A4177))</f>
        <v/>
      </c>
      <c r="J4177" s="16" t="str">
        <f aca="false">IF(B4177="","",IF(A4177=_xlfn.MINIFS($A$2:$A$5001,$B$2:$B$5001,B4177),1,0))</f>
        <v/>
      </c>
      <c r="K4177" s="16" t="str">
        <f aca="false">IF(B4177="","",IF(AND(D4177="Formalização",E4177="Concluído"),IF(COUNTIFS($B$2:$B$5001,B4177,$E$2:$E$5001,"Em ajustes",$A$2:$A$5001,"&lt;"&amp;I4177)&gt;0,1,0),0))</f>
        <v/>
      </c>
      <c r="L4177" s="16" t="str">
        <f aca="false">IF(B4177="","",IF(A4177=_xlfn.MAXIFS($A$2:$A$5001,$B$2:$B$5001,B4177,$I$2:$I$5001,I4177),1,0))</f>
        <v/>
      </c>
    </row>
    <row r="4178" customFormat="false" ht="15" hidden="false" customHeight="false" outlineLevel="0" collapsed="false">
      <c r="I4178" s="15" t="str">
        <f aca="false">IF(A4178="","",INT(A4178))</f>
        <v/>
      </c>
      <c r="J4178" s="16" t="str">
        <f aca="false">IF(B4178="","",IF(A4178=_xlfn.MINIFS($A$2:$A$5001,$B$2:$B$5001,B4178),1,0))</f>
        <v/>
      </c>
      <c r="K4178" s="16" t="str">
        <f aca="false">IF(B4178="","",IF(AND(D4178="Formalização",E4178="Concluído"),IF(COUNTIFS($B$2:$B$5001,B4178,$E$2:$E$5001,"Em ajustes",$A$2:$A$5001,"&lt;"&amp;I4178)&gt;0,1,0),0))</f>
        <v/>
      </c>
      <c r="L4178" s="16" t="str">
        <f aca="false">IF(B4178="","",IF(A4178=_xlfn.MAXIFS($A$2:$A$5001,$B$2:$B$5001,B4178,$I$2:$I$5001,I4178),1,0))</f>
        <v/>
      </c>
    </row>
    <row r="4179" customFormat="false" ht="15" hidden="false" customHeight="false" outlineLevel="0" collapsed="false">
      <c r="I4179" s="15" t="str">
        <f aca="false">IF(A4179="","",INT(A4179))</f>
        <v/>
      </c>
      <c r="J4179" s="16" t="str">
        <f aca="false">IF(B4179="","",IF(A4179=_xlfn.MINIFS($A$2:$A$5001,$B$2:$B$5001,B4179),1,0))</f>
        <v/>
      </c>
      <c r="K4179" s="16" t="str">
        <f aca="false">IF(B4179="","",IF(AND(D4179="Formalização",E4179="Concluído"),IF(COUNTIFS($B$2:$B$5001,B4179,$E$2:$E$5001,"Em ajustes",$A$2:$A$5001,"&lt;"&amp;I4179)&gt;0,1,0),0))</f>
        <v/>
      </c>
      <c r="L4179" s="16" t="str">
        <f aca="false">IF(B4179="","",IF(A4179=_xlfn.MAXIFS($A$2:$A$5001,$B$2:$B$5001,B4179,$I$2:$I$5001,I4179),1,0))</f>
        <v/>
      </c>
    </row>
    <row r="4180" customFormat="false" ht="15" hidden="false" customHeight="false" outlineLevel="0" collapsed="false">
      <c r="I4180" s="15" t="str">
        <f aca="false">IF(A4180="","",INT(A4180))</f>
        <v/>
      </c>
      <c r="J4180" s="16" t="str">
        <f aca="false">IF(B4180="","",IF(A4180=_xlfn.MINIFS($A$2:$A$5001,$B$2:$B$5001,B4180),1,0))</f>
        <v/>
      </c>
      <c r="K4180" s="16" t="str">
        <f aca="false">IF(B4180="","",IF(AND(D4180="Formalização",E4180="Concluído"),IF(COUNTIFS($B$2:$B$5001,B4180,$E$2:$E$5001,"Em ajustes",$A$2:$A$5001,"&lt;"&amp;I4180)&gt;0,1,0),0))</f>
        <v/>
      </c>
      <c r="L4180" s="16" t="str">
        <f aca="false">IF(B4180="","",IF(A4180=_xlfn.MAXIFS($A$2:$A$5001,$B$2:$B$5001,B4180,$I$2:$I$5001,I4180),1,0))</f>
        <v/>
      </c>
    </row>
    <row r="4181" customFormat="false" ht="15" hidden="false" customHeight="false" outlineLevel="0" collapsed="false">
      <c r="I4181" s="15" t="str">
        <f aca="false">IF(A4181="","",INT(A4181))</f>
        <v/>
      </c>
      <c r="J4181" s="16" t="str">
        <f aca="false">IF(B4181="","",IF(A4181=_xlfn.MINIFS($A$2:$A$5001,$B$2:$B$5001,B4181),1,0))</f>
        <v/>
      </c>
      <c r="K4181" s="16" t="str">
        <f aca="false">IF(B4181="","",IF(AND(D4181="Formalização",E4181="Concluído"),IF(COUNTIFS($B$2:$B$5001,B4181,$E$2:$E$5001,"Em ajustes",$A$2:$A$5001,"&lt;"&amp;I4181)&gt;0,1,0),0))</f>
        <v/>
      </c>
      <c r="L4181" s="16" t="str">
        <f aca="false">IF(B4181="","",IF(A4181=_xlfn.MAXIFS($A$2:$A$5001,$B$2:$B$5001,B4181,$I$2:$I$5001,I4181),1,0))</f>
        <v/>
      </c>
    </row>
    <row r="4182" customFormat="false" ht="15" hidden="false" customHeight="false" outlineLevel="0" collapsed="false">
      <c r="I4182" s="15" t="str">
        <f aca="false">IF(A4182="","",INT(A4182))</f>
        <v/>
      </c>
      <c r="J4182" s="16" t="str">
        <f aca="false">IF(B4182="","",IF(A4182=_xlfn.MINIFS($A$2:$A$5001,$B$2:$B$5001,B4182),1,0))</f>
        <v/>
      </c>
      <c r="K4182" s="16" t="str">
        <f aca="false">IF(B4182="","",IF(AND(D4182="Formalização",E4182="Concluído"),IF(COUNTIFS($B$2:$B$5001,B4182,$E$2:$E$5001,"Em ajustes",$A$2:$A$5001,"&lt;"&amp;I4182)&gt;0,1,0),0))</f>
        <v/>
      </c>
      <c r="L4182" s="16" t="str">
        <f aca="false">IF(B4182="","",IF(A4182=_xlfn.MAXIFS($A$2:$A$5001,$B$2:$B$5001,B4182,$I$2:$I$5001,I4182),1,0))</f>
        <v/>
      </c>
    </row>
    <row r="4183" customFormat="false" ht="15" hidden="false" customHeight="false" outlineLevel="0" collapsed="false">
      <c r="I4183" s="15" t="str">
        <f aca="false">IF(A4183="","",INT(A4183))</f>
        <v/>
      </c>
      <c r="J4183" s="16" t="str">
        <f aca="false">IF(B4183="","",IF(A4183=_xlfn.MINIFS($A$2:$A$5001,$B$2:$B$5001,B4183),1,0))</f>
        <v/>
      </c>
      <c r="K4183" s="16" t="str">
        <f aca="false">IF(B4183="","",IF(AND(D4183="Formalização",E4183="Concluído"),IF(COUNTIFS($B$2:$B$5001,B4183,$E$2:$E$5001,"Em ajustes",$A$2:$A$5001,"&lt;"&amp;I4183)&gt;0,1,0),0))</f>
        <v/>
      </c>
      <c r="L4183" s="16" t="str">
        <f aca="false">IF(B4183="","",IF(A4183=_xlfn.MAXIFS($A$2:$A$5001,$B$2:$B$5001,B4183,$I$2:$I$5001,I4183),1,0))</f>
        <v/>
      </c>
    </row>
    <row r="4184" customFormat="false" ht="15" hidden="false" customHeight="false" outlineLevel="0" collapsed="false">
      <c r="I4184" s="15" t="str">
        <f aca="false">IF(A4184="","",INT(A4184))</f>
        <v/>
      </c>
      <c r="J4184" s="16" t="str">
        <f aca="false">IF(B4184="","",IF(A4184=_xlfn.MINIFS($A$2:$A$5001,$B$2:$B$5001,B4184),1,0))</f>
        <v/>
      </c>
      <c r="K4184" s="16" t="str">
        <f aca="false">IF(B4184="","",IF(AND(D4184="Formalização",E4184="Concluído"),IF(COUNTIFS($B$2:$B$5001,B4184,$E$2:$E$5001,"Em ajustes",$A$2:$A$5001,"&lt;"&amp;I4184)&gt;0,1,0),0))</f>
        <v/>
      </c>
      <c r="L4184" s="16" t="str">
        <f aca="false">IF(B4184="","",IF(A4184=_xlfn.MAXIFS($A$2:$A$5001,$B$2:$B$5001,B4184,$I$2:$I$5001,I4184),1,0))</f>
        <v/>
      </c>
    </row>
    <row r="4185" customFormat="false" ht="15" hidden="false" customHeight="false" outlineLevel="0" collapsed="false">
      <c r="I4185" s="15" t="str">
        <f aca="false">IF(A4185="","",INT(A4185))</f>
        <v/>
      </c>
      <c r="J4185" s="16" t="str">
        <f aca="false">IF(B4185="","",IF(A4185=_xlfn.MINIFS($A$2:$A$5001,$B$2:$B$5001,B4185),1,0))</f>
        <v/>
      </c>
      <c r="K4185" s="16" t="str">
        <f aca="false">IF(B4185="","",IF(AND(D4185="Formalização",E4185="Concluído"),IF(COUNTIFS($B$2:$B$5001,B4185,$E$2:$E$5001,"Em ajustes",$A$2:$A$5001,"&lt;"&amp;I4185)&gt;0,1,0),0))</f>
        <v/>
      </c>
      <c r="L4185" s="16" t="str">
        <f aca="false">IF(B4185="","",IF(A4185=_xlfn.MAXIFS($A$2:$A$5001,$B$2:$B$5001,B4185,$I$2:$I$5001,I4185),1,0))</f>
        <v/>
      </c>
    </row>
    <row r="4186" customFormat="false" ht="15" hidden="false" customHeight="false" outlineLevel="0" collapsed="false">
      <c r="I4186" s="15" t="str">
        <f aca="false">IF(A4186="","",INT(A4186))</f>
        <v/>
      </c>
      <c r="J4186" s="16" t="str">
        <f aca="false">IF(B4186="","",IF(A4186=_xlfn.MINIFS($A$2:$A$5001,$B$2:$B$5001,B4186),1,0))</f>
        <v/>
      </c>
      <c r="K4186" s="16" t="str">
        <f aca="false">IF(B4186="","",IF(AND(D4186="Formalização",E4186="Concluído"),IF(COUNTIFS($B$2:$B$5001,B4186,$E$2:$E$5001,"Em ajustes",$A$2:$A$5001,"&lt;"&amp;I4186)&gt;0,1,0),0))</f>
        <v/>
      </c>
      <c r="L4186" s="16" t="str">
        <f aca="false">IF(B4186="","",IF(A4186=_xlfn.MAXIFS($A$2:$A$5001,$B$2:$B$5001,B4186,$I$2:$I$5001,I4186),1,0))</f>
        <v/>
      </c>
    </row>
    <row r="4187" customFormat="false" ht="15" hidden="false" customHeight="false" outlineLevel="0" collapsed="false">
      <c r="I4187" s="15" t="str">
        <f aca="false">IF(A4187="","",INT(A4187))</f>
        <v/>
      </c>
      <c r="J4187" s="16" t="str">
        <f aca="false">IF(B4187="","",IF(A4187=_xlfn.MINIFS($A$2:$A$5001,$B$2:$B$5001,B4187),1,0))</f>
        <v/>
      </c>
      <c r="K4187" s="16" t="str">
        <f aca="false">IF(B4187="","",IF(AND(D4187="Formalização",E4187="Concluído"),IF(COUNTIFS($B$2:$B$5001,B4187,$E$2:$E$5001,"Em ajustes",$A$2:$A$5001,"&lt;"&amp;I4187)&gt;0,1,0),0))</f>
        <v/>
      </c>
      <c r="L4187" s="16" t="str">
        <f aca="false">IF(B4187="","",IF(A4187=_xlfn.MAXIFS($A$2:$A$5001,$B$2:$B$5001,B4187,$I$2:$I$5001,I4187),1,0))</f>
        <v/>
      </c>
    </row>
    <row r="4188" customFormat="false" ht="15" hidden="false" customHeight="false" outlineLevel="0" collapsed="false">
      <c r="I4188" s="15" t="str">
        <f aca="false">IF(A4188="","",INT(A4188))</f>
        <v/>
      </c>
      <c r="J4188" s="16" t="str">
        <f aca="false">IF(B4188="","",IF(A4188=_xlfn.MINIFS($A$2:$A$5001,$B$2:$B$5001,B4188),1,0))</f>
        <v/>
      </c>
      <c r="K4188" s="16" t="str">
        <f aca="false">IF(B4188="","",IF(AND(D4188="Formalização",E4188="Concluído"),IF(COUNTIFS($B$2:$B$5001,B4188,$E$2:$E$5001,"Em ajustes",$A$2:$A$5001,"&lt;"&amp;I4188)&gt;0,1,0),0))</f>
        <v/>
      </c>
      <c r="L4188" s="16" t="str">
        <f aca="false">IF(B4188="","",IF(A4188=_xlfn.MAXIFS($A$2:$A$5001,$B$2:$B$5001,B4188,$I$2:$I$5001,I4188),1,0))</f>
        <v/>
      </c>
    </row>
    <row r="4189" customFormat="false" ht="15" hidden="false" customHeight="false" outlineLevel="0" collapsed="false">
      <c r="I4189" s="15" t="str">
        <f aca="false">IF(A4189="","",INT(A4189))</f>
        <v/>
      </c>
      <c r="J4189" s="16" t="str">
        <f aca="false">IF(B4189="","",IF(A4189=_xlfn.MINIFS($A$2:$A$5001,$B$2:$B$5001,B4189),1,0))</f>
        <v/>
      </c>
      <c r="K4189" s="16" t="str">
        <f aca="false">IF(B4189="","",IF(AND(D4189="Formalização",E4189="Concluído"),IF(COUNTIFS($B$2:$B$5001,B4189,$E$2:$E$5001,"Em ajustes",$A$2:$A$5001,"&lt;"&amp;I4189)&gt;0,1,0),0))</f>
        <v/>
      </c>
      <c r="L4189" s="16" t="str">
        <f aca="false">IF(B4189="","",IF(A4189=_xlfn.MAXIFS($A$2:$A$5001,$B$2:$B$5001,B4189,$I$2:$I$5001,I4189),1,0))</f>
        <v/>
      </c>
    </row>
    <row r="4190" customFormat="false" ht="15" hidden="false" customHeight="false" outlineLevel="0" collapsed="false">
      <c r="I4190" s="15" t="str">
        <f aca="false">IF(A4190="","",INT(A4190))</f>
        <v/>
      </c>
      <c r="J4190" s="16" t="str">
        <f aca="false">IF(B4190="","",IF(A4190=_xlfn.MINIFS($A$2:$A$5001,$B$2:$B$5001,B4190),1,0))</f>
        <v/>
      </c>
      <c r="K4190" s="16" t="str">
        <f aca="false">IF(B4190="","",IF(AND(D4190="Formalização",E4190="Concluído"),IF(COUNTIFS($B$2:$B$5001,B4190,$E$2:$E$5001,"Em ajustes",$A$2:$A$5001,"&lt;"&amp;I4190)&gt;0,1,0),0))</f>
        <v/>
      </c>
      <c r="L4190" s="16" t="str">
        <f aca="false">IF(B4190="","",IF(A4190=_xlfn.MAXIFS($A$2:$A$5001,$B$2:$B$5001,B4190,$I$2:$I$5001,I4190),1,0))</f>
        <v/>
      </c>
    </row>
    <row r="4191" customFormat="false" ht="15" hidden="false" customHeight="false" outlineLevel="0" collapsed="false">
      <c r="I4191" s="15" t="str">
        <f aca="false">IF(A4191="","",INT(A4191))</f>
        <v/>
      </c>
      <c r="J4191" s="16" t="str">
        <f aca="false">IF(B4191="","",IF(A4191=_xlfn.MINIFS($A$2:$A$5001,$B$2:$B$5001,B4191),1,0))</f>
        <v/>
      </c>
      <c r="K4191" s="16" t="str">
        <f aca="false">IF(B4191="","",IF(AND(D4191="Formalização",E4191="Concluído"),IF(COUNTIFS($B$2:$B$5001,B4191,$E$2:$E$5001,"Em ajustes",$A$2:$A$5001,"&lt;"&amp;I4191)&gt;0,1,0),0))</f>
        <v/>
      </c>
      <c r="L4191" s="16" t="str">
        <f aca="false">IF(B4191="","",IF(A4191=_xlfn.MAXIFS($A$2:$A$5001,$B$2:$B$5001,B4191,$I$2:$I$5001,I4191),1,0))</f>
        <v/>
      </c>
    </row>
    <row r="4192" customFormat="false" ht="15" hidden="false" customHeight="false" outlineLevel="0" collapsed="false">
      <c r="I4192" s="15" t="str">
        <f aca="false">IF(A4192="","",INT(A4192))</f>
        <v/>
      </c>
      <c r="J4192" s="16" t="str">
        <f aca="false">IF(B4192="","",IF(A4192=_xlfn.MINIFS($A$2:$A$5001,$B$2:$B$5001,B4192),1,0))</f>
        <v/>
      </c>
      <c r="K4192" s="16" t="str">
        <f aca="false">IF(B4192="","",IF(AND(D4192="Formalização",E4192="Concluído"),IF(COUNTIFS($B$2:$B$5001,B4192,$E$2:$E$5001,"Em ajustes",$A$2:$A$5001,"&lt;"&amp;I4192)&gt;0,1,0),0))</f>
        <v/>
      </c>
      <c r="L4192" s="16" t="str">
        <f aca="false">IF(B4192="","",IF(A4192=_xlfn.MAXIFS($A$2:$A$5001,$B$2:$B$5001,B4192,$I$2:$I$5001,I4192),1,0))</f>
        <v/>
      </c>
    </row>
    <row r="4193" customFormat="false" ht="15" hidden="false" customHeight="false" outlineLevel="0" collapsed="false">
      <c r="I4193" s="15" t="str">
        <f aca="false">IF(A4193="","",INT(A4193))</f>
        <v/>
      </c>
      <c r="J4193" s="16" t="str">
        <f aca="false">IF(B4193="","",IF(A4193=_xlfn.MINIFS($A$2:$A$5001,$B$2:$B$5001,B4193),1,0))</f>
        <v/>
      </c>
      <c r="K4193" s="16" t="str">
        <f aca="false">IF(B4193="","",IF(AND(D4193="Formalização",E4193="Concluído"),IF(COUNTIFS($B$2:$B$5001,B4193,$E$2:$E$5001,"Em ajustes",$A$2:$A$5001,"&lt;"&amp;I4193)&gt;0,1,0),0))</f>
        <v/>
      </c>
      <c r="L4193" s="16" t="str">
        <f aca="false">IF(B4193="","",IF(A4193=_xlfn.MAXIFS($A$2:$A$5001,$B$2:$B$5001,B4193,$I$2:$I$5001,I4193),1,0))</f>
        <v/>
      </c>
    </row>
    <row r="4194" customFormat="false" ht="15" hidden="false" customHeight="false" outlineLevel="0" collapsed="false">
      <c r="I4194" s="15" t="str">
        <f aca="false">IF(A4194="","",INT(A4194))</f>
        <v/>
      </c>
      <c r="J4194" s="16" t="str">
        <f aca="false">IF(B4194="","",IF(A4194=_xlfn.MINIFS($A$2:$A$5001,$B$2:$B$5001,B4194),1,0))</f>
        <v/>
      </c>
      <c r="K4194" s="16" t="str">
        <f aca="false">IF(B4194="","",IF(AND(D4194="Formalização",E4194="Concluído"),IF(COUNTIFS($B$2:$B$5001,B4194,$E$2:$E$5001,"Em ajustes",$A$2:$A$5001,"&lt;"&amp;I4194)&gt;0,1,0),0))</f>
        <v/>
      </c>
      <c r="L4194" s="16" t="str">
        <f aca="false">IF(B4194="","",IF(A4194=_xlfn.MAXIFS($A$2:$A$5001,$B$2:$B$5001,B4194,$I$2:$I$5001,I4194),1,0))</f>
        <v/>
      </c>
    </row>
    <row r="4195" customFormat="false" ht="15" hidden="false" customHeight="false" outlineLevel="0" collapsed="false">
      <c r="I4195" s="15" t="str">
        <f aca="false">IF(A4195="","",INT(A4195))</f>
        <v/>
      </c>
      <c r="J4195" s="16" t="str">
        <f aca="false">IF(B4195="","",IF(A4195=_xlfn.MINIFS($A$2:$A$5001,$B$2:$B$5001,B4195),1,0))</f>
        <v/>
      </c>
      <c r="K4195" s="16" t="str">
        <f aca="false">IF(B4195="","",IF(AND(D4195="Formalização",E4195="Concluído"),IF(COUNTIFS($B$2:$B$5001,B4195,$E$2:$E$5001,"Em ajustes",$A$2:$A$5001,"&lt;"&amp;I4195)&gt;0,1,0),0))</f>
        <v/>
      </c>
      <c r="L4195" s="16" t="str">
        <f aca="false">IF(B4195="","",IF(A4195=_xlfn.MAXIFS($A$2:$A$5001,$B$2:$B$5001,B4195,$I$2:$I$5001,I4195),1,0))</f>
        <v/>
      </c>
    </row>
    <row r="4196" customFormat="false" ht="15" hidden="false" customHeight="false" outlineLevel="0" collapsed="false">
      <c r="I4196" s="15" t="str">
        <f aca="false">IF(A4196="","",INT(A4196))</f>
        <v/>
      </c>
      <c r="J4196" s="16" t="str">
        <f aca="false">IF(B4196="","",IF(A4196=_xlfn.MINIFS($A$2:$A$5001,$B$2:$B$5001,B4196),1,0))</f>
        <v/>
      </c>
      <c r="K4196" s="16" t="str">
        <f aca="false">IF(B4196="","",IF(AND(D4196="Formalização",E4196="Concluído"),IF(COUNTIFS($B$2:$B$5001,B4196,$E$2:$E$5001,"Em ajustes",$A$2:$A$5001,"&lt;"&amp;I4196)&gt;0,1,0),0))</f>
        <v/>
      </c>
      <c r="L4196" s="16" t="str">
        <f aca="false">IF(B4196="","",IF(A4196=_xlfn.MAXIFS($A$2:$A$5001,$B$2:$B$5001,B4196,$I$2:$I$5001,I4196),1,0))</f>
        <v/>
      </c>
    </row>
    <row r="4197" customFormat="false" ht="15" hidden="false" customHeight="false" outlineLevel="0" collapsed="false">
      <c r="I4197" s="15" t="str">
        <f aca="false">IF(A4197="","",INT(A4197))</f>
        <v/>
      </c>
      <c r="J4197" s="16" t="str">
        <f aca="false">IF(B4197="","",IF(A4197=_xlfn.MINIFS($A$2:$A$5001,$B$2:$B$5001,B4197),1,0))</f>
        <v/>
      </c>
      <c r="K4197" s="16" t="str">
        <f aca="false">IF(B4197="","",IF(AND(D4197="Formalização",E4197="Concluído"),IF(COUNTIFS($B$2:$B$5001,B4197,$E$2:$E$5001,"Em ajustes",$A$2:$A$5001,"&lt;"&amp;I4197)&gt;0,1,0),0))</f>
        <v/>
      </c>
      <c r="L4197" s="16" t="str">
        <f aca="false">IF(B4197="","",IF(A4197=_xlfn.MAXIFS($A$2:$A$5001,$B$2:$B$5001,B4197,$I$2:$I$5001,I4197),1,0))</f>
        <v/>
      </c>
    </row>
    <row r="4198" customFormat="false" ht="15" hidden="false" customHeight="false" outlineLevel="0" collapsed="false">
      <c r="I4198" s="15" t="str">
        <f aca="false">IF(A4198="","",INT(A4198))</f>
        <v/>
      </c>
      <c r="J4198" s="16" t="str">
        <f aca="false">IF(B4198="","",IF(A4198=_xlfn.MINIFS($A$2:$A$5001,$B$2:$B$5001,B4198),1,0))</f>
        <v/>
      </c>
      <c r="K4198" s="16" t="str">
        <f aca="false">IF(B4198="","",IF(AND(D4198="Formalização",E4198="Concluído"),IF(COUNTIFS($B$2:$B$5001,B4198,$E$2:$E$5001,"Em ajustes",$A$2:$A$5001,"&lt;"&amp;I4198)&gt;0,1,0),0))</f>
        <v/>
      </c>
      <c r="L4198" s="16" t="str">
        <f aca="false">IF(B4198="","",IF(A4198=_xlfn.MAXIFS($A$2:$A$5001,$B$2:$B$5001,B4198,$I$2:$I$5001,I4198),1,0))</f>
        <v/>
      </c>
    </row>
    <row r="4199" customFormat="false" ht="15" hidden="false" customHeight="false" outlineLevel="0" collapsed="false">
      <c r="I4199" s="15" t="str">
        <f aca="false">IF(A4199="","",INT(A4199))</f>
        <v/>
      </c>
      <c r="J4199" s="16" t="str">
        <f aca="false">IF(B4199="","",IF(A4199=_xlfn.MINIFS($A$2:$A$5001,$B$2:$B$5001,B4199),1,0))</f>
        <v/>
      </c>
      <c r="K4199" s="16" t="str">
        <f aca="false">IF(B4199="","",IF(AND(D4199="Formalização",E4199="Concluído"),IF(COUNTIFS($B$2:$B$5001,B4199,$E$2:$E$5001,"Em ajustes",$A$2:$A$5001,"&lt;"&amp;I4199)&gt;0,1,0),0))</f>
        <v/>
      </c>
      <c r="L4199" s="16" t="str">
        <f aca="false">IF(B4199="","",IF(A4199=_xlfn.MAXIFS($A$2:$A$5001,$B$2:$B$5001,B4199,$I$2:$I$5001,I4199),1,0))</f>
        <v/>
      </c>
    </row>
    <row r="4200" customFormat="false" ht="15" hidden="false" customHeight="false" outlineLevel="0" collapsed="false">
      <c r="I4200" s="15" t="str">
        <f aca="false">IF(A4200="","",INT(A4200))</f>
        <v/>
      </c>
      <c r="J4200" s="16" t="str">
        <f aca="false">IF(B4200="","",IF(A4200=_xlfn.MINIFS($A$2:$A$5001,$B$2:$B$5001,B4200),1,0))</f>
        <v/>
      </c>
      <c r="K4200" s="16" t="str">
        <f aca="false">IF(B4200="","",IF(AND(D4200="Formalização",E4200="Concluído"),IF(COUNTIFS($B$2:$B$5001,B4200,$E$2:$E$5001,"Em ajustes",$A$2:$A$5001,"&lt;"&amp;I4200)&gt;0,1,0),0))</f>
        <v/>
      </c>
      <c r="L4200" s="16" t="str">
        <f aca="false">IF(B4200="","",IF(A4200=_xlfn.MAXIFS($A$2:$A$5001,$B$2:$B$5001,B4200,$I$2:$I$5001,I4200),1,0))</f>
        <v/>
      </c>
    </row>
    <row r="4201" customFormat="false" ht="15" hidden="false" customHeight="false" outlineLevel="0" collapsed="false">
      <c r="I4201" s="15" t="str">
        <f aca="false">IF(A4201="","",INT(A4201))</f>
        <v/>
      </c>
      <c r="J4201" s="16" t="str">
        <f aca="false">IF(B4201="","",IF(A4201=_xlfn.MINIFS($A$2:$A$5001,$B$2:$B$5001,B4201),1,0))</f>
        <v/>
      </c>
      <c r="K4201" s="16" t="str">
        <f aca="false">IF(B4201="","",IF(AND(D4201="Formalização",E4201="Concluído"),IF(COUNTIFS($B$2:$B$5001,B4201,$E$2:$E$5001,"Em ajustes",$A$2:$A$5001,"&lt;"&amp;I4201)&gt;0,1,0),0))</f>
        <v/>
      </c>
      <c r="L4201" s="16" t="str">
        <f aca="false">IF(B4201="","",IF(A4201=_xlfn.MAXIFS($A$2:$A$5001,$B$2:$B$5001,B4201,$I$2:$I$5001,I4201),1,0))</f>
        <v/>
      </c>
    </row>
    <row r="4202" customFormat="false" ht="15" hidden="false" customHeight="false" outlineLevel="0" collapsed="false">
      <c r="I4202" s="15" t="str">
        <f aca="false">IF(A4202="","",INT(A4202))</f>
        <v/>
      </c>
      <c r="J4202" s="16" t="str">
        <f aca="false">IF(B4202="","",IF(A4202=_xlfn.MINIFS($A$2:$A$5001,$B$2:$B$5001,B4202),1,0))</f>
        <v/>
      </c>
      <c r="K4202" s="16" t="str">
        <f aca="false">IF(B4202="","",IF(AND(D4202="Formalização",E4202="Concluído"),IF(COUNTIFS($B$2:$B$5001,B4202,$E$2:$E$5001,"Em ajustes",$A$2:$A$5001,"&lt;"&amp;I4202)&gt;0,1,0),0))</f>
        <v/>
      </c>
      <c r="L4202" s="16" t="str">
        <f aca="false">IF(B4202="","",IF(A4202=_xlfn.MAXIFS($A$2:$A$5001,$B$2:$B$5001,B4202,$I$2:$I$5001,I4202),1,0))</f>
        <v/>
      </c>
    </row>
    <row r="4203" customFormat="false" ht="15" hidden="false" customHeight="false" outlineLevel="0" collapsed="false">
      <c r="I4203" s="15" t="str">
        <f aca="false">IF(A4203="","",INT(A4203))</f>
        <v/>
      </c>
      <c r="J4203" s="16" t="str">
        <f aca="false">IF(B4203="","",IF(A4203=_xlfn.MINIFS($A$2:$A$5001,$B$2:$B$5001,B4203),1,0))</f>
        <v/>
      </c>
      <c r="K4203" s="16" t="str">
        <f aca="false">IF(B4203="","",IF(AND(D4203="Formalização",E4203="Concluído"),IF(COUNTIFS($B$2:$B$5001,B4203,$E$2:$E$5001,"Em ajustes",$A$2:$A$5001,"&lt;"&amp;I4203)&gt;0,1,0),0))</f>
        <v/>
      </c>
      <c r="L4203" s="16" t="str">
        <f aca="false">IF(B4203="","",IF(A4203=_xlfn.MAXIFS($A$2:$A$5001,$B$2:$B$5001,B4203,$I$2:$I$5001,I4203),1,0))</f>
        <v/>
      </c>
    </row>
    <row r="4204" customFormat="false" ht="15" hidden="false" customHeight="false" outlineLevel="0" collapsed="false">
      <c r="I4204" s="15" t="str">
        <f aca="false">IF(A4204="","",INT(A4204))</f>
        <v/>
      </c>
      <c r="J4204" s="16" t="str">
        <f aca="false">IF(B4204="","",IF(A4204=_xlfn.MINIFS($A$2:$A$5001,$B$2:$B$5001,B4204),1,0))</f>
        <v/>
      </c>
      <c r="K4204" s="16" t="str">
        <f aca="false">IF(B4204="","",IF(AND(D4204="Formalização",E4204="Concluído"),IF(COUNTIFS($B$2:$B$5001,B4204,$E$2:$E$5001,"Em ajustes",$A$2:$A$5001,"&lt;"&amp;I4204)&gt;0,1,0),0))</f>
        <v/>
      </c>
      <c r="L4204" s="16" t="str">
        <f aca="false">IF(B4204="","",IF(A4204=_xlfn.MAXIFS($A$2:$A$5001,$B$2:$B$5001,B4204,$I$2:$I$5001,I4204),1,0))</f>
        <v/>
      </c>
    </row>
    <row r="4205" customFormat="false" ht="15" hidden="false" customHeight="false" outlineLevel="0" collapsed="false">
      <c r="I4205" s="15" t="str">
        <f aca="false">IF(A4205="","",INT(A4205))</f>
        <v/>
      </c>
      <c r="J4205" s="16" t="str">
        <f aca="false">IF(B4205="","",IF(A4205=_xlfn.MINIFS($A$2:$A$5001,$B$2:$B$5001,B4205),1,0))</f>
        <v/>
      </c>
      <c r="K4205" s="16" t="str">
        <f aca="false">IF(B4205="","",IF(AND(D4205="Formalização",E4205="Concluído"),IF(COUNTIFS($B$2:$B$5001,B4205,$E$2:$E$5001,"Em ajustes",$A$2:$A$5001,"&lt;"&amp;I4205)&gt;0,1,0),0))</f>
        <v/>
      </c>
      <c r="L4205" s="16" t="str">
        <f aca="false">IF(B4205="","",IF(A4205=_xlfn.MAXIFS($A$2:$A$5001,$B$2:$B$5001,B4205,$I$2:$I$5001,I4205),1,0))</f>
        <v/>
      </c>
    </row>
    <row r="4206" customFormat="false" ht="15" hidden="false" customHeight="false" outlineLevel="0" collapsed="false">
      <c r="I4206" s="15" t="str">
        <f aca="false">IF(A4206="","",INT(A4206))</f>
        <v/>
      </c>
      <c r="J4206" s="16" t="str">
        <f aca="false">IF(B4206="","",IF(A4206=_xlfn.MINIFS($A$2:$A$5001,$B$2:$B$5001,B4206),1,0))</f>
        <v/>
      </c>
      <c r="K4206" s="16" t="str">
        <f aca="false">IF(B4206="","",IF(AND(D4206="Formalização",E4206="Concluído"),IF(COUNTIFS($B$2:$B$5001,B4206,$E$2:$E$5001,"Em ajustes",$A$2:$A$5001,"&lt;"&amp;I4206)&gt;0,1,0),0))</f>
        <v/>
      </c>
      <c r="L4206" s="16" t="str">
        <f aca="false">IF(B4206="","",IF(A4206=_xlfn.MAXIFS($A$2:$A$5001,$B$2:$B$5001,B4206,$I$2:$I$5001,I4206),1,0))</f>
        <v/>
      </c>
    </row>
    <row r="4207" customFormat="false" ht="15" hidden="false" customHeight="false" outlineLevel="0" collapsed="false">
      <c r="I4207" s="15" t="str">
        <f aca="false">IF(A4207="","",INT(A4207))</f>
        <v/>
      </c>
      <c r="J4207" s="16" t="str">
        <f aca="false">IF(B4207="","",IF(A4207=_xlfn.MINIFS($A$2:$A$5001,$B$2:$B$5001,B4207),1,0))</f>
        <v/>
      </c>
      <c r="K4207" s="16" t="str">
        <f aca="false">IF(B4207="","",IF(AND(D4207="Formalização",E4207="Concluído"),IF(COUNTIFS($B$2:$B$5001,B4207,$E$2:$E$5001,"Em ajustes",$A$2:$A$5001,"&lt;"&amp;I4207)&gt;0,1,0),0))</f>
        <v/>
      </c>
      <c r="L4207" s="16" t="str">
        <f aca="false">IF(B4207="","",IF(A4207=_xlfn.MAXIFS($A$2:$A$5001,$B$2:$B$5001,B4207,$I$2:$I$5001,I4207),1,0))</f>
        <v/>
      </c>
    </row>
    <row r="4208" customFormat="false" ht="15" hidden="false" customHeight="false" outlineLevel="0" collapsed="false">
      <c r="I4208" s="15" t="str">
        <f aca="false">IF(A4208="","",INT(A4208))</f>
        <v/>
      </c>
      <c r="J4208" s="16" t="str">
        <f aca="false">IF(B4208="","",IF(A4208=_xlfn.MINIFS($A$2:$A$5001,$B$2:$B$5001,B4208),1,0))</f>
        <v/>
      </c>
      <c r="K4208" s="16" t="str">
        <f aca="false">IF(B4208="","",IF(AND(D4208="Formalização",E4208="Concluído"),IF(COUNTIFS($B$2:$B$5001,B4208,$E$2:$E$5001,"Em ajustes",$A$2:$A$5001,"&lt;"&amp;I4208)&gt;0,1,0),0))</f>
        <v/>
      </c>
      <c r="L4208" s="16" t="str">
        <f aca="false">IF(B4208="","",IF(A4208=_xlfn.MAXIFS($A$2:$A$5001,$B$2:$B$5001,B4208,$I$2:$I$5001,I4208),1,0))</f>
        <v/>
      </c>
    </row>
    <row r="4209" customFormat="false" ht="15" hidden="false" customHeight="false" outlineLevel="0" collapsed="false">
      <c r="I4209" s="15" t="str">
        <f aca="false">IF(A4209="","",INT(A4209))</f>
        <v/>
      </c>
      <c r="J4209" s="16" t="str">
        <f aca="false">IF(B4209="","",IF(A4209=_xlfn.MINIFS($A$2:$A$5001,$B$2:$B$5001,B4209),1,0))</f>
        <v/>
      </c>
      <c r="K4209" s="16" t="str">
        <f aca="false">IF(B4209="","",IF(AND(D4209="Formalização",E4209="Concluído"),IF(COUNTIFS($B$2:$B$5001,B4209,$E$2:$E$5001,"Em ajustes",$A$2:$A$5001,"&lt;"&amp;I4209)&gt;0,1,0),0))</f>
        <v/>
      </c>
      <c r="L4209" s="16" t="str">
        <f aca="false">IF(B4209="","",IF(A4209=_xlfn.MAXIFS($A$2:$A$5001,$B$2:$B$5001,B4209,$I$2:$I$5001,I4209),1,0))</f>
        <v/>
      </c>
    </row>
    <row r="4210" customFormat="false" ht="15" hidden="false" customHeight="false" outlineLevel="0" collapsed="false">
      <c r="I4210" s="15" t="str">
        <f aca="false">IF(A4210="","",INT(A4210))</f>
        <v/>
      </c>
      <c r="J4210" s="16" t="str">
        <f aca="false">IF(B4210="","",IF(A4210=_xlfn.MINIFS($A$2:$A$5001,$B$2:$B$5001,B4210),1,0))</f>
        <v/>
      </c>
      <c r="K4210" s="16" t="str">
        <f aca="false">IF(B4210="","",IF(AND(D4210="Formalização",E4210="Concluído"),IF(COUNTIFS($B$2:$B$5001,B4210,$E$2:$E$5001,"Em ajustes",$A$2:$A$5001,"&lt;"&amp;I4210)&gt;0,1,0),0))</f>
        <v/>
      </c>
      <c r="L4210" s="16" t="str">
        <f aca="false">IF(B4210="","",IF(A4210=_xlfn.MAXIFS($A$2:$A$5001,$B$2:$B$5001,B4210,$I$2:$I$5001,I4210),1,0))</f>
        <v/>
      </c>
    </row>
    <row r="4211" customFormat="false" ht="15" hidden="false" customHeight="false" outlineLevel="0" collapsed="false">
      <c r="I4211" s="15" t="str">
        <f aca="false">IF(A4211="","",INT(A4211))</f>
        <v/>
      </c>
      <c r="J4211" s="16" t="str">
        <f aca="false">IF(B4211="","",IF(A4211=_xlfn.MINIFS($A$2:$A$5001,$B$2:$B$5001,B4211),1,0))</f>
        <v/>
      </c>
      <c r="K4211" s="16" t="str">
        <f aca="false">IF(B4211="","",IF(AND(D4211="Formalização",E4211="Concluído"),IF(COUNTIFS($B$2:$B$5001,B4211,$E$2:$E$5001,"Em ajustes",$A$2:$A$5001,"&lt;"&amp;I4211)&gt;0,1,0),0))</f>
        <v/>
      </c>
      <c r="L4211" s="16" t="str">
        <f aca="false">IF(B4211="","",IF(A4211=_xlfn.MAXIFS($A$2:$A$5001,$B$2:$B$5001,B4211,$I$2:$I$5001,I4211),1,0))</f>
        <v/>
      </c>
    </row>
    <row r="4212" customFormat="false" ht="15" hidden="false" customHeight="false" outlineLevel="0" collapsed="false">
      <c r="I4212" s="15" t="str">
        <f aca="false">IF(A4212="","",INT(A4212))</f>
        <v/>
      </c>
      <c r="J4212" s="16" t="str">
        <f aca="false">IF(B4212="","",IF(A4212=_xlfn.MINIFS($A$2:$A$5001,$B$2:$B$5001,B4212),1,0))</f>
        <v/>
      </c>
      <c r="K4212" s="16" t="str">
        <f aca="false">IF(B4212="","",IF(AND(D4212="Formalização",E4212="Concluído"),IF(COUNTIFS($B$2:$B$5001,B4212,$E$2:$E$5001,"Em ajustes",$A$2:$A$5001,"&lt;"&amp;I4212)&gt;0,1,0),0))</f>
        <v/>
      </c>
      <c r="L4212" s="16" t="str">
        <f aca="false">IF(B4212="","",IF(A4212=_xlfn.MAXIFS($A$2:$A$5001,$B$2:$B$5001,B4212,$I$2:$I$5001,I4212),1,0))</f>
        <v/>
      </c>
    </row>
    <row r="4213" customFormat="false" ht="15" hidden="false" customHeight="false" outlineLevel="0" collapsed="false">
      <c r="I4213" s="15" t="str">
        <f aca="false">IF(A4213="","",INT(A4213))</f>
        <v/>
      </c>
      <c r="J4213" s="16" t="str">
        <f aca="false">IF(B4213="","",IF(A4213=_xlfn.MINIFS($A$2:$A$5001,$B$2:$B$5001,B4213),1,0))</f>
        <v/>
      </c>
      <c r="K4213" s="16" t="str">
        <f aca="false">IF(B4213="","",IF(AND(D4213="Formalização",E4213="Concluído"),IF(COUNTIFS($B$2:$B$5001,B4213,$E$2:$E$5001,"Em ajustes",$A$2:$A$5001,"&lt;"&amp;I4213)&gt;0,1,0),0))</f>
        <v/>
      </c>
      <c r="L4213" s="16" t="str">
        <f aca="false">IF(B4213="","",IF(A4213=_xlfn.MAXIFS($A$2:$A$5001,$B$2:$B$5001,B4213,$I$2:$I$5001,I4213),1,0))</f>
        <v/>
      </c>
    </row>
    <row r="4214" customFormat="false" ht="15" hidden="false" customHeight="false" outlineLevel="0" collapsed="false">
      <c r="I4214" s="15" t="str">
        <f aca="false">IF(A4214="","",INT(A4214))</f>
        <v/>
      </c>
      <c r="J4214" s="16" t="str">
        <f aca="false">IF(B4214="","",IF(A4214=_xlfn.MINIFS($A$2:$A$5001,$B$2:$B$5001,B4214),1,0))</f>
        <v/>
      </c>
      <c r="K4214" s="16" t="str">
        <f aca="false">IF(B4214="","",IF(AND(D4214="Formalização",E4214="Concluído"),IF(COUNTIFS($B$2:$B$5001,B4214,$E$2:$E$5001,"Em ajustes",$A$2:$A$5001,"&lt;"&amp;I4214)&gt;0,1,0),0))</f>
        <v/>
      </c>
      <c r="L4214" s="16" t="str">
        <f aca="false">IF(B4214="","",IF(A4214=_xlfn.MAXIFS($A$2:$A$5001,$B$2:$B$5001,B4214,$I$2:$I$5001,I4214),1,0))</f>
        <v/>
      </c>
    </row>
    <row r="4215" customFormat="false" ht="15" hidden="false" customHeight="false" outlineLevel="0" collapsed="false">
      <c r="I4215" s="15" t="str">
        <f aca="false">IF(A4215="","",INT(A4215))</f>
        <v/>
      </c>
      <c r="J4215" s="16" t="str">
        <f aca="false">IF(B4215="","",IF(A4215=_xlfn.MINIFS($A$2:$A$5001,$B$2:$B$5001,B4215),1,0))</f>
        <v/>
      </c>
      <c r="K4215" s="16" t="str">
        <f aca="false">IF(B4215="","",IF(AND(D4215="Formalização",E4215="Concluído"),IF(COUNTIFS($B$2:$B$5001,B4215,$E$2:$E$5001,"Em ajustes",$A$2:$A$5001,"&lt;"&amp;I4215)&gt;0,1,0),0))</f>
        <v/>
      </c>
      <c r="L4215" s="16" t="str">
        <f aca="false">IF(B4215="","",IF(A4215=_xlfn.MAXIFS($A$2:$A$5001,$B$2:$B$5001,B4215,$I$2:$I$5001,I4215),1,0))</f>
        <v/>
      </c>
    </row>
    <row r="4216" customFormat="false" ht="15" hidden="false" customHeight="false" outlineLevel="0" collapsed="false">
      <c r="I4216" s="15" t="str">
        <f aca="false">IF(A4216="","",INT(A4216))</f>
        <v/>
      </c>
      <c r="J4216" s="16" t="str">
        <f aca="false">IF(B4216="","",IF(A4216=_xlfn.MINIFS($A$2:$A$5001,$B$2:$B$5001,B4216),1,0))</f>
        <v/>
      </c>
      <c r="K4216" s="16" t="str">
        <f aca="false">IF(B4216="","",IF(AND(D4216="Formalização",E4216="Concluído"),IF(COUNTIFS($B$2:$B$5001,B4216,$E$2:$E$5001,"Em ajustes",$A$2:$A$5001,"&lt;"&amp;I4216)&gt;0,1,0),0))</f>
        <v/>
      </c>
      <c r="L4216" s="16" t="str">
        <f aca="false">IF(B4216="","",IF(A4216=_xlfn.MAXIFS($A$2:$A$5001,$B$2:$B$5001,B4216,$I$2:$I$5001,I4216),1,0))</f>
        <v/>
      </c>
    </row>
    <row r="4217" customFormat="false" ht="15" hidden="false" customHeight="false" outlineLevel="0" collapsed="false">
      <c r="I4217" s="15" t="str">
        <f aca="false">IF(A4217="","",INT(A4217))</f>
        <v/>
      </c>
      <c r="J4217" s="16" t="str">
        <f aca="false">IF(B4217="","",IF(A4217=_xlfn.MINIFS($A$2:$A$5001,$B$2:$B$5001,B4217),1,0))</f>
        <v/>
      </c>
      <c r="K4217" s="16" t="str">
        <f aca="false">IF(B4217="","",IF(AND(D4217="Formalização",E4217="Concluído"),IF(COUNTIFS($B$2:$B$5001,B4217,$E$2:$E$5001,"Em ajustes",$A$2:$A$5001,"&lt;"&amp;I4217)&gt;0,1,0),0))</f>
        <v/>
      </c>
      <c r="L4217" s="16" t="str">
        <f aca="false">IF(B4217="","",IF(A4217=_xlfn.MAXIFS($A$2:$A$5001,$B$2:$B$5001,B4217,$I$2:$I$5001,I4217),1,0))</f>
        <v/>
      </c>
    </row>
    <row r="4218" customFormat="false" ht="15" hidden="false" customHeight="false" outlineLevel="0" collapsed="false">
      <c r="I4218" s="15" t="str">
        <f aca="false">IF(A4218="","",INT(A4218))</f>
        <v/>
      </c>
      <c r="J4218" s="16" t="str">
        <f aca="false">IF(B4218="","",IF(A4218=_xlfn.MINIFS($A$2:$A$5001,$B$2:$B$5001,B4218),1,0))</f>
        <v/>
      </c>
      <c r="K4218" s="16" t="str">
        <f aca="false">IF(B4218="","",IF(AND(D4218="Formalização",E4218="Concluído"),IF(COUNTIFS($B$2:$B$5001,B4218,$E$2:$E$5001,"Em ajustes",$A$2:$A$5001,"&lt;"&amp;I4218)&gt;0,1,0),0))</f>
        <v/>
      </c>
      <c r="L4218" s="16" t="str">
        <f aca="false">IF(B4218="","",IF(A4218=_xlfn.MAXIFS($A$2:$A$5001,$B$2:$B$5001,B4218,$I$2:$I$5001,I4218),1,0))</f>
        <v/>
      </c>
    </row>
    <row r="4219" customFormat="false" ht="15" hidden="false" customHeight="false" outlineLevel="0" collapsed="false">
      <c r="I4219" s="15" t="str">
        <f aca="false">IF(A4219="","",INT(A4219))</f>
        <v/>
      </c>
      <c r="J4219" s="16" t="str">
        <f aca="false">IF(B4219="","",IF(A4219=_xlfn.MINIFS($A$2:$A$5001,$B$2:$B$5001,B4219),1,0))</f>
        <v/>
      </c>
      <c r="K4219" s="16" t="str">
        <f aca="false">IF(B4219="","",IF(AND(D4219="Formalização",E4219="Concluído"),IF(COUNTIFS($B$2:$B$5001,B4219,$E$2:$E$5001,"Em ajustes",$A$2:$A$5001,"&lt;"&amp;I4219)&gt;0,1,0),0))</f>
        <v/>
      </c>
      <c r="L4219" s="16" t="str">
        <f aca="false">IF(B4219="","",IF(A4219=_xlfn.MAXIFS($A$2:$A$5001,$B$2:$B$5001,B4219,$I$2:$I$5001,I4219),1,0))</f>
        <v/>
      </c>
    </row>
    <row r="4220" customFormat="false" ht="15" hidden="false" customHeight="false" outlineLevel="0" collapsed="false">
      <c r="I4220" s="15" t="str">
        <f aca="false">IF(A4220="","",INT(A4220))</f>
        <v/>
      </c>
      <c r="J4220" s="16" t="str">
        <f aca="false">IF(B4220="","",IF(A4220=_xlfn.MINIFS($A$2:$A$5001,$B$2:$B$5001,B4220),1,0))</f>
        <v/>
      </c>
      <c r="K4220" s="16" t="str">
        <f aca="false">IF(B4220="","",IF(AND(D4220="Formalização",E4220="Concluído"),IF(COUNTIFS($B$2:$B$5001,B4220,$E$2:$E$5001,"Em ajustes",$A$2:$A$5001,"&lt;"&amp;I4220)&gt;0,1,0),0))</f>
        <v/>
      </c>
      <c r="L4220" s="16" t="str">
        <f aca="false">IF(B4220="","",IF(A4220=_xlfn.MAXIFS($A$2:$A$5001,$B$2:$B$5001,B4220,$I$2:$I$5001,I4220),1,0))</f>
        <v/>
      </c>
    </row>
    <row r="4221" customFormat="false" ht="15" hidden="false" customHeight="false" outlineLevel="0" collapsed="false">
      <c r="I4221" s="15" t="str">
        <f aca="false">IF(A4221="","",INT(A4221))</f>
        <v/>
      </c>
      <c r="J4221" s="16" t="str">
        <f aca="false">IF(B4221="","",IF(A4221=_xlfn.MINIFS($A$2:$A$5001,$B$2:$B$5001,B4221),1,0))</f>
        <v/>
      </c>
      <c r="K4221" s="16" t="str">
        <f aca="false">IF(B4221="","",IF(AND(D4221="Formalização",E4221="Concluído"),IF(COUNTIFS($B$2:$B$5001,B4221,$E$2:$E$5001,"Em ajustes",$A$2:$A$5001,"&lt;"&amp;I4221)&gt;0,1,0),0))</f>
        <v/>
      </c>
      <c r="L4221" s="16" t="str">
        <f aca="false">IF(B4221="","",IF(A4221=_xlfn.MAXIFS($A$2:$A$5001,$B$2:$B$5001,B4221,$I$2:$I$5001,I4221),1,0))</f>
        <v/>
      </c>
    </row>
    <row r="4222" customFormat="false" ht="15" hidden="false" customHeight="false" outlineLevel="0" collapsed="false">
      <c r="I4222" s="15" t="str">
        <f aca="false">IF(A4222="","",INT(A4222))</f>
        <v/>
      </c>
      <c r="J4222" s="16" t="str">
        <f aca="false">IF(B4222="","",IF(A4222=_xlfn.MINIFS($A$2:$A$5001,$B$2:$B$5001,B4222),1,0))</f>
        <v/>
      </c>
      <c r="K4222" s="16" t="str">
        <f aca="false">IF(B4222="","",IF(AND(D4222="Formalização",E4222="Concluído"),IF(COUNTIFS($B$2:$B$5001,B4222,$E$2:$E$5001,"Em ajustes",$A$2:$A$5001,"&lt;"&amp;I4222)&gt;0,1,0),0))</f>
        <v/>
      </c>
      <c r="L4222" s="16" t="str">
        <f aca="false">IF(B4222="","",IF(A4222=_xlfn.MAXIFS($A$2:$A$5001,$B$2:$B$5001,B4222,$I$2:$I$5001,I4222),1,0))</f>
        <v/>
      </c>
    </row>
    <row r="4223" customFormat="false" ht="15" hidden="false" customHeight="false" outlineLevel="0" collapsed="false">
      <c r="I4223" s="15" t="str">
        <f aca="false">IF(A4223="","",INT(A4223))</f>
        <v/>
      </c>
      <c r="J4223" s="16" t="str">
        <f aca="false">IF(B4223="","",IF(A4223=_xlfn.MINIFS($A$2:$A$5001,$B$2:$B$5001,B4223),1,0))</f>
        <v/>
      </c>
      <c r="K4223" s="16" t="str">
        <f aca="false">IF(B4223="","",IF(AND(D4223="Formalização",E4223="Concluído"),IF(COUNTIFS($B$2:$B$5001,B4223,$E$2:$E$5001,"Em ajustes",$A$2:$A$5001,"&lt;"&amp;I4223)&gt;0,1,0),0))</f>
        <v/>
      </c>
      <c r="L4223" s="16" t="str">
        <f aca="false">IF(B4223="","",IF(A4223=_xlfn.MAXIFS($A$2:$A$5001,$B$2:$B$5001,B4223,$I$2:$I$5001,I4223),1,0))</f>
        <v/>
      </c>
    </row>
    <row r="4224" customFormat="false" ht="15" hidden="false" customHeight="false" outlineLevel="0" collapsed="false">
      <c r="I4224" s="15" t="str">
        <f aca="false">IF(A4224="","",INT(A4224))</f>
        <v/>
      </c>
      <c r="J4224" s="16" t="str">
        <f aca="false">IF(B4224="","",IF(A4224=_xlfn.MINIFS($A$2:$A$5001,$B$2:$B$5001,B4224),1,0))</f>
        <v/>
      </c>
      <c r="K4224" s="16" t="str">
        <f aca="false">IF(B4224="","",IF(AND(D4224="Formalização",E4224="Concluído"),IF(COUNTIFS($B$2:$B$5001,B4224,$E$2:$E$5001,"Em ajustes",$A$2:$A$5001,"&lt;"&amp;I4224)&gt;0,1,0),0))</f>
        <v/>
      </c>
      <c r="L4224" s="16" t="str">
        <f aca="false">IF(B4224="","",IF(A4224=_xlfn.MAXIFS($A$2:$A$5001,$B$2:$B$5001,B4224,$I$2:$I$5001,I4224),1,0))</f>
        <v/>
      </c>
    </row>
    <row r="4225" customFormat="false" ht="15" hidden="false" customHeight="false" outlineLevel="0" collapsed="false">
      <c r="I4225" s="15" t="str">
        <f aca="false">IF(A4225="","",INT(A4225))</f>
        <v/>
      </c>
      <c r="J4225" s="16" t="str">
        <f aca="false">IF(B4225="","",IF(A4225=_xlfn.MINIFS($A$2:$A$5001,$B$2:$B$5001,B4225),1,0))</f>
        <v/>
      </c>
      <c r="K4225" s="16" t="str">
        <f aca="false">IF(B4225="","",IF(AND(D4225="Formalização",E4225="Concluído"),IF(COUNTIFS($B$2:$B$5001,B4225,$E$2:$E$5001,"Em ajustes",$A$2:$A$5001,"&lt;"&amp;I4225)&gt;0,1,0),0))</f>
        <v/>
      </c>
      <c r="L4225" s="16" t="str">
        <f aca="false">IF(B4225="","",IF(A4225=_xlfn.MAXIFS($A$2:$A$5001,$B$2:$B$5001,B4225,$I$2:$I$5001,I4225),1,0))</f>
        <v/>
      </c>
    </row>
    <row r="4226" customFormat="false" ht="15" hidden="false" customHeight="false" outlineLevel="0" collapsed="false">
      <c r="I4226" s="15" t="str">
        <f aca="false">IF(A4226="","",INT(A4226))</f>
        <v/>
      </c>
      <c r="J4226" s="16" t="str">
        <f aca="false">IF(B4226="","",IF(A4226=_xlfn.MINIFS($A$2:$A$5001,$B$2:$B$5001,B4226),1,0))</f>
        <v/>
      </c>
      <c r="K4226" s="16" t="str">
        <f aca="false">IF(B4226="","",IF(AND(D4226="Formalização",E4226="Concluído"),IF(COUNTIFS($B$2:$B$5001,B4226,$E$2:$E$5001,"Em ajustes",$A$2:$A$5001,"&lt;"&amp;I4226)&gt;0,1,0),0))</f>
        <v/>
      </c>
      <c r="L4226" s="16" t="str">
        <f aca="false">IF(B4226="","",IF(A4226=_xlfn.MAXIFS($A$2:$A$5001,$B$2:$B$5001,B4226,$I$2:$I$5001,I4226),1,0))</f>
        <v/>
      </c>
    </row>
    <row r="4227" customFormat="false" ht="15" hidden="false" customHeight="false" outlineLevel="0" collapsed="false">
      <c r="I4227" s="15" t="str">
        <f aca="false">IF(A4227="","",INT(A4227))</f>
        <v/>
      </c>
      <c r="J4227" s="16" t="str">
        <f aca="false">IF(B4227="","",IF(A4227=_xlfn.MINIFS($A$2:$A$5001,$B$2:$B$5001,B4227),1,0))</f>
        <v/>
      </c>
      <c r="K4227" s="16" t="str">
        <f aca="false">IF(B4227="","",IF(AND(D4227="Formalização",E4227="Concluído"),IF(COUNTIFS($B$2:$B$5001,B4227,$E$2:$E$5001,"Em ajustes",$A$2:$A$5001,"&lt;"&amp;I4227)&gt;0,1,0),0))</f>
        <v/>
      </c>
      <c r="L4227" s="16" t="str">
        <f aca="false">IF(B4227="","",IF(A4227=_xlfn.MAXIFS($A$2:$A$5001,$B$2:$B$5001,B4227,$I$2:$I$5001,I4227),1,0))</f>
        <v/>
      </c>
    </row>
    <row r="4228" customFormat="false" ht="15" hidden="false" customHeight="false" outlineLevel="0" collapsed="false">
      <c r="I4228" s="15" t="str">
        <f aca="false">IF(A4228="","",INT(A4228))</f>
        <v/>
      </c>
      <c r="J4228" s="16" t="str">
        <f aca="false">IF(B4228="","",IF(A4228=_xlfn.MINIFS($A$2:$A$5001,$B$2:$B$5001,B4228),1,0))</f>
        <v/>
      </c>
      <c r="K4228" s="16" t="str">
        <f aca="false">IF(B4228="","",IF(AND(D4228="Formalização",E4228="Concluído"),IF(COUNTIFS($B$2:$B$5001,B4228,$E$2:$E$5001,"Em ajustes",$A$2:$A$5001,"&lt;"&amp;I4228)&gt;0,1,0),0))</f>
        <v/>
      </c>
      <c r="L4228" s="16" t="str">
        <f aca="false">IF(B4228="","",IF(A4228=_xlfn.MAXIFS($A$2:$A$5001,$B$2:$B$5001,B4228,$I$2:$I$5001,I4228),1,0))</f>
        <v/>
      </c>
    </row>
    <row r="4229" customFormat="false" ht="15" hidden="false" customHeight="false" outlineLevel="0" collapsed="false">
      <c r="I4229" s="15" t="str">
        <f aca="false">IF(A4229="","",INT(A4229))</f>
        <v/>
      </c>
      <c r="J4229" s="16" t="str">
        <f aca="false">IF(B4229="","",IF(A4229=_xlfn.MINIFS($A$2:$A$5001,$B$2:$B$5001,B4229),1,0))</f>
        <v/>
      </c>
      <c r="K4229" s="16" t="str">
        <f aca="false">IF(B4229="","",IF(AND(D4229="Formalização",E4229="Concluído"),IF(COUNTIFS($B$2:$B$5001,B4229,$E$2:$E$5001,"Em ajustes",$A$2:$A$5001,"&lt;"&amp;I4229)&gt;0,1,0),0))</f>
        <v/>
      </c>
      <c r="L4229" s="16" t="str">
        <f aca="false">IF(B4229="","",IF(A4229=_xlfn.MAXIFS($A$2:$A$5001,$B$2:$B$5001,B4229,$I$2:$I$5001,I4229),1,0))</f>
        <v/>
      </c>
    </row>
    <row r="4230" customFormat="false" ht="15" hidden="false" customHeight="false" outlineLevel="0" collapsed="false">
      <c r="I4230" s="15" t="str">
        <f aca="false">IF(A4230="","",INT(A4230))</f>
        <v/>
      </c>
      <c r="J4230" s="16" t="str">
        <f aca="false">IF(B4230="","",IF(A4230=_xlfn.MINIFS($A$2:$A$5001,$B$2:$B$5001,B4230),1,0))</f>
        <v/>
      </c>
      <c r="K4230" s="16" t="str">
        <f aca="false">IF(B4230="","",IF(AND(D4230="Formalização",E4230="Concluído"),IF(COUNTIFS($B$2:$B$5001,B4230,$E$2:$E$5001,"Em ajustes",$A$2:$A$5001,"&lt;"&amp;I4230)&gt;0,1,0),0))</f>
        <v/>
      </c>
      <c r="L4230" s="16" t="str">
        <f aca="false">IF(B4230="","",IF(A4230=_xlfn.MAXIFS($A$2:$A$5001,$B$2:$B$5001,B4230,$I$2:$I$5001,I4230),1,0))</f>
        <v/>
      </c>
    </row>
    <row r="4231" customFormat="false" ht="15" hidden="false" customHeight="false" outlineLevel="0" collapsed="false">
      <c r="I4231" s="15" t="str">
        <f aca="false">IF(A4231="","",INT(A4231))</f>
        <v/>
      </c>
      <c r="J4231" s="16" t="str">
        <f aca="false">IF(B4231="","",IF(A4231=_xlfn.MINIFS($A$2:$A$5001,$B$2:$B$5001,B4231),1,0))</f>
        <v/>
      </c>
      <c r="K4231" s="16" t="str">
        <f aca="false">IF(B4231="","",IF(AND(D4231="Formalização",E4231="Concluído"),IF(COUNTIFS($B$2:$B$5001,B4231,$E$2:$E$5001,"Em ajustes",$A$2:$A$5001,"&lt;"&amp;I4231)&gt;0,1,0),0))</f>
        <v/>
      </c>
      <c r="L4231" s="16" t="str">
        <f aca="false">IF(B4231="","",IF(A4231=_xlfn.MAXIFS($A$2:$A$5001,$B$2:$B$5001,B4231,$I$2:$I$5001,I4231),1,0))</f>
        <v/>
      </c>
    </row>
    <row r="4232" customFormat="false" ht="15" hidden="false" customHeight="false" outlineLevel="0" collapsed="false">
      <c r="I4232" s="15" t="str">
        <f aca="false">IF(A4232="","",INT(A4232))</f>
        <v/>
      </c>
      <c r="J4232" s="16" t="str">
        <f aca="false">IF(B4232="","",IF(A4232=_xlfn.MINIFS($A$2:$A$5001,$B$2:$B$5001,B4232),1,0))</f>
        <v/>
      </c>
      <c r="K4232" s="16" t="str">
        <f aca="false">IF(B4232="","",IF(AND(D4232="Formalização",E4232="Concluído"),IF(COUNTIFS($B$2:$B$5001,B4232,$E$2:$E$5001,"Em ajustes",$A$2:$A$5001,"&lt;"&amp;I4232)&gt;0,1,0),0))</f>
        <v/>
      </c>
      <c r="L4232" s="16" t="str">
        <f aca="false">IF(B4232="","",IF(A4232=_xlfn.MAXIFS($A$2:$A$5001,$B$2:$B$5001,B4232,$I$2:$I$5001,I4232),1,0))</f>
        <v/>
      </c>
    </row>
    <row r="4233" customFormat="false" ht="15" hidden="false" customHeight="false" outlineLevel="0" collapsed="false">
      <c r="I4233" s="15" t="str">
        <f aca="false">IF(A4233="","",INT(A4233))</f>
        <v/>
      </c>
      <c r="J4233" s="16" t="str">
        <f aca="false">IF(B4233="","",IF(A4233=_xlfn.MINIFS($A$2:$A$5001,$B$2:$B$5001,B4233),1,0))</f>
        <v/>
      </c>
      <c r="K4233" s="16" t="str">
        <f aca="false">IF(B4233="","",IF(AND(D4233="Formalização",E4233="Concluído"),IF(COUNTIFS($B$2:$B$5001,B4233,$E$2:$E$5001,"Em ajustes",$A$2:$A$5001,"&lt;"&amp;I4233)&gt;0,1,0),0))</f>
        <v/>
      </c>
      <c r="L4233" s="16" t="str">
        <f aca="false">IF(B4233="","",IF(A4233=_xlfn.MAXIFS($A$2:$A$5001,$B$2:$B$5001,B4233,$I$2:$I$5001,I4233),1,0))</f>
        <v/>
      </c>
    </row>
    <row r="4234" customFormat="false" ht="15" hidden="false" customHeight="false" outlineLevel="0" collapsed="false">
      <c r="I4234" s="15" t="str">
        <f aca="false">IF(A4234="","",INT(A4234))</f>
        <v/>
      </c>
      <c r="J4234" s="16" t="str">
        <f aca="false">IF(B4234="","",IF(A4234=_xlfn.MINIFS($A$2:$A$5001,$B$2:$B$5001,B4234),1,0))</f>
        <v/>
      </c>
      <c r="K4234" s="16" t="str">
        <f aca="false">IF(B4234="","",IF(AND(D4234="Formalização",E4234="Concluído"),IF(COUNTIFS($B$2:$B$5001,B4234,$E$2:$E$5001,"Em ajustes",$A$2:$A$5001,"&lt;"&amp;I4234)&gt;0,1,0),0))</f>
        <v/>
      </c>
      <c r="L4234" s="16" t="str">
        <f aca="false">IF(B4234="","",IF(A4234=_xlfn.MAXIFS($A$2:$A$5001,$B$2:$B$5001,B4234,$I$2:$I$5001,I4234),1,0))</f>
        <v/>
      </c>
    </row>
    <row r="4235" customFormat="false" ht="15" hidden="false" customHeight="false" outlineLevel="0" collapsed="false">
      <c r="I4235" s="15" t="str">
        <f aca="false">IF(A4235="","",INT(A4235))</f>
        <v/>
      </c>
      <c r="J4235" s="16" t="str">
        <f aca="false">IF(B4235="","",IF(A4235=_xlfn.MINIFS($A$2:$A$5001,$B$2:$B$5001,B4235),1,0))</f>
        <v/>
      </c>
      <c r="K4235" s="16" t="str">
        <f aca="false">IF(B4235="","",IF(AND(D4235="Formalização",E4235="Concluído"),IF(COUNTIFS($B$2:$B$5001,B4235,$E$2:$E$5001,"Em ajustes",$A$2:$A$5001,"&lt;"&amp;I4235)&gt;0,1,0),0))</f>
        <v/>
      </c>
      <c r="L4235" s="16" t="str">
        <f aca="false">IF(B4235="","",IF(A4235=_xlfn.MAXIFS($A$2:$A$5001,$B$2:$B$5001,B4235,$I$2:$I$5001,I4235),1,0))</f>
        <v/>
      </c>
    </row>
    <row r="4236" customFormat="false" ht="15" hidden="false" customHeight="false" outlineLevel="0" collapsed="false">
      <c r="I4236" s="15" t="str">
        <f aca="false">IF(A4236="","",INT(A4236))</f>
        <v/>
      </c>
      <c r="J4236" s="16" t="str">
        <f aca="false">IF(B4236="","",IF(A4236=_xlfn.MINIFS($A$2:$A$5001,$B$2:$B$5001,B4236),1,0))</f>
        <v/>
      </c>
      <c r="K4236" s="16" t="str">
        <f aca="false">IF(B4236="","",IF(AND(D4236="Formalização",E4236="Concluído"),IF(COUNTIFS($B$2:$B$5001,B4236,$E$2:$E$5001,"Em ajustes",$A$2:$A$5001,"&lt;"&amp;I4236)&gt;0,1,0),0))</f>
        <v/>
      </c>
      <c r="L4236" s="16" t="str">
        <f aca="false">IF(B4236="","",IF(A4236=_xlfn.MAXIFS($A$2:$A$5001,$B$2:$B$5001,B4236,$I$2:$I$5001,I4236),1,0))</f>
        <v/>
      </c>
    </row>
    <row r="4237" customFormat="false" ht="15" hidden="false" customHeight="false" outlineLevel="0" collapsed="false">
      <c r="I4237" s="15" t="str">
        <f aca="false">IF(A4237="","",INT(A4237))</f>
        <v/>
      </c>
      <c r="J4237" s="16" t="str">
        <f aca="false">IF(B4237="","",IF(A4237=_xlfn.MINIFS($A$2:$A$5001,$B$2:$B$5001,B4237),1,0))</f>
        <v/>
      </c>
      <c r="K4237" s="16" t="str">
        <f aca="false">IF(B4237="","",IF(AND(D4237="Formalização",E4237="Concluído"),IF(COUNTIFS($B$2:$B$5001,B4237,$E$2:$E$5001,"Em ajustes",$A$2:$A$5001,"&lt;"&amp;I4237)&gt;0,1,0),0))</f>
        <v/>
      </c>
      <c r="L4237" s="16" t="str">
        <f aca="false">IF(B4237="","",IF(A4237=_xlfn.MAXIFS($A$2:$A$5001,$B$2:$B$5001,B4237,$I$2:$I$5001,I4237),1,0))</f>
        <v/>
      </c>
    </row>
    <row r="4238" customFormat="false" ht="15" hidden="false" customHeight="false" outlineLevel="0" collapsed="false">
      <c r="I4238" s="15" t="str">
        <f aca="false">IF(A4238="","",INT(A4238))</f>
        <v/>
      </c>
      <c r="J4238" s="16" t="str">
        <f aca="false">IF(B4238="","",IF(A4238=_xlfn.MINIFS($A$2:$A$5001,$B$2:$B$5001,B4238),1,0))</f>
        <v/>
      </c>
      <c r="K4238" s="16" t="str">
        <f aca="false">IF(B4238="","",IF(AND(D4238="Formalização",E4238="Concluído"),IF(COUNTIFS($B$2:$B$5001,B4238,$E$2:$E$5001,"Em ajustes",$A$2:$A$5001,"&lt;"&amp;I4238)&gt;0,1,0),0))</f>
        <v/>
      </c>
      <c r="L4238" s="16" t="str">
        <f aca="false">IF(B4238="","",IF(A4238=_xlfn.MAXIFS($A$2:$A$5001,$B$2:$B$5001,B4238,$I$2:$I$5001,I4238),1,0))</f>
        <v/>
      </c>
    </row>
    <row r="4239" customFormat="false" ht="15" hidden="false" customHeight="false" outlineLevel="0" collapsed="false">
      <c r="I4239" s="15" t="str">
        <f aca="false">IF(A4239="","",INT(A4239))</f>
        <v/>
      </c>
      <c r="J4239" s="16" t="str">
        <f aca="false">IF(B4239="","",IF(A4239=_xlfn.MINIFS($A$2:$A$5001,$B$2:$B$5001,B4239),1,0))</f>
        <v/>
      </c>
      <c r="K4239" s="16" t="str">
        <f aca="false">IF(B4239="","",IF(AND(D4239="Formalização",E4239="Concluído"),IF(COUNTIFS($B$2:$B$5001,B4239,$E$2:$E$5001,"Em ajustes",$A$2:$A$5001,"&lt;"&amp;I4239)&gt;0,1,0),0))</f>
        <v/>
      </c>
      <c r="L4239" s="16" t="str">
        <f aca="false">IF(B4239="","",IF(A4239=_xlfn.MAXIFS($A$2:$A$5001,$B$2:$B$5001,B4239,$I$2:$I$5001,I4239),1,0))</f>
        <v/>
      </c>
    </row>
    <row r="4240" customFormat="false" ht="15" hidden="false" customHeight="false" outlineLevel="0" collapsed="false">
      <c r="I4240" s="15" t="str">
        <f aca="false">IF(A4240="","",INT(A4240))</f>
        <v/>
      </c>
      <c r="J4240" s="16" t="str">
        <f aca="false">IF(B4240="","",IF(A4240=_xlfn.MINIFS($A$2:$A$5001,$B$2:$B$5001,B4240),1,0))</f>
        <v/>
      </c>
      <c r="K4240" s="16" t="str">
        <f aca="false">IF(B4240="","",IF(AND(D4240="Formalização",E4240="Concluído"),IF(COUNTIFS($B$2:$B$5001,B4240,$E$2:$E$5001,"Em ajustes",$A$2:$A$5001,"&lt;"&amp;I4240)&gt;0,1,0),0))</f>
        <v/>
      </c>
      <c r="L4240" s="16" t="str">
        <f aca="false">IF(B4240="","",IF(A4240=_xlfn.MAXIFS($A$2:$A$5001,$B$2:$B$5001,B4240,$I$2:$I$5001,I4240),1,0))</f>
        <v/>
      </c>
    </row>
    <row r="4241" customFormat="false" ht="15" hidden="false" customHeight="false" outlineLevel="0" collapsed="false">
      <c r="I4241" s="15" t="str">
        <f aca="false">IF(A4241="","",INT(A4241))</f>
        <v/>
      </c>
      <c r="J4241" s="16" t="str">
        <f aca="false">IF(B4241="","",IF(A4241=_xlfn.MINIFS($A$2:$A$5001,$B$2:$B$5001,B4241),1,0))</f>
        <v/>
      </c>
      <c r="K4241" s="16" t="str">
        <f aca="false">IF(B4241="","",IF(AND(D4241="Formalização",E4241="Concluído"),IF(COUNTIFS($B$2:$B$5001,B4241,$E$2:$E$5001,"Em ajustes",$A$2:$A$5001,"&lt;"&amp;I4241)&gt;0,1,0),0))</f>
        <v/>
      </c>
      <c r="L4241" s="16" t="str">
        <f aca="false">IF(B4241="","",IF(A4241=_xlfn.MAXIFS($A$2:$A$5001,$B$2:$B$5001,B4241,$I$2:$I$5001,I4241),1,0))</f>
        <v/>
      </c>
    </row>
    <row r="4242" customFormat="false" ht="15" hidden="false" customHeight="false" outlineLevel="0" collapsed="false">
      <c r="I4242" s="15" t="str">
        <f aca="false">IF(A4242="","",INT(A4242))</f>
        <v/>
      </c>
      <c r="J4242" s="16" t="str">
        <f aca="false">IF(B4242="","",IF(A4242=_xlfn.MINIFS($A$2:$A$5001,$B$2:$B$5001,B4242),1,0))</f>
        <v/>
      </c>
      <c r="K4242" s="16" t="str">
        <f aca="false">IF(B4242="","",IF(AND(D4242="Formalização",E4242="Concluído"),IF(COUNTIFS($B$2:$B$5001,B4242,$E$2:$E$5001,"Em ajustes",$A$2:$A$5001,"&lt;"&amp;I4242)&gt;0,1,0),0))</f>
        <v/>
      </c>
      <c r="L4242" s="16" t="str">
        <f aca="false">IF(B4242="","",IF(A4242=_xlfn.MAXIFS($A$2:$A$5001,$B$2:$B$5001,B4242,$I$2:$I$5001,I4242),1,0))</f>
        <v/>
      </c>
    </row>
    <row r="4243" customFormat="false" ht="15" hidden="false" customHeight="false" outlineLevel="0" collapsed="false">
      <c r="I4243" s="15" t="str">
        <f aca="false">IF(A4243="","",INT(A4243))</f>
        <v/>
      </c>
      <c r="J4243" s="16" t="str">
        <f aca="false">IF(B4243="","",IF(A4243=_xlfn.MINIFS($A$2:$A$5001,$B$2:$B$5001,B4243),1,0))</f>
        <v/>
      </c>
      <c r="K4243" s="16" t="str">
        <f aca="false">IF(B4243="","",IF(AND(D4243="Formalização",E4243="Concluído"),IF(COUNTIFS($B$2:$B$5001,B4243,$E$2:$E$5001,"Em ajustes",$A$2:$A$5001,"&lt;"&amp;I4243)&gt;0,1,0),0))</f>
        <v/>
      </c>
      <c r="L4243" s="16" t="str">
        <f aca="false">IF(B4243="","",IF(A4243=_xlfn.MAXIFS($A$2:$A$5001,$B$2:$B$5001,B4243,$I$2:$I$5001,I4243),1,0))</f>
        <v/>
      </c>
    </row>
    <row r="4244" customFormat="false" ht="15" hidden="false" customHeight="false" outlineLevel="0" collapsed="false">
      <c r="I4244" s="15" t="str">
        <f aca="false">IF(A4244="","",INT(A4244))</f>
        <v/>
      </c>
      <c r="J4244" s="16" t="str">
        <f aca="false">IF(B4244="","",IF(A4244=_xlfn.MINIFS($A$2:$A$5001,$B$2:$B$5001,B4244),1,0))</f>
        <v/>
      </c>
      <c r="K4244" s="16" t="str">
        <f aca="false">IF(B4244="","",IF(AND(D4244="Formalização",E4244="Concluído"),IF(COUNTIFS($B$2:$B$5001,B4244,$E$2:$E$5001,"Em ajustes",$A$2:$A$5001,"&lt;"&amp;I4244)&gt;0,1,0),0))</f>
        <v/>
      </c>
      <c r="L4244" s="16" t="str">
        <f aca="false">IF(B4244="","",IF(A4244=_xlfn.MAXIFS($A$2:$A$5001,$B$2:$B$5001,B4244,$I$2:$I$5001,I4244),1,0))</f>
        <v/>
      </c>
    </row>
    <row r="4245" customFormat="false" ht="15" hidden="false" customHeight="false" outlineLevel="0" collapsed="false">
      <c r="I4245" s="15" t="str">
        <f aca="false">IF(A4245="","",INT(A4245))</f>
        <v/>
      </c>
      <c r="J4245" s="16" t="str">
        <f aca="false">IF(B4245="","",IF(A4245=_xlfn.MINIFS($A$2:$A$5001,$B$2:$B$5001,B4245),1,0))</f>
        <v/>
      </c>
      <c r="K4245" s="16" t="str">
        <f aca="false">IF(B4245="","",IF(AND(D4245="Formalização",E4245="Concluído"),IF(COUNTIFS($B$2:$B$5001,B4245,$E$2:$E$5001,"Em ajustes",$A$2:$A$5001,"&lt;"&amp;I4245)&gt;0,1,0),0))</f>
        <v/>
      </c>
      <c r="L4245" s="16" t="str">
        <f aca="false">IF(B4245="","",IF(A4245=_xlfn.MAXIFS($A$2:$A$5001,$B$2:$B$5001,B4245,$I$2:$I$5001,I4245),1,0))</f>
        <v/>
      </c>
    </row>
    <row r="4246" customFormat="false" ht="15" hidden="false" customHeight="false" outlineLevel="0" collapsed="false">
      <c r="I4246" s="15" t="str">
        <f aca="false">IF(A4246="","",INT(A4246))</f>
        <v/>
      </c>
      <c r="J4246" s="16" t="str">
        <f aca="false">IF(B4246="","",IF(A4246=_xlfn.MINIFS($A$2:$A$5001,$B$2:$B$5001,B4246),1,0))</f>
        <v/>
      </c>
      <c r="K4246" s="16" t="str">
        <f aca="false">IF(B4246="","",IF(AND(D4246="Formalização",E4246="Concluído"),IF(COUNTIFS($B$2:$B$5001,B4246,$E$2:$E$5001,"Em ajustes",$A$2:$A$5001,"&lt;"&amp;I4246)&gt;0,1,0),0))</f>
        <v/>
      </c>
      <c r="L4246" s="16" t="str">
        <f aca="false">IF(B4246="","",IF(A4246=_xlfn.MAXIFS($A$2:$A$5001,$B$2:$B$5001,B4246,$I$2:$I$5001,I4246),1,0))</f>
        <v/>
      </c>
    </row>
    <row r="4247" customFormat="false" ht="15" hidden="false" customHeight="false" outlineLevel="0" collapsed="false">
      <c r="I4247" s="15" t="str">
        <f aca="false">IF(A4247="","",INT(A4247))</f>
        <v/>
      </c>
      <c r="J4247" s="16" t="str">
        <f aca="false">IF(B4247="","",IF(A4247=_xlfn.MINIFS($A$2:$A$5001,$B$2:$B$5001,B4247),1,0))</f>
        <v/>
      </c>
      <c r="K4247" s="16" t="str">
        <f aca="false">IF(B4247="","",IF(AND(D4247="Formalização",E4247="Concluído"),IF(COUNTIFS($B$2:$B$5001,B4247,$E$2:$E$5001,"Em ajustes",$A$2:$A$5001,"&lt;"&amp;I4247)&gt;0,1,0),0))</f>
        <v/>
      </c>
      <c r="L4247" s="16" t="str">
        <f aca="false">IF(B4247="","",IF(A4247=_xlfn.MAXIFS($A$2:$A$5001,$B$2:$B$5001,B4247,$I$2:$I$5001,I4247),1,0))</f>
        <v/>
      </c>
    </row>
    <row r="4248" customFormat="false" ht="15" hidden="false" customHeight="false" outlineLevel="0" collapsed="false">
      <c r="I4248" s="15" t="str">
        <f aca="false">IF(A4248="","",INT(A4248))</f>
        <v/>
      </c>
      <c r="J4248" s="16" t="str">
        <f aca="false">IF(B4248="","",IF(A4248=_xlfn.MINIFS($A$2:$A$5001,$B$2:$B$5001,B4248),1,0))</f>
        <v/>
      </c>
      <c r="K4248" s="16" t="str">
        <f aca="false">IF(B4248="","",IF(AND(D4248="Formalização",E4248="Concluído"),IF(COUNTIFS($B$2:$B$5001,B4248,$E$2:$E$5001,"Em ajustes",$A$2:$A$5001,"&lt;"&amp;I4248)&gt;0,1,0),0))</f>
        <v/>
      </c>
      <c r="L4248" s="16" t="str">
        <f aca="false">IF(B4248="","",IF(A4248=_xlfn.MAXIFS($A$2:$A$5001,$B$2:$B$5001,B4248,$I$2:$I$5001,I4248),1,0))</f>
        <v/>
      </c>
    </row>
    <row r="4249" customFormat="false" ht="15" hidden="false" customHeight="false" outlineLevel="0" collapsed="false">
      <c r="I4249" s="15" t="str">
        <f aca="false">IF(A4249="","",INT(A4249))</f>
        <v/>
      </c>
      <c r="J4249" s="16" t="str">
        <f aca="false">IF(B4249="","",IF(A4249=_xlfn.MINIFS($A$2:$A$5001,$B$2:$B$5001,B4249),1,0))</f>
        <v/>
      </c>
      <c r="K4249" s="16" t="str">
        <f aca="false">IF(B4249="","",IF(AND(D4249="Formalização",E4249="Concluído"),IF(COUNTIFS($B$2:$B$5001,B4249,$E$2:$E$5001,"Em ajustes",$A$2:$A$5001,"&lt;"&amp;I4249)&gt;0,1,0),0))</f>
        <v/>
      </c>
      <c r="L4249" s="16" t="str">
        <f aca="false">IF(B4249="","",IF(A4249=_xlfn.MAXIFS($A$2:$A$5001,$B$2:$B$5001,B4249,$I$2:$I$5001,I4249),1,0))</f>
        <v/>
      </c>
    </row>
    <row r="4250" customFormat="false" ht="15" hidden="false" customHeight="false" outlineLevel="0" collapsed="false">
      <c r="I4250" s="15" t="str">
        <f aca="false">IF(A4250="","",INT(A4250))</f>
        <v/>
      </c>
      <c r="J4250" s="16" t="str">
        <f aca="false">IF(B4250="","",IF(A4250=_xlfn.MINIFS($A$2:$A$5001,$B$2:$B$5001,B4250),1,0))</f>
        <v/>
      </c>
      <c r="K4250" s="16" t="str">
        <f aca="false">IF(B4250="","",IF(AND(D4250="Formalização",E4250="Concluído"),IF(COUNTIFS($B$2:$B$5001,B4250,$E$2:$E$5001,"Em ajustes",$A$2:$A$5001,"&lt;"&amp;I4250)&gt;0,1,0),0))</f>
        <v/>
      </c>
      <c r="L4250" s="16" t="str">
        <f aca="false">IF(B4250="","",IF(A4250=_xlfn.MAXIFS($A$2:$A$5001,$B$2:$B$5001,B4250,$I$2:$I$5001,I4250),1,0))</f>
        <v/>
      </c>
    </row>
    <row r="4251" customFormat="false" ht="15" hidden="false" customHeight="false" outlineLevel="0" collapsed="false">
      <c r="I4251" s="15" t="str">
        <f aca="false">IF(A4251="","",INT(A4251))</f>
        <v/>
      </c>
      <c r="J4251" s="16" t="str">
        <f aca="false">IF(B4251="","",IF(A4251=_xlfn.MINIFS($A$2:$A$5001,$B$2:$B$5001,B4251),1,0))</f>
        <v/>
      </c>
      <c r="K4251" s="16" t="str">
        <f aca="false">IF(B4251="","",IF(AND(D4251="Formalização",E4251="Concluído"),IF(COUNTIFS($B$2:$B$5001,B4251,$E$2:$E$5001,"Em ajustes",$A$2:$A$5001,"&lt;"&amp;I4251)&gt;0,1,0),0))</f>
        <v/>
      </c>
      <c r="L4251" s="16" t="str">
        <f aca="false">IF(B4251="","",IF(A4251=_xlfn.MAXIFS($A$2:$A$5001,$B$2:$B$5001,B4251,$I$2:$I$5001,I4251),1,0))</f>
        <v/>
      </c>
    </row>
    <row r="4252" customFormat="false" ht="15" hidden="false" customHeight="false" outlineLevel="0" collapsed="false">
      <c r="I4252" s="15" t="str">
        <f aca="false">IF(A4252="","",INT(A4252))</f>
        <v/>
      </c>
      <c r="J4252" s="16" t="str">
        <f aca="false">IF(B4252="","",IF(A4252=_xlfn.MINIFS($A$2:$A$5001,$B$2:$B$5001,B4252),1,0))</f>
        <v/>
      </c>
      <c r="K4252" s="16" t="str">
        <f aca="false">IF(B4252="","",IF(AND(D4252="Formalização",E4252="Concluído"),IF(COUNTIFS($B$2:$B$5001,B4252,$E$2:$E$5001,"Em ajustes",$A$2:$A$5001,"&lt;"&amp;I4252)&gt;0,1,0),0))</f>
        <v/>
      </c>
      <c r="L4252" s="16" t="str">
        <f aca="false">IF(B4252="","",IF(A4252=_xlfn.MAXIFS($A$2:$A$5001,$B$2:$B$5001,B4252,$I$2:$I$5001,I4252),1,0))</f>
        <v/>
      </c>
    </row>
    <row r="4253" customFormat="false" ht="15" hidden="false" customHeight="false" outlineLevel="0" collapsed="false">
      <c r="I4253" s="15" t="str">
        <f aca="false">IF(A4253="","",INT(A4253))</f>
        <v/>
      </c>
      <c r="J4253" s="16" t="str">
        <f aca="false">IF(B4253="","",IF(A4253=_xlfn.MINIFS($A$2:$A$5001,$B$2:$B$5001,B4253),1,0))</f>
        <v/>
      </c>
      <c r="K4253" s="16" t="str">
        <f aca="false">IF(B4253="","",IF(AND(D4253="Formalização",E4253="Concluído"),IF(COUNTIFS($B$2:$B$5001,B4253,$E$2:$E$5001,"Em ajustes",$A$2:$A$5001,"&lt;"&amp;I4253)&gt;0,1,0),0))</f>
        <v/>
      </c>
      <c r="L4253" s="16" t="str">
        <f aca="false">IF(B4253="","",IF(A4253=_xlfn.MAXIFS($A$2:$A$5001,$B$2:$B$5001,B4253,$I$2:$I$5001,I4253),1,0))</f>
        <v/>
      </c>
    </row>
    <row r="4254" customFormat="false" ht="15" hidden="false" customHeight="false" outlineLevel="0" collapsed="false">
      <c r="I4254" s="15" t="str">
        <f aca="false">IF(A4254="","",INT(A4254))</f>
        <v/>
      </c>
      <c r="J4254" s="16" t="str">
        <f aca="false">IF(B4254="","",IF(A4254=_xlfn.MINIFS($A$2:$A$5001,$B$2:$B$5001,B4254),1,0))</f>
        <v/>
      </c>
      <c r="K4254" s="16" t="str">
        <f aca="false">IF(B4254="","",IF(AND(D4254="Formalização",E4254="Concluído"),IF(COUNTIFS($B$2:$B$5001,B4254,$E$2:$E$5001,"Em ajustes",$A$2:$A$5001,"&lt;"&amp;I4254)&gt;0,1,0),0))</f>
        <v/>
      </c>
      <c r="L4254" s="16" t="str">
        <f aca="false">IF(B4254="","",IF(A4254=_xlfn.MAXIFS($A$2:$A$5001,$B$2:$B$5001,B4254,$I$2:$I$5001,I4254),1,0))</f>
        <v/>
      </c>
    </row>
    <row r="4255" customFormat="false" ht="15" hidden="false" customHeight="false" outlineLevel="0" collapsed="false">
      <c r="I4255" s="15" t="str">
        <f aca="false">IF(A4255="","",INT(A4255))</f>
        <v/>
      </c>
      <c r="J4255" s="16" t="str">
        <f aca="false">IF(B4255="","",IF(A4255=_xlfn.MINIFS($A$2:$A$5001,$B$2:$B$5001,B4255),1,0))</f>
        <v/>
      </c>
      <c r="K4255" s="16" t="str">
        <f aca="false">IF(B4255="","",IF(AND(D4255="Formalização",E4255="Concluído"),IF(COUNTIFS($B$2:$B$5001,B4255,$E$2:$E$5001,"Em ajustes",$A$2:$A$5001,"&lt;"&amp;I4255)&gt;0,1,0),0))</f>
        <v/>
      </c>
      <c r="L4255" s="16" t="str">
        <f aca="false">IF(B4255="","",IF(A4255=_xlfn.MAXIFS($A$2:$A$5001,$B$2:$B$5001,B4255,$I$2:$I$5001,I4255),1,0))</f>
        <v/>
      </c>
    </row>
    <row r="4256" customFormat="false" ht="15" hidden="false" customHeight="false" outlineLevel="0" collapsed="false">
      <c r="I4256" s="15" t="str">
        <f aca="false">IF(A4256="","",INT(A4256))</f>
        <v/>
      </c>
      <c r="J4256" s="16" t="str">
        <f aca="false">IF(B4256="","",IF(A4256=_xlfn.MINIFS($A$2:$A$5001,$B$2:$B$5001,B4256),1,0))</f>
        <v/>
      </c>
      <c r="K4256" s="16" t="str">
        <f aca="false">IF(B4256="","",IF(AND(D4256="Formalização",E4256="Concluído"),IF(COUNTIFS($B$2:$B$5001,B4256,$E$2:$E$5001,"Em ajustes",$A$2:$A$5001,"&lt;"&amp;I4256)&gt;0,1,0),0))</f>
        <v/>
      </c>
      <c r="L4256" s="16" t="str">
        <f aca="false">IF(B4256="","",IF(A4256=_xlfn.MAXIFS($A$2:$A$5001,$B$2:$B$5001,B4256,$I$2:$I$5001,I4256),1,0))</f>
        <v/>
      </c>
    </row>
    <row r="4257" customFormat="false" ht="15" hidden="false" customHeight="false" outlineLevel="0" collapsed="false">
      <c r="I4257" s="15" t="str">
        <f aca="false">IF(A4257="","",INT(A4257))</f>
        <v/>
      </c>
      <c r="J4257" s="16" t="str">
        <f aca="false">IF(B4257="","",IF(A4257=_xlfn.MINIFS($A$2:$A$5001,$B$2:$B$5001,B4257),1,0))</f>
        <v/>
      </c>
      <c r="K4257" s="16" t="str">
        <f aca="false">IF(B4257="","",IF(AND(D4257="Formalização",E4257="Concluído"),IF(COUNTIFS($B$2:$B$5001,B4257,$E$2:$E$5001,"Em ajustes",$A$2:$A$5001,"&lt;"&amp;I4257)&gt;0,1,0),0))</f>
        <v/>
      </c>
      <c r="L4257" s="16" t="str">
        <f aca="false">IF(B4257="","",IF(A4257=_xlfn.MAXIFS($A$2:$A$5001,$B$2:$B$5001,B4257,$I$2:$I$5001,I4257),1,0))</f>
        <v/>
      </c>
    </row>
    <row r="4258" customFormat="false" ht="15" hidden="false" customHeight="false" outlineLevel="0" collapsed="false">
      <c r="I4258" s="15" t="str">
        <f aca="false">IF(A4258="","",INT(A4258))</f>
        <v/>
      </c>
      <c r="J4258" s="16" t="str">
        <f aca="false">IF(B4258="","",IF(A4258=_xlfn.MINIFS($A$2:$A$5001,$B$2:$B$5001,B4258),1,0))</f>
        <v/>
      </c>
      <c r="K4258" s="16" t="str">
        <f aca="false">IF(B4258="","",IF(AND(D4258="Formalização",E4258="Concluído"),IF(COUNTIFS($B$2:$B$5001,B4258,$E$2:$E$5001,"Em ajustes",$A$2:$A$5001,"&lt;"&amp;I4258)&gt;0,1,0),0))</f>
        <v/>
      </c>
      <c r="L4258" s="16" t="str">
        <f aca="false">IF(B4258="","",IF(A4258=_xlfn.MAXIFS($A$2:$A$5001,$B$2:$B$5001,B4258,$I$2:$I$5001,I4258),1,0))</f>
        <v/>
      </c>
    </row>
    <row r="4259" customFormat="false" ht="15" hidden="false" customHeight="false" outlineLevel="0" collapsed="false">
      <c r="I4259" s="15" t="str">
        <f aca="false">IF(A4259="","",INT(A4259))</f>
        <v/>
      </c>
      <c r="J4259" s="16" t="str">
        <f aca="false">IF(B4259="","",IF(A4259=_xlfn.MINIFS($A$2:$A$5001,$B$2:$B$5001,B4259),1,0))</f>
        <v/>
      </c>
      <c r="K4259" s="16" t="str">
        <f aca="false">IF(B4259="","",IF(AND(D4259="Formalização",E4259="Concluído"),IF(COUNTIFS($B$2:$B$5001,B4259,$E$2:$E$5001,"Em ajustes",$A$2:$A$5001,"&lt;"&amp;I4259)&gt;0,1,0),0))</f>
        <v/>
      </c>
      <c r="L4259" s="16" t="str">
        <f aca="false">IF(B4259="","",IF(A4259=_xlfn.MAXIFS($A$2:$A$5001,$B$2:$B$5001,B4259,$I$2:$I$5001,I4259),1,0))</f>
        <v/>
      </c>
    </row>
    <row r="4260" customFormat="false" ht="15" hidden="false" customHeight="false" outlineLevel="0" collapsed="false">
      <c r="I4260" s="15" t="str">
        <f aca="false">IF(A4260="","",INT(A4260))</f>
        <v/>
      </c>
      <c r="J4260" s="16" t="str">
        <f aca="false">IF(B4260="","",IF(A4260=_xlfn.MINIFS($A$2:$A$5001,$B$2:$B$5001,B4260),1,0))</f>
        <v/>
      </c>
      <c r="K4260" s="16" t="str">
        <f aca="false">IF(B4260="","",IF(AND(D4260="Formalização",E4260="Concluído"),IF(COUNTIFS($B$2:$B$5001,B4260,$E$2:$E$5001,"Em ajustes",$A$2:$A$5001,"&lt;"&amp;I4260)&gt;0,1,0),0))</f>
        <v/>
      </c>
      <c r="L4260" s="16" t="str">
        <f aca="false">IF(B4260="","",IF(A4260=_xlfn.MAXIFS($A$2:$A$5001,$B$2:$B$5001,B4260,$I$2:$I$5001,I4260),1,0))</f>
        <v/>
      </c>
    </row>
    <row r="4261" customFormat="false" ht="15" hidden="false" customHeight="false" outlineLevel="0" collapsed="false">
      <c r="I4261" s="15" t="str">
        <f aca="false">IF(A4261="","",INT(A4261))</f>
        <v/>
      </c>
      <c r="J4261" s="16" t="str">
        <f aca="false">IF(B4261="","",IF(A4261=_xlfn.MINIFS($A$2:$A$5001,$B$2:$B$5001,B4261),1,0))</f>
        <v/>
      </c>
      <c r="K4261" s="16" t="str">
        <f aca="false">IF(B4261="","",IF(AND(D4261="Formalização",E4261="Concluído"),IF(COUNTIFS($B$2:$B$5001,B4261,$E$2:$E$5001,"Em ajustes",$A$2:$A$5001,"&lt;"&amp;I4261)&gt;0,1,0),0))</f>
        <v/>
      </c>
      <c r="L4261" s="16" t="str">
        <f aca="false">IF(B4261="","",IF(A4261=_xlfn.MAXIFS($A$2:$A$5001,$B$2:$B$5001,B4261,$I$2:$I$5001,I4261),1,0))</f>
        <v/>
      </c>
    </row>
    <row r="4262" customFormat="false" ht="15" hidden="false" customHeight="false" outlineLevel="0" collapsed="false">
      <c r="I4262" s="15" t="str">
        <f aca="false">IF(A4262="","",INT(A4262))</f>
        <v/>
      </c>
      <c r="J4262" s="16" t="str">
        <f aca="false">IF(B4262="","",IF(A4262=_xlfn.MINIFS($A$2:$A$5001,$B$2:$B$5001,B4262),1,0))</f>
        <v/>
      </c>
      <c r="K4262" s="16" t="str">
        <f aca="false">IF(B4262="","",IF(AND(D4262="Formalização",E4262="Concluído"),IF(COUNTIFS($B$2:$B$5001,B4262,$E$2:$E$5001,"Em ajustes",$A$2:$A$5001,"&lt;"&amp;I4262)&gt;0,1,0),0))</f>
        <v/>
      </c>
      <c r="L4262" s="16" t="str">
        <f aca="false">IF(B4262="","",IF(A4262=_xlfn.MAXIFS($A$2:$A$5001,$B$2:$B$5001,B4262,$I$2:$I$5001,I4262),1,0))</f>
        <v/>
      </c>
    </row>
    <row r="4263" customFormat="false" ht="15" hidden="false" customHeight="false" outlineLevel="0" collapsed="false">
      <c r="I4263" s="15" t="str">
        <f aca="false">IF(A4263="","",INT(A4263))</f>
        <v/>
      </c>
      <c r="J4263" s="16" t="str">
        <f aca="false">IF(B4263="","",IF(A4263=_xlfn.MINIFS($A$2:$A$5001,$B$2:$B$5001,B4263),1,0))</f>
        <v/>
      </c>
      <c r="K4263" s="16" t="str">
        <f aca="false">IF(B4263="","",IF(AND(D4263="Formalização",E4263="Concluído"),IF(COUNTIFS($B$2:$B$5001,B4263,$E$2:$E$5001,"Em ajustes",$A$2:$A$5001,"&lt;"&amp;I4263)&gt;0,1,0),0))</f>
        <v/>
      </c>
      <c r="L4263" s="16" t="str">
        <f aca="false">IF(B4263="","",IF(A4263=_xlfn.MAXIFS($A$2:$A$5001,$B$2:$B$5001,B4263,$I$2:$I$5001,I4263),1,0))</f>
        <v/>
      </c>
    </row>
    <row r="4264" customFormat="false" ht="15" hidden="false" customHeight="false" outlineLevel="0" collapsed="false">
      <c r="I4264" s="15" t="str">
        <f aca="false">IF(A4264="","",INT(A4264))</f>
        <v/>
      </c>
      <c r="J4264" s="16" t="str">
        <f aca="false">IF(B4264="","",IF(A4264=_xlfn.MINIFS($A$2:$A$5001,$B$2:$B$5001,B4264),1,0))</f>
        <v/>
      </c>
      <c r="K4264" s="16" t="str">
        <f aca="false">IF(B4264="","",IF(AND(D4264="Formalização",E4264="Concluído"),IF(COUNTIFS($B$2:$B$5001,B4264,$E$2:$E$5001,"Em ajustes",$A$2:$A$5001,"&lt;"&amp;I4264)&gt;0,1,0),0))</f>
        <v/>
      </c>
      <c r="L4264" s="16" t="str">
        <f aca="false">IF(B4264="","",IF(A4264=_xlfn.MAXIFS($A$2:$A$5001,$B$2:$B$5001,B4264,$I$2:$I$5001,I4264),1,0))</f>
        <v/>
      </c>
    </row>
    <row r="4265" customFormat="false" ht="15" hidden="false" customHeight="false" outlineLevel="0" collapsed="false">
      <c r="I4265" s="15" t="str">
        <f aca="false">IF(A4265="","",INT(A4265))</f>
        <v/>
      </c>
      <c r="J4265" s="16" t="str">
        <f aca="false">IF(B4265="","",IF(A4265=_xlfn.MINIFS($A$2:$A$5001,$B$2:$B$5001,B4265),1,0))</f>
        <v/>
      </c>
      <c r="K4265" s="16" t="str">
        <f aca="false">IF(B4265="","",IF(AND(D4265="Formalização",E4265="Concluído"),IF(COUNTIFS($B$2:$B$5001,B4265,$E$2:$E$5001,"Em ajustes",$A$2:$A$5001,"&lt;"&amp;I4265)&gt;0,1,0),0))</f>
        <v/>
      </c>
      <c r="L4265" s="16" t="str">
        <f aca="false">IF(B4265="","",IF(A4265=_xlfn.MAXIFS($A$2:$A$5001,$B$2:$B$5001,B4265,$I$2:$I$5001,I4265),1,0))</f>
        <v/>
      </c>
    </row>
    <row r="4266" customFormat="false" ht="15" hidden="false" customHeight="false" outlineLevel="0" collapsed="false">
      <c r="I4266" s="15" t="str">
        <f aca="false">IF(A4266="","",INT(A4266))</f>
        <v/>
      </c>
      <c r="J4266" s="16" t="str">
        <f aca="false">IF(B4266="","",IF(A4266=_xlfn.MINIFS($A$2:$A$5001,$B$2:$B$5001,B4266),1,0))</f>
        <v/>
      </c>
      <c r="K4266" s="16" t="str">
        <f aca="false">IF(B4266="","",IF(AND(D4266="Formalização",E4266="Concluído"),IF(COUNTIFS($B$2:$B$5001,B4266,$E$2:$E$5001,"Em ajustes",$A$2:$A$5001,"&lt;"&amp;I4266)&gt;0,1,0),0))</f>
        <v/>
      </c>
      <c r="L4266" s="16" t="str">
        <f aca="false">IF(B4266="","",IF(A4266=_xlfn.MAXIFS($A$2:$A$5001,$B$2:$B$5001,B4266,$I$2:$I$5001,I4266),1,0))</f>
        <v/>
      </c>
    </row>
    <row r="4267" customFormat="false" ht="15" hidden="false" customHeight="false" outlineLevel="0" collapsed="false">
      <c r="I4267" s="15" t="str">
        <f aca="false">IF(A4267="","",INT(A4267))</f>
        <v/>
      </c>
      <c r="J4267" s="16" t="str">
        <f aca="false">IF(B4267="","",IF(A4267=_xlfn.MINIFS($A$2:$A$5001,$B$2:$B$5001,B4267),1,0))</f>
        <v/>
      </c>
      <c r="K4267" s="16" t="str">
        <f aca="false">IF(B4267="","",IF(AND(D4267="Formalização",E4267="Concluído"),IF(COUNTIFS($B$2:$B$5001,B4267,$E$2:$E$5001,"Em ajustes",$A$2:$A$5001,"&lt;"&amp;I4267)&gt;0,1,0),0))</f>
        <v/>
      </c>
      <c r="L4267" s="16" t="str">
        <f aca="false">IF(B4267="","",IF(A4267=_xlfn.MAXIFS($A$2:$A$5001,$B$2:$B$5001,B4267,$I$2:$I$5001,I4267),1,0))</f>
        <v/>
      </c>
    </row>
    <row r="4268" customFormat="false" ht="15" hidden="false" customHeight="false" outlineLevel="0" collapsed="false">
      <c r="I4268" s="15" t="str">
        <f aca="false">IF(A4268="","",INT(A4268))</f>
        <v/>
      </c>
      <c r="J4268" s="16" t="str">
        <f aca="false">IF(B4268="","",IF(A4268=_xlfn.MINIFS($A$2:$A$5001,$B$2:$B$5001,B4268),1,0))</f>
        <v/>
      </c>
      <c r="K4268" s="16" t="str">
        <f aca="false">IF(B4268="","",IF(AND(D4268="Formalização",E4268="Concluído"),IF(COUNTIFS($B$2:$B$5001,B4268,$E$2:$E$5001,"Em ajustes",$A$2:$A$5001,"&lt;"&amp;I4268)&gt;0,1,0),0))</f>
        <v/>
      </c>
      <c r="L4268" s="16" t="str">
        <f aca="false">IF(B4268="","",IF(A4268=_xlfn.MAXIFS($A$2:$A$5001,$B$2:$B$5001,B4268,$I$2:$I$5001,I4268),1,0))</f>
        <v/>
      </c>
    </row>
    <row r="4269" customFormat="false" ht="15" hidden="false" customHeight="false" outlineLevel="0" collapsed="false">
      <c r="I4269" s="15" t="str">
        <f aca="false">IF(A4269="","",INT(A4269))</f>
        <v/>
      </c>
      <c r="J4269" s="16" t="str">
        <f aca="false">IF(B4269="","",IF(A4269=_xlfn.MINIFS($A$2:$A$5001,$B$2:$B$5001,B4269),1,0))</f>
        <v/>
      </c>
      <c r="K4269" s="16" t="str">
        <f aca="false">IF(B4269="","",IF(AND(D4269="Formalização",E4269="Concluído"),IF(COUNTIFS($B$2:$B$5001,B4269,$E$2:$E$5001,"Em ajustes",$A$2:$A$5001,"&lt;"&amp;I4269)&gt;0,1,0),0))</f>
        <v/>
      </c>
      <c r="L4269" s="16" t="str">
        <f aca="false">IF(B4269="","",IF(A4269=_xlfn.MAXIFS($A$2:$A$5001,$B$2:$B$5001,B4269,$I$2:$I$5001,I4269),1,0))</f>
        <v/>
      </c>
    </row>
    <row r="4270" customFormat="false" ht="15" hidden="false" customHeight="false" outlineLevel="0" collapsed="false">
      <c r="I4270" s="15" t="str">
        <f aca="false">IF(A4270="","",INT(A4270))</f>
        <v/>
      </c>
      <c r="J4270" s="16" t="str">
        <f aca="false">IF(B4270="","",IF(A4270=_xlfn.MINIFS($A$2:$A$5001,$B$2:$B$5001,B4270),1,0))</f>
        <v/>
      </c>
      <c r="K4270" s="16" t="str">
        <f aca="false">IF(B4270="","",IF(AND(D4270="Formalização",E4270="Concluído"),IF(COUNTIFS($B$2:$B$5001,B4270,$E$2:$E$5001,"Em ajustes",$A$2:$A$5001,"&lt;"&amp;I4270)&gt;0,1,0),0))</f>
        <v/>
      </c>
      <c r="L4270" s="16" t="str">
        <f aca="false">IF(B4270="","",IF(A4270=_xlfn.MAXIFS($A$2:$A$5001,$B$2:$B$5001,B4270,$I$2:$I$5001,I4270),1,0))</f>
        <v/>
      </c>
    </row>
    <row r="4271" customFormat="false" ht="15" hidden="false" customHeight="false" outlineLevel="0" collapsed="false">
      <c r="I4271" s="15" t="str">
        <f aca="false">IF(A4271="","",INT(A4271))</f>
        <v/>
      </c>
      <c r="J4271" s="16" t="str">
        <f aca="false">IF(B4271="","",IF(A4271=_xlfn.MINIFS($A$2:$A$5001,$B$2:$B$5001,B4271),1,0))</f>
        <v/>
      </c>
      <c r="K4271" s="16" t="str">
        <f aca="false">IF(B4271="","",IF(AND(D4271="Formalização",E4271="Concluído"),IF(COUNTIFS($B$2:$B$5001,B4271,$E$2:$E$5001,"Em ajustes",$A$2:$A$5001,"&lt;"&amp;I4271)&gt;0,1,0),0))</f>
        <v/>
      </c>
      <c r="L4271" s="16" t="str">
        <f aca="false">IF(B4271="","",IF(A4271=_xlfn.MAXIFS($A$2:$A$5001,$B$2:$B$5001,B4271,$I$2:$I$5001,I4271),1,0))</f>
        <v/>
      </c>
    </row>
    <row r="4272" customFormat="false" ht="15" hidden="false" customHeight="false" outlineLevel="0" collapsed="false">
      <c r="I4272" s="15" t="str">
        <f aca="false">IF(A4272="","",INT(A4272))</f>
        <v/>
      </c>
      <c r="J4272" s="16" t="str">
        <f aca="false">IF(B4272="","",IF(A4272=_xlfn.MINIFS($A$2:$A$5001,$B$2:$B$5001,B4272),1,0))</f>
        <v/>
      </c>
      <c r="K4272" s="16" t="str">
        <f aca="false">IF(B4272="","",IF(AND(D4272="Formalização",E4272="Concluído"),IF(COUNTIFS($B$2:$B$5001,B4272,$E$2:$E$5001,"Em ajustes",$A$2:$A$5001,"&lt;"&amp;I4272)&gt;0,1,0),0))</f>
        <v/>
      </c>
      <c r="L4272" s="16" t="str">
        <f aca="false">IF(B4272="","",IF(A4272=_xlfn.MAXIFS($A$2:$A$5001,$B$2:$B$5001,B4272,$I$2:$I$5001,I4272),1,0))</f>
        <v/>
      </c>
    </row>
    <row r="4273" customFormat="false" ht="15" hidden="false" customHeight="false" outlineLevel="0" collapsed="false">
      <c r="I4273" s="15" t="str">
        <f aca="false">IF(A4273="","",INT(A4273))</f>
        <v/>
      </c>
      <c r="J4273" s="16" t="str">
        <f aca="false">IF(B4273="","",IF(A4273=_xlfn.MINIFS($A$2:$A$5001,$B$2:$B$5001,B4273),1,0))</f>
        <v/>
      </c>
      <c r="K4273" s="16" t="str">
        <f aca="false">IF(B4273="","",IF(AND(D4273="Formalização",E4273="Concluído"),IF(COUNTIFS($B$2:$B$5001,B4273,$E$2:$E$5001,"Em ajustes",$A$2:$A$5001,"&lt;"&amp;I4273)&gt;0,1,0),0))</f>
        <v/>
      </c>
      <c r="L4273" s="16" t="str">
        <f aca="false">IF(B4273="","",IF(A4273=_xlfn.MAXIFS($A$2:$A$5001,$B$2:$B$5001,B4273,$I$2:$I$5001,I4273),1,0))</f>
        <v/>
      </c>
    </row>
    <row r="4274" customFormat="false" ht="15" hidden="false" customHeight="false" outlineLevel="0" collapsed="false">
      <c r="I4274" s="15" t="str">
        <f aca="false">IF(A4274="","",INT(A4274))</f>
        <v/>
      </c>
      <c r="J4274" s="16" t="str">
        <f aca="false">IF(B4274="","",IF(A4274=_xlfn.MINIFS($A$2:$A$5001,$B$2:$B$5001,B4274),1,0))</f>
        <v/>
      </c>
      <c r="K4274" s="16" t="str">
        <f aca="false">IF(B4274="","",IF(AND(D4274="Formalização",E4274="Concluído"),IF(COUNTIFS($B$2:$B$5001,B4274,$E$2:$E$5001,"Em ajustes",$A$2:$A$5001,"&lt;"&amp;I4274)&gt;0,1,0),0))</f>
        <v/>
      </c>
      <c r="L4274" s="16" t="str">
        <f aca="false">IF(B4274="","",IF(A4274=_xlfn.MAXIFS($A$2:$A$5001,$B$2:$B$5001,B4274,$I$2:$I$5001,I4274),1,0))</f>
        <v/>
      </c>
    </row>
    <row r="4275" customFormat="false" ht="15" hidden="false" customHeight="false" outlineLevel="0" collapsed="false">
      <c r="I4275" s="15" t="str">
        <f aca="false">IF(A4275="","",INT(A4275))</f>
        <v/>
      </c>
      <c r="J4275" s="16" t="str">
        <f aca="false">IF(B4275="","",IF(A4275=_xlfn.MINIFS($A$2:$A$5001,$B$2:$B$5001,B4275),1,0))</f>
        <v/>
      </c>
      <c r="K4275" s="16" t="str">
        <f aca="false">IF(B4275="","",IF(AND(D4275="Formalização",E4275="Concluído"),IF(COUNTIFS($B$2:$B$5001,B4275,$E$2:$E$5001,"Em ajustes",$A$2:$A$5001,"&lt;"&amp;I4275)&gt;0,1,0),0))</f>
        <v/>
      </c>
      <c r="L4275" s="16" t="str">
        <f aca="false">IF(B4275="","",IF(A4275=_xlfn.MAXIFS($A$2:$A$5001,$B$2:$B$5001,B4275,$I$2:$I$5001,I4275),1,0))</f>
        <v/>
      </c>
    </row>
    <row r="4276" customFormat="false" ht="15" hidden="false" customHeight="false" outlineLevel="0" collapsed="false">
      <c r="I4276" s="15" t="str">
        <f aca="false">IF(A4276="","",INT(A4276))</f>
        <v/>
      </c>
      <c r="J4276" s="16" t="str">
        <f aca="false">IF(B4276="","",IF(A4276=_xlfn.MINIFS($A$2:$A$5001,$B$2:$B$5001,B4276),1,0))</f>
        <v/>
      </c>
      <c r="K4276" s="16" t="str">
        <f aca="false">IF(B4276="","",IF(AND(D4276="Formalização",E4276="Concluído"),IF(COUNTIFS($B$2:$B$5001,B4276,$E$2:$E$5001,"Em ajustes",$A$2:$A$5001,"&lt;"&amp;I4276)&gt;0,1,0),0))</f>
        <v/>
      </c>
      <c r="L4276" s="16" t="str">
        <f aca="false">IF(B4276="","",IF(A4276=_xlfn.MAXIFS($A$2:$A$5001,$B$2:$B$5001,B4276,$I$2:$I$5001,I4276),1,0))</f>
        <v/>
      </c>
    </row>
    <row r="4277" customFormat="false" ht="15" hidden="false" customHeight="false" outlineLevel="0" collapsed="false">
      <c r="I4277" s="15" t="str">
        <f aca="false">IF(A4277="","",INT(A4277))</f>
        <v/>
      </c>
      <c r="J4277" s="16" t="str">
        <f aca="false">IF(B4277="","",IF(A4277=_xlfn.MINIFS($A$2:$A$5001,$B$2:$B$5001,B4277),1,0))</f>
        <v/>
      </c>
      <c r="K4277" s="16" t="str">
        <f aca="false">IF(B4277="","",IF(AND(D4277="Formalização",E4277="Concluído"),IF(COUNTIFS($B$2:$B$5001,B4277,$E$2:$E$5001,"Em ajustes",$A$2:$A$5001,"&lt;"&amp;I4277)&gt;0,1,0),0))</f>
        <v/>
      </c>
      <c r="L4277" s="16" t="str">
        <f aca="false">IF(B4277="","",IF(A4277=_xlfn.MAXIFS($A$2:$A$5001,$B$2:$B$5001,B4277,$I$2:$I$5001,I4277),1,0))</f>
        <v/>
      </c>
    </row>
    <row r="4278" customFormat="false" ht="15" hidden="false" customHeight="false" outlineLevel="0" collapsed="false">
      <c r="I4278" s="15" t="str">
        <f aca="false">IF(A4278="","",INT(A4278))</f>
        <v/>
      </c>
      <c r="J4278" s="16" t="str">
        <f aca="false">IF(B4278="","",IF(A4278=_xlfn.MINIFS($A$2:$A$5001,$B$2:$B$5001,B4278),1,0))</f>
        <v/>
      </c>
      <c r="K4278" s="16" t="str">
        <f aca="false">IF(B4278="","",IF(AND(D4278="Formalização",E4278="Concluído"),IF(COUNTIFS($B$2:$B$5001,B4278,$E$2:$E$5001,"Em ajustes",$A$2:$A$5001,"&lt;"&amp;I4278)&gt;0,1,0),0))</f>
        <v/>
      </c>
      <c r="L4278" s="16" t="str">
        <f aca="false">IF(B4278="","",IF(A4278=_xlfn.MAXIFS($A$2:$A$5001,$B$2:$B$5001,B4278,$I$2:$I$5001,I4278),1,0))</f>
        <v/>
      </c>
    </row>
    <row r="4279" customFormat="false" ht="15" hidden="false" customHeight="false" outlineLevel="0" collapsed="false">
      <c r="I4279" s="15" t="str">
        <f aca="false">IF(A4279="","",INT(A4279))</f>
        <v/>
      </c>
      <c r="J4279" s="16" t="str">
        <f aca="false">IF(B4279="","",IF(A4279=_xlfn.MINIFS($A$2:$A$5001,$B$2:$B$5001,B4279),1,0))</f>
        <v/>
      </c>
      <c r="K4279" s="16" t="str">
        <f aca="false">IF(B4279="","",IF(AND(D4279="Formalização",E4279="Concluído"),IF(COUNTIFS($B$2:$B$5001,B4279,$E$2:$E$5001,"Em ajustes",$A$2:$A$5001,"&lt;"&amp;I4279)&gt;0,1,0),0))</f>
        <v/>
      </c>
      <c r="L4279" s="16" t="str">
        <f aca="false">IF(B4279="","",IF(A4279=_xlfn.MAXIFS($A$2:$A$5001,$B$2:$B$5001,B4279,$I$2:$I$5001,I4279),1,0))</f>
        <v/>
      </c>
    </row>
    <row r="4280" customFormat="false" ht="15" hidden="false" customHeight="false" outlineLevel="0" collapsed="false">
      <c r="I4280" s="15" t="str">
        <f aca="false">IF(A4280="","",INT(A4280))</f>
        <v/>
      </c>
      <c r="J4280" s="16" t="str">
        <f aca="false">IF(B4280="","",IF(A4280=_xlfn.MINIFS($A$2:$A$5001,$B$2:$B$5001,B4280),1,0))</f>
        <v/>
      </c>
      <c r="K4280" s="16" t="str">
        <f aca="false">IF(B4280="","",IF(AND(D4280="Formalização",E4280="Concluído"),IF(COUNTIFS($B$2:$B$5001,B4280,$E$2:$E$5001,"Em ajustes",$A$2:$A$5001,"&lt;"&amp;I4280)&gt;0,1,0),0))</f>
        <v/>
      </c>
      <c r="L4280" s="16" t="str">
        <f aca="false">IF(B4280="","",IF(A4280=_xlfn.MAXIFS($A$2:$A$5001,$B$2:$B$5001,B4280,$I$2:$I$5001,I4280),1,0))</f>
        <v/>
      </c>
    </row>
    <row r="4281" customFormat="false" ht="15" hidden="false" customHeight="false" outlineLevel="0" collapsed="false">
      <c r="I4281" s="15" t="str">
        <f aca="false">IF(A4281="","",INT(A4281))</f>
        <v/>
      </c>
      <c r="J4281" s="16" t="str">
        <f aca="false">IF(B4281="","",IF(A4281=_xlfn.MINIFS($A$2:$A$5001,$B$2:$B$5001,B4281),1,0))</f>
        <v/>
      </c>
      <c r="K4281" s="16" t="str">
        <f aca="false">IF(B4281="","",IF(AND(D4281="Formalização",E4281="Concluído"),IF(COUNTIFS($B$2:$B$5001,B4281,$E$2:$E$5001,"Em ajustes",$A$2:$A$5001,"&lt;"&amp;I4281)&gt;0,1,0),0))</f>
        <v/>
      </c>
      <c r="L4281" s="16" t="str">
        <f aca="false">IF(B4281="","",IF(A4281=_xlfn.MAXIFS($A$2:$A$5001,$B$2:$B$5001,B4281,$I$2:$I$5001,I4281),1,0))</f>
        <v/>
      </c>
    </row>
    <row r="4282" customFormat="false" ht="15" hidden="false" customHeight="false" outlineLevel="0" collapsed="false">
      <c r="I4282" s="15" t="str">
        <f aca="false">IF(A4282="","",INT(A4282))</f>
        <v/>
      </c>
      <c r="J4282" s="16" t="str">
        <f aca="false">IF(B4282="","",IF(A4282=_xlfn.MINIFS($A$2:$A$5001,$B$2:$B$5001,B4282),1,0))</f>
        <v/>
      </c>
      <c r="K4282" s="16" t="str">
        <f aca="false">IF(B4282="","",IF(AND(D4282="Formalização",E4282="Concluído"),IF(COUNTIFS($B$2:$B$5001,B4282,$E$2:$E$5001,"Em ajustes",$A$2:$A$5001,"&lt;"&amp;I4282)&gt;0,1,0),0))</f>
        <v/>
      </c>
      <c r="L4282" s="16" t="str">
        <f aca="false">IF(B4282="","",IF(A4282=_xlfn.MAXIFS($A$2:$A$5001,$B$2:$B$5001,B4282,$I$2:$I$5001,I4282),1,0))</f>
        <v/>
      </c>
    </row>
    <row r="4283" customFormat="false" ht="15" hidden="false" customHeight="false" outlineLevel="0" collapsed="false">
      <c r="I4283" s="15" t="str">
        <f aca="false">IF(A4283="","",INT(A4283))</f>
        <v/>
      </c>
      <c r="J4283" s="16" t="str">
        <f aca="false">IF(B4283="","",IF(A4283=_xlfn.MINIFS($A$2:$A$5001,$B$2:$B$5001,B4283),1,0))</f>
        <v/>
      </c>
      <c r="K4283" s="16" t="str">
        <f aca="false">IF(B4283="","",IF(AND(D4283="Formalização",E4283="Concluído"),IF(COUNTIFS($B$2:$B$5001,B4283,$E$2:$E$5001,"Em ajustes",$A$2:$A$5001,"&lt;"&amp;I4283)&gt;0,1,0),0))</f>
        <v/>
      </c>
      <c r="L4283" s="16" t="str">
        <f aca="false">IF(B4283="","",IF(A4283=_xlfn.MAXIFS($A$2:$A$5001,$B$2:$B$5001,B4283,$I$2:$I$5001,I4283),1,0))</f>
        <v/>
      </c>
    </row>
    <row r="4284" customFormat="false" ht="15" hidden="false" customHeight="false" outlineLevel="0" collapsed="false">
      <c r="I4284" s="15" t="str">
        <f aca="false">IF(A4284="","",INT(A4284))</f>
        <v/>
      </c>
      <c r="J4284" s="16" t="str">
        <f aca="false">IF(B4284="","",IF(A4284=_xlfn.MINIFS($A$2:$A$5001,$B$2:$B$5001,B4284),1,0))</f>
        <v/>
      </c>
      <c r="K4284" s="16" t="str">
        <f aca="false">IF(B4284="","",IF(AND(D4284="Formalização",E4284="Concluído"),IF(COUNTIFS($B$2:$B$5001,B4284,$E$2:$E$5001,"Em ajustes",$A$2:$A$5001,"&lt;"&amp;I4284)&gt;0,1,0),0))</f>
        <v/>
      </c>
      <c r="L4284" s="16" t="str">
        <f aca="false">IF(B4284="","",IF(A4284=_xlfn.MAXIFS($A$2:$A$5001,$B$2:$B$5001,B4284,$I$2:$I$5001,I4284),1,0))</f>
        <v/>
      </c>
    </row>
    <row r="4285" customFormat="false" ht="15" hidden="false" customHeight="false" outlineLevel="0" collapsed="false">
      <c r="I4285" s="15" t="str">
        <f aca="false">IF(A4285="","",INT(A4285))</f>
        <v/>
      </c>
      <c r="J4285" s="16" t="str">
        <f aca="false">IF(B4285="","",IF(A4285=_xlfn.MINIFS($A$2:$A$5001,$B$2:$B$5001,B4285),1,0))</f>
        <v/>
      </c>
      <c r="K4285" s="16" t="str">
        <f aca="false">IF(B4285="","",IF(AND(D4285="Formalização",E4285="Concluído"),IF(COUNTIFS($B$2:$B$5001,B4285,$E$2:$E$5001,"Em ajustes",$A$2:$A$5001,"&lt;"&amp;I4285)&gt;0,1,0),0))</f>
        <v/>
      </c>
      <c r="L4285" s="16" t="str">
        <f aca="false">IF(B4285="","",IF(A4285=_xlfn.MAXIFS($A$2:$A$5001,$B$2:$B$5001,B4285,$I$2:$I$5001,I4285),1,0))</f>
        <v/>
      </c>
    </row>
    <row r="4286" customFormat="false" ht="15" hidden="false" customHeight="false" outlineLevel="0" collapsed="false">
      <c r="I4286" s="15" t="str">
        <f aca="false">IF(A4286="","",INT(A4286))</f>
        <v/>
      </c>
      <c r="J4286" s="16" t="str">
        <f aca="false">IF(B4286="","",IF(A4286=_xlfn.MINIFS($A$2:$A$5001,$B$2:$B$5001,B4286),1,0))</f>
        <v/>
      </c>
      <c r="K4286" s="16" t="str">
        <f aca="false">IF(B4286="","",IF(AND(D4286="Formalização",E4286="Concluído"),IF(COUNTIFS($B$2:$B$5001,B4286,$E$2:$E$5001,"Em ajustes",$A$2:$A$5001,"&lt;"&amp;I4286)&gt;0,1,0),0))</f>
        <v/>
      </c>
      <c r="L4286" s="16" t="str">
        <f aca="false">IF(B4286="","",IF(A4286=_xlfn.MAXIFS($A$2:$A$5001,$B$2:$B$5001,B4286,$I$2:$I$5001,I4286),1,0))</f>
        <v/>
      </c>
    </row>
    <row r="4287" customFormat="false" ht="15" hidden="false" customHeight="false" outlineLevel="0" collapsed="false">
      <c r="I4287" s="15" t="str">
        <f aca="false">IF(A4287="","",INT(A4287))</f>
        <v/>
      </c>
      <c r="J4287" s="16" t="str">
        <f aca="false">IF(B4287="","",IF(A4287=_xlfn.MINIFS($A$2:$A$5001,$B$2:$B$5001,B4287),1,0))</f>
        <v/>
      </c>
      <c r="K4287" s="16" t="str">
        <f aca="false">IF(B4287="","",IF(AND(D4287="Formalização",E4287="Concluído"),IF(COUNTIFS($B$2:$B$5001,B4287,$E$2:$E$5001,"Em ajustes",$A$2:$A$5001,"&lt;"&amp;I4287)&gt;0,1,0),0))</f>
        <v/>
      </c>
      <c r="L4287" s="16" t="str">
        <f aca="false">IF(B4287="","",IF(A4287=_xlfn.MAXIFS($A$2:$A$5001,$B$2:$B$5001,B4287,$I$2:$I$5001,I4287),1,0))</f>
        <v/>
      </c>
    </row>
    <row r="4288" customFormat="false" ht="15" hidden="false" customHeight="false" outlineLevel="0" collapsed="false">
      <c r="I4288" s="15" t="str">
        <f aca="false">IF(A4288="","",INT(A4288))</f>
        <v/>
      </c>
      <c r="J4288" s="16" t="str">
        <f aca="false">IF(B4288="","",IF(A4288=_xlfn.MINIFS($A$2:$A$5001,$B$2:$B$5001,B4288),1,0))</f>
        <v/>
      </c>
      <c r="K4288" s="16" t="str">
        <f aca="false">IF(B4288="","",IF(AND(D4288="Formalização",E4288="Concluído"),IF(COUNTIFS($B$2:$B$5001,B4288,$E$2:$E$5001,"Em ajustes",$A$2:$A$5001,"&lt;"&amp;I4288)&gt;0,1,0),0))</f>
        <v/>
      </c>
      <c r="L4288" s="16" t="str">
        <f aca="false">IF(B4288="","",IF(A4288=_xlfn.MAXIFS($A$2:$A$5001,$B$2:$B$5001,B4288,$I$2:$I$5001,I4288),1,0))</f>
        <v/>
      </c>
    </row>
    <row r="4289" customFormat="false" ht="15" hidden="false" customHeight="false" outlineLevel="0" collapsed="false">
      <c r="I4289" s="15" t="str">
        <f aca="false">IF(A4289="","",INT(A4289))</f>
        <v/>
      </c>
      <c r="J4289" s="16" t="str">
        <f aca="false">IF(B4289="","",IF(A4289=_xlfn.MINIFS($A$2:$A$5001,$B$2:$B$5001,B4289),1,0))</f>
        <v/>
      </c>
      <c r="K4289" s="16" t="str">
        <f aca="false">IF(B4289="","",IF(AND(D4289="Formalização",E4289="Concluído"),IF(COUNTIFS($B$2:$B$5001,B4289,$E$2:$E$5001,"Em ajustes",$A$2:$A$5001,"&lt;"&amp;I4289)&gt;0,1,0),0))</f>
        <v/>
      </c>
      <c r="L4289" s="16" t="str">
        <f aca="false">IF(B4289="","",IF(A4289=_xlfn.MAXIFS($A$2:$A$5001,$B$2:$B$5001,B4289,$I$2:$I$5001,I4289),1,0))</f>
        <v/>
      </c>
    </row>
    <row r="4290" customFormat="false" ht="15" hidden="false" customHeight="false" outlineLevel="0" collapsed="false">
      <c r="I4290" s="15" t="str">
        <f aca="false">IF(A4290="","",INT(A4290))</f>
        <v/>
      </c>
      <c r="J4290" s="16" t="str">
        <f aca="false">IF(B4290="","",IF(A4290=_xlfn.MINIFS($A$2:$A$5001,$B$2:$B$5001,B4290),1,0))</f>
        <v/>
      </c>
      <c r="K4290" s="16" t="str">
        <f aca="false">IF(B4290="","",IF(AND(D4290="Formalização",E4290="Concluído"),IF(COUNTIFS($B$2:$B$5001,B4290,$E$2:$E$5001,"Em ajustes",$A$2:$A$5001,"&lt;"&amp;I4290)&gt;0,1,0),0))</f>
        <v/>
      </c>
      <c r="L4290" s="16" t="str">
        <f aca="false">IF(B4290="","",IF(A4290=_xlfn.MAXIFS($A$2:$A$5001,$B$2:$B$5001,B4290,$I$2:$I$5001,I4290),1,0))</f>
        <v/>
      </c>
    </row>
    <row r="4291" customFormat="false" ht="15" hidden="false" customHeight="false" outlineLevel="0" collapsed="false">
      <c r="I4291" s="15" t="str">
        <f aca="false">IF(A4291="","",INT(A4291))</f>
        <v/>
      </c>
      <c r="J4291" s="16" t="str">
        <f aca="false">IF(B4291="","",IF(A4291=_xlfn.MINIFS($A$2:$A$5001,$B$2:$B$5001,B4291),1,0))</f>
        <v/>
      </c>
      <c r="K4291" s="16" t="str">
        <f aca="false">IF(B4291="","",IF(AND(D4291="Formalização",E4291="Concluído"),IF(COUNTIFS($B$2:$B$5001,B4291,$E$2:$E$5001,"Em ajustes",$A$2:$A$5001,"&lt;"&amp;I4291)&gt;0,1,0),0))</f>
        <v/>
      </c>
      <c r="L4291" s="16" t="str">
        <f aca="false">IF(B4291="","",IF(A4291=_xlfn.MAXIFS($A$2:$A$5001,$B$2:$B$5001,B4291,$I$2:$I$5001,I4291),1,0))</f>
        <v/>
      </c>
    </row>
    <row r="4292" customFormat="false" ht="15" hidden="false" customHeight="false" outlineLevel="0" collapsed="false">
      <c r="I4292" s="15" t="str">
        <f aca="false">IF(A4292="","",INT(A4292))</f>
        <v/>
      </c>
      <c r="J4292" s="16" t="str">
        <f aca="false">IF(B4292="","",IF(A4292=_xlfn.MINIFS($A$2:$A$5001,$B$2:$B$5001,B4292),1,0))</f>
        <v/>
      </c>
      <c r="K4292" s="16" t="str">
        <f aca="false">IF(B4292="","",IF(AND(D4292="Formalização",E4292="Concluído"),IF(COUNTIFS($B$2:$B$5001,B4292,$E$2:$E$5001,"Em ajustes",$A$2:$A$5001,"&lt;"&amp;I4292)&gt;0,1,0),0))</f>
        <v/>
      </c>
      <c r="L4292" s="16" t="str">
        <f aca="false">IF(B4292="","",IF(A4292=_xlfn.MAXIFS($A$2:$A$5001,$B$2:$B$5001,B4292,$I$2:$I$5001,I4292),1,0))</f>
        <v/>
      </c>
    </row>
    <row r="4293" customFormat="false" ht="15" hidden="false" customHeight="false" outlineLevel="0" collapsed="false">
      <c r="I4293" s="15" t="str">
        <f aca="false">IF(A4293="","",INT(A4293))</f>
        <v/>
      </c>
      <c r="J4293" s="16" t="str">
        <f aca="false">IF(B4293="","",IF(A4293=_xlfn.MINIFS($A$2:$A$5001,$B$2:$B$5001,B4293),1,0))</f>
        <v/>
      </c>
      <c r="K4293" s="16" t="str">
        <f aca="false">IF(B4293="","",IF(AND(D4293="Formalização",E4293="Concluído"),IF(COUNTIFS($B$2:$B$5001,B4293,$E$2:$E$5001,"Em ajustes",$A$2:$A$5001,"&lt;"&amp;I4293)&gt;0,1,0),0))</f>
        <v/>
      </c>
      <c r="L4293" s="16" t="str">
        <f aca="false">IF(B4293="","",IF(A4293=_xlfn.MAXIFS($A$2:$A$5001,$B$2:$B$5001,B4293,$I$2:$I$5001,I4293),1,0))</f>
        <v/>
      </c>
    </row>
    <row r="4294" customFormat="false" ht="15" hidden="false" customHeight="false" outlineLevel="0" collapsed="false">
      <c r="I4294" s="15" t="str">
        <f aca="false">IF(A4294="","",INT(A4294))</f>
        <v/>
      </c>
      <c r="J4294" s="16" t="str">
        <f aca="false">IF(B4294="","",IF(A4294=_xlfn.MINIFS($A$2:$A$5001,$B$2:$B$5001,B4294),1,0))</f>
        <v/>
      </c>
      <c r="K4294" s="16" t="str">
        <f aca="false">IF(B4294="","",IF(AND(D4294="Formalização",E4294="Concluído"),IF(COUNTIFS($B$2:$B$5001,B4294,$E$2:$E$5001,"Em ajustes",$A$2:$A$5001,"&lt;"&amp;I4294)&gt;0,1,0),0))</f>
        <v/>
      </c>
      <c r="L4294" s="16" t="str">
        <f aca="false">IF(B4294="","",IF(A4294=_xlfn.MAXIFS($A$2:$A$5001,$B$2:$B$5001,B4294,$I$2:$I$5001,I4294),1,0))</f>
        <v/>
      </c>
    </row>
    <row r="4295" customFormat="false" ht="15" hidden="false" customHeight="false" outlineLevel="0" collapsed="false">
      <c r="I4295" s="15" t="str">
        <f aca="false">IF(A4295="","",INT(A4295))</f>
        <v/>
      </c>
      <c r="J4295" s="16" t="str">
        <f aca="false">IF(B4295="","",IF(A4295=_xlfn.MINIFS($A$2:$A$5001,$B$2:$B$5001,B4295),1,0))</f>
        <v/>
      </c>
      <c r="K4295" s="16" t="str">
        <f aca="false">IF(B4295="","",IF(AND(D4295="Formalização",E4295="Concluído"),IF(COUNTIFS($B$2:$B$5001,B4295,$E$2:$E$5001,"Em ajustes",$A$2:$A$5001,"&lt;"&amp;I4295)&gt;0,1,0),0))</f>
        <v/>
      </c>
      <c r="L4295" s="16" t="str">
        <f aca="false">IF(B4295="","",IF(A4295=_xlfn.MAXIFS($A$2:$A$5001,$B$2:$B$5001,B4295,$I$2:$I$5001,I4295),1,0))</f>
        <v/>
      </c>
    </row>
    <row r="4296" customFormat="false" ht="15" hidden="false" customHeight="false" outlineLevel="0" collapsed="false">
      <c r="I4296" s="15" t="str">
        <f aca="false">IF(A4296="","",INT(A4296))</f>
        <v/>
      </c>
      <c r="J4296" s="16" t="str">
        <f aca="false">IF(B4296="","",IF(A4296=_xlfn.MINIFS($A$2:$A$5001,$B$2:$B$5001,B4296),1,0))</f>
        <v/>
      </c>
      <c r="K4296" s="16" t="str">
        <f aca="false">IF(B4296="","",IF(AND(D4296="Formalização",E4296="Concluído"),IF(COUNTIFS($B$2:$B$5001,B4296,$E$2:$E$5001,"Em ajustes",$A$2:$A$5001,"&lt;"&amp;I4296)&gt;0,1,0),0))</f>
        <v/>
      </c>
      <c r="L4296" s="16" t="str">
        <f aca="false">IF(B4296="","",IF(A4296=_xlfn.MAXIFS($A$2:$A$5001,$B$2:$B$5001,B4296,$I$2:$I$5001,I4296),1,0))</f>
        <v/>
      </c>
    </row>
    <row r="4297" customFormat="false" ht="15" hidden="false" customHeight="false" outlineLevel="0" collapsed="false">
      <c r="I4297" s="15" t="str">
        <f aca="false">IF(A4297="","",INT(A4297))</f>
        <v/>
      </c>
      <c r="J4297" s="16" t="str">
        <f aca="false">IF(B4297="","",IF(A4297=_xlfn.MINIFS($A$2:$A$5001,$B$2:$B$5001,B4297),1,0))</f>
        <v/>
      </c>
      <c r="K4297" s="16" t="str">
        <f aca="false">IF(B4297="","",IF(AND(D4297="Formalização",E4297="Concluído"),IF(COUNTIFS($B$2:$B$5001,B4297,$E$2:$E$5001,"Em ajustes",$A$2:$A$5001,"&lt;"&amp;I4297)&gt;0,1,0),0))</f>
        <v/>
      </c>
      <c r="L4297" s="16" t="str">
        <f aca="false">IF(B4297="","",IF(A4297=_xlfn.MAXIFS($A$2:$A$5001,$B$2:$B$5001,B4297,$I$2:$I$5001,I4297),1,0))</f>
        <v/>
      </c>
    </row>
    <row r="4298" customFormat="false" ht="15" hidden="false" customHeight="false" outlineLevel="0" collapsed="false">
      <c r="I4298" s="15" t="str">
        <f aca="false">IF(A4298="","",INT(A4298))</f>
        <v/>
      </c>
      <c r="J4298" s="16" t="str">
        <f aca="false">IF(B4298="","",IF(A4298=_xlfn.MINIFS($A$2:$A$5001,$B$2:$B$5001,B4298),1,0))</f>
        <v/>
      </c>
      <c r="K4298" s="16" t="str">
        <f aca="false">IF(B4298="","",IF(AND(D4298="Formalização",E4298="Concluído"),IF(COUNTIFS($B$2:$B$5001,B4298,$E$2:$E$5001,"Em ajustes",$A$2:$A$5001,"&lt;"&amp;I4298)&gt;0,1,0),0))</f>
        <v/>
      </c>
      <c r="L4298" s="16" t="str">
        <f aca="false">IF(B4298="","",IF(A4298=_xlfn.MAXIFS($A$2:$A$5001,$B$2:$B$5001,B4298,$I$2:$I$5001,I4298),1,0))</f>
        <v/>
      </c>
    </row>
    <row r="4299" customFormat="false" ht="15" hidden="false" customHeight="false" outlineLevel="0" collapsed="false">
      <c r="I4299" s="15" t="str">
        <f aca="false">IF(A4299="","",INT(A4299))</f>
        <v/>
      </c>
      <c r="J4299" s="16" t="str">
        <f aca="false">IF(B4299="","",IF(A4299=_xlfn.MINIFS($A$2:$A$5001,$B$2:$B$5001,B4299),1,0))</f>
        <v/>
      </c>
      <c r="K4299" s="16" t="str">
        <f aca="false">IF(B4299="","",IF(AND(D4299="Formalização",E4299="Concluído"),IF(COUNTIFS($B$2:$B$5001,B4299,$E$2:$E$5001,"Em ajustes",$A$2:$A$5001,"&lt;"&amp;I4299)&gt;0,1,0),0))</f>
        <v/>
      </c>
      <c r="L4299" s="16" t="str">
        <f aca="false">IF(B4299="","",IF(A4299=_xlfn.MAXIFS($A$2:$A$5001,$B$2:$B$5001,B4299,$I$2:$I$5001,I4299),1,0))</f>
        <v/>
      </c>
    </row>
    <row r="4300" customFormat="false" ht="15" hidden="false" customHeight="false" outlineLevel="0" collapsed="false">
      <c r="I4300" s="15" t="str">
        <f aca="false">IF(A4300="","",INT(A4300))</f>
        <v/>
      </c>
      <c r="J4300" s="16" t="str">
        <f aca="false">IF(B4300="","",IF(A4300=_xlfn.MINIFS($A$2:$A$5001,$B$2:$B$5001,B4300),1,0))</f>
        <v/>
      </c>
      <c r="K4300" s="16" t="str">
        <f aca="false">IF(B4300="","",IF(AND(D4300="Formalização",E4300="Concluído"),IF(COUNTIFS($B$2:$B$5001,B4300,$E$2:$E$5001,"Em ajustes",$A$2:$A$5001,"&lt;"&amp;I4300)&gt;0,1,0),0))</f>
        <v/>
      </c>
      <c r="L4300" s="16" t="str">
        <f aca="false">IF(B4300="","",IF(A4300=_xlfn.MAXIFS($A$2:$A$5001,$B$2:$B$5001,B4300,$I$2:$I$5001,I4300),1,0))</f>
        <v/>
      </c>
    </row>
    <row r="4301" customFormat="false" ht="15" hidden="false" customHeight="false" outlineLevel="0" collapsed="false">
      <c r="I4301" s="15" t="str">
        <f aca="false">IF(A4301="","",INT(A4301))</f>
        <v/>
      </c>
      <c r="J4301" s="16" t="str">
        <f aca="false">IF(B4301="","",IF(A4301=_xlfn.MINIFS($A$2:$A$5001,$B$2:$B$5001,B4301),1,0))</f>
        <v/>
      </c>
      <c r="K4301" s="16" t="str">
        <f aca="false">IF(B4301="","",IF(AND(D4301="Formalização",E4301="Concluído"),IF(COUNTIFS($B$2:$B$5001,B4301,$E$2:$E$5001,"Em ajustes",$A$2:$A$5001,"&lt;"&amp;I4301)&gt;0,1,0),0))</f>
        <v/>
      </c>
      <c r="L4301" s="16" t="str">
        <f aca="false">IF(B4301="","",IF(A4301=_xlfn.MAXIFS($A$2:$A$5001,$B$2:$B$5001,B4301,$I$2:$I$5001,I4301),1,0))</f>
        <v/>
      </c>
    </row>
    <row r="4302" customFormat="false" ht="15" hidden="false" customHeight="false" outlineLevel="0" collapsed="false">
      <c r="I4302" s="15" t="str">
        <f aca="false">IF(A4302="","",INT(A4302))</f>
        <v/>
      </c>
      <c r="J4302" s="16" t="str">
        <f aca="false">IF(B4302="","",IF(A4302=_xlfn.MINIFS($A$2:$A$5001,$B$2:$B$5001,B4302),1,0))</f>
        <v/>
      </c>
      <c r="K4302" s="16" t="str">
        <f aca="false">IF(B4302="","",IF(AND(D4302="Formalização",E4302="Concluído"),IF(COUNTIFS($B$2:$B$5001,B4302,$E$2:$E$5001,"Em ajustes",$A$2:$A$5001,"&lt;"&amp;I4302)&gt;0,1,0),0))</f>
        <v/>
      </c>
      <c r="L4302" s="16" t="str">
        <f aca="false">IF(B4302="","",IF(A4302=_xlfn.MAXIFS($A$2:$A$5001,$B$2:$B$5001,B4302,$I$2:$I$5001,I4302),1,0))</f>
        <v/>
      </c>
    </row>
    <row r="4303" customFormat="false" ht="15" hidden="false" customHeight="false" outlineLevel="0" collapsed="false">
      <c r="I4303" s="15" t="str">
        <f aca="false">IF(A4303="","",INT(A4303))</f>
        <v/>
      </c>
      <c r="J4303" s="16" t="str">
        <f aca="false">IF(B4303="","",IF(A4303=_xlfn.MINIFS($A$2:$A$5001,$B$2:$B$5001,B4303),1,0))</f>
        <v/>
      </c>
      <c r="K4303" s="16" t="str">
        <f aca="false">IF(B4303="","",IF(AND(D4303="Formalização",E4303="Concluído"),IF(COUNTIFS($B$2:$B$5001,B4303,$E$2:$E$5001,"Em ajustes",$A$2:$A$5001,"&lt;"&amp;I4303)&gt;0,1,0),0))</f>
        <v/>
      </c>
      <c r="L4303" s="16" t="str">
        <f aca="false">IF(B4303="","",IF(A4303=_xlfn.MAXIFS($A$2:$A$5001,$B$2:$B$5001,B4303,$I$2:$I$5001,I4303),1,0))</f>
        <v/>
      </c>
    </row>
    <row r="4304" customFormat="false" ht="15" hidden="false" customHeight="false" outlineLevel="0" collapsed="false">
      <c r="I4304" s="15" t="str">
        <f aca="false">IF(A4304="","",INT(A4304))</f>
        <v/>
      </c>
      <c r="J4304" s="16" t="str">
        <f aca="false">IF(B4304="","",IF(A4304=_xlfn.MINIFS($A$2:$A$5001,$B$2:$B$5001,B4304),1,0))</f>
        <v/>
      </c>
      <c r="K4304" s="16" t="str">
        <f aca="false">IF(B4304="","",IF(AND(D4304="Formalização",E4304="Concluído"),IF(COUNTIFS($B$2:$B$5001,B4304,$E$2:$E$5001,"Em ajustes",$A$2:$A$5001,"&lt;"&amp;I4304)&gt;0,1,0),0))</f>
        <v/>
      </c>
      <c r="L4304" s="16" t="str">
        <f aca="false">IF(B4304="","",IF(A4304=_xlfn.MAXIFS($A$2:$A$5001,$B$2:$B$5001,B4304,$I$2:$I$5001,I4304),1,0))</f>
        <v/>
      </c>
    </row>
    <row r="4305" customFormat="false" ht="15" hidden="false" customHeight="false" outlineLevel="0" collapsed="false">
      <c r="I4305" s="15" t="str">
        <f aca="false">IF(A4305="","",INT(A4305))</f>
        <v/>
      </c>
      <c r="J4305" s="16" t="str">
        <f aca="false">IF(B4305="","",IF(A4305=_xlfn.MINIFS($A$2:$A$5001,$B$2:$B$5001,B4305),1,0))</f>
        <v/>
      </c>
      <c r="K4305" s="16" t="str">
        <f aca="false">IF(B4305="","",IF(AND(D4305="Formalização",E4305="Concluído"),IF(COUNTIFS($B$2:$B$5001,B4305,$E$2:$E$5001,"Em ajustes",$A$2:$A$5001,"&lt;"&amp;I4305)&gt;0,1,0),0))</f>
        <v/>
      </c>
      <c r="L4305" s="16" t="str">
        <f aca="false">IF(B4305="","",IF(A4305=_xlfn.MAXIFS($A$2:$A$5001,$B$2:$B$5001,B4305,$I$2:$I$5001,I4305),1,0))</f>
        <v/>
      </c>
    </row>
    <row r="4306" customFormat="false" ht="15" hidden="false" customHeight="false" outlineLevel="0" collapsed="false">
      <c r="I4306" s="15" t="str">
        <f aca="false">IF(A4306="","",INT(A4306))</f>
        <v/>
      </c>
      <c r="J4306" s="16" t="str">
        <f aca="false">IF(B4306="","",IF(A4306=_xlfn.MINIFS($A$2:$A$5001,$B$2:$B$5001,B4306),1,0))</f>
        <v/>
      </c>
      <c r="K4306" s="16" t="str">
        <f aca="false">IF(B4306="","",IF(AND(D4306="Formalização",E4306="Concluído"),IF(COUNTIFS($B$2:$B$5001,B4306,$E$2:$E$5001,"Em ajustes",$A$2:$A$5001,"&lt;"&amp;I4306)&gt;0,1,0),0))</f>
        <v/>
      </c>
      <c r="L4306" s="16" t="str">
        <f aca="false">IF(B4306="","",IF(A4306=_xlfn.MAXIFS($A$2:$A$5001,$B$2:$B$5001,B4306,$I$2:$I$5001,I4306),1,0))</f>
        <v/>
      </c>
    </row>
    <row r="4307" customFormat="false" ht="15" hidden="false" customHeight="false" outlineLevel="0" collapsed="false">
      <c r="I4307" s="15" t="str">
        <f aca="false">IF(A4307="","",INT(A4307))</f>
        <v/>
      </c>
      <c r="J4307" s="16" t="str">
        <f aca="false">IF(B4307="","",IF(A4307=_xlfn.MINIFS($A$2:$A$5001,$B$2:$B$5001,B4307),1,0))</f>
        <v/>
      </c>
      <c r="K4307" s="16" t="str">
        <f aca="false">IF(B4307="","",IF(AND(D4307="Formalização",E4307="Concluído"),IF(COUNTIFS($B$2:$B$5001,B4307,$E$2:$E$5001,"Em ajustes",$A$2:$A$5001,"&lt;"&amp;I4307)&gt;0,1,0),0))</f>
        <v/>
      </c>
      <c r="L4307" s="16" t="str">
        <f aca="false">IF(B4307="","",IF(A4307=_xlfn.MAXIFS($A$2:$A$5001,$B$2:$B$5001,B4307,$I$2:$I$5001,I4307),1,0))</f>
        <v/>
      </c>
    </row>
    <row r="4308" customFormat="false" ht="15" hidden="false" customHeight="false" outlineLevel="0" collapsed="false">
      <c r="I4308" s="15" t="str">
        <f aca="false">IF(A4308="","",INT(A4308))</f>
        <v/>
      </c>
      <c r="J4308" s="16" t="str">
        <f aca="false">IF(B4308="","",IF(A4308=_xlfn.MINIFS($A$2:$A$5001,$B$2:$B$5001,B4308),1,0))</f>
        <v/>
      </c>
      <c r="K4308" s="16" t="str">
        <f aca="false">IF(B4308="","",IF(AND(D4308="Formalização",E4308="Concluído"),IF(COUNTIFS($B$2:$B$5001,B4308,$E$2:$E$5001,"Em ajustes",$A$2:$A$5001,"&lt;"&amp;I4308)&gt;0,1,0),0))</f>
        <v/>
      </c>
      <c r="L4308" s="16" t="str">
        <f aca="false">IF(B4308="","",IF(A4308=_xlfn.MAXIFS($A$2:$A$5001,$B$2:$B$5001,B4308,$I$2:$I$5001,I4308),1,0))</f>
        <v/>
      </c>
    </row>
    <row r="4309" customFormat="false" ht="15" hidden="false" customHeight="false" outlineLevel="0" collapsed="false">
      <c r="I4309" s="15" t="str">
        <f aca="false">IF(A4309="","",INT(A4309))</f>
        <v/>
      </c>
      <c r="J4309" s="16" t="str">
        <f aca="false">IF(B4309="","",IF(A4309=_xlfn.MINIFS($A$2:$A$5001,$B$2:$B$5001,B4309),1,0))</f>
        <v/>
      </c>
      <c r="K4309" s="16" t="str">
        <f aca="false">IF(B4309="","",IF(AND(D4309="Formalização",E4309="Concluído"),IF(COUNTIFS($B$2:$B$5001,B4309,$E$2:$E$5001,"Em ajustes",$A$2:$A$5001,"&lt;"&amp;I4309)&gt;0,1,0),0))</f>
        <v/>
      </c>
      <c r="L4309" s="16" t="str">
        <f aca="false">IF(B4309="","",IF(A4309=_xlfn.MAXIFS($A$2:$A$5001,$B$2:$B$5001,B4309,$I$2:$I$5001,I4309),1,0))</f>
        <v/>
      </c>
    </row>
    <row r="4310" customFormat="false" ht="15" hidden="false" customHeight="false" outlineLevel="0" collapsed="false">
      <c r="I4310" s="15" t="str">
        <f aca="false">IF(A4310="","",INT(A4310))</f>
        <v/>
      </c>
      <c r="J4310" s="16" t="str">
        <f aca="false">IF(B4310="","",IF(A4310=_xlfn.MINIFS($A$2:$A$5001,$B$2:$B$5001,B4310),1,0))</f>
        <v/>
      </c>
      <c r="K4310" s="16" t="str">
        <f aca="false">IF(B4310="","",IF(AND(D4310="Formalização",E4310="Concluído"),IF(COUNTIFS($B$2:$B$5001,B4310,$E$2:$E$5001,"Em ajustes",$A$2:$A$5001,"&lt;"&amp;I4310)&gt;0,1,0),0))</f>
        <v/>
      </c>
      <c r="L4310" s="16" t="str">
        <f aca="false">IF(B4310="","",IF(A4310=_xlfn.MAXIFS($A$2:$A$5001,$B$2:$B$5001,B4310,$I$2:$I$5001,I4310),1,0))</f>
        <v/>
      </c>
    </row>
    <row r="4311" customFormat="false" ht="15" hidden="false" customHeight="false" outlineLevel="0" collapsed="false">
      <c r="I4311" s="15" t="str">
        <f aca="false">IF(A4311="","",INT(A4311))</f>
        <v/>
      </c>
      <c r="J4311" s="16" t="str">
        <f aca="false">IF(B4311="","",IF(A4311=_xlfn.MINIFS($A$2:$A$5001,$B$2:$B$5001,B4311),1,0))</f>
        <v/>
      </c>
      <c r="K4311" s="16" t="str">
        <f aca="false">IF(B4311="","",IF(AND(D4311="Formalização",E4311="Concluído"),IF(COUNTIFS($B$2:$B$5001,B4311,$E$2:$E$5001,"Em ajustes",$A$2:$A$5001,"&lt;"&amp;I4311)&gt;0,1,0),0))</f>
        <v/>
      </c>
      <c r="L4311" s="16" t="str">
        <f aca="false">IF(B4311="","",IF(A4311=_xlfn.MAXIFS($A$2:$A$5001,$B$2:$B$5001,B4311,$I$2:$I$5001,I4311),1,0))</f>
        <v/>
      </c>
    </row>
    <row r="4312" customFormat="false" ht="15" hidden="false" customHeight="false" outlineLevel="0" collapsed="false">
      <c r="I4312" s="15" t="str">
        <f aca="false">IF(A4312="","",INT(A4312))</f>
        <v/>
      </c>
      <c r="J4312" s="16" t="str">
        <f aca="false">IF(B4312="","",IF(A4312=_xlfn.MINIFS($A$2:$A$5001,$B$2:$B$5001,B4312),1,0))</f>
        <v/>
      </c>
      <c r="K4312" s="16" t="str">
        <f aca="false">IF(B4312="","",IF(AND(D4312="Formalização",E4312="Concluído"),IF(COUNTIFS($B$2:$B$5001,B4312,$E$2:$E$5001,"Em ajustes",$A$2:$A$5001,"&lt;"&amp;I4312)&gt;0,1,0),0))</f>
        <v/>
      </c>
      <c r="L4312" s="16" t="str">
        <f aca="false">IF(B4312="","",IF(A4312=_xlfn.MAXIFS($A$2:$A$5001,$B$2:$B$5001,B4312,$I$2:$I$5001,I4312),1,0))</f>
        <v/>
      </c>
    </row>
    <row r="4313" customFormat="false" ht="15" hidden="false" customHeight="false" outlineLevel="0" collapsed="false">
      <c r="I4313" s="15" t="str">
        <f aca="false">IF(A4313="","",INT(A4313))</f>
        <v/>
      </c>
      <c r="J4313" s="16" t="str">
        <f aca="false">IF(B4313="","",IF(A4313=_xlfn.MINIFS($A$2:$A$5001,$B$2:$B$5001,B4313),1,0))</f>
        <v/>
      </c>
      <c r="K4313" s="16" t="str">
        <f aca="false">IF(B4313="","",IF(AND(D4313="Formalização",E4313="Concluído"),IF(COUNTIFS($B$2:$B$5001,B4313,$E$2:$E$5001,"Em ajustes",$A$2:$A$5001,"&lt;"&amp;I4313)&gt;0,1,0),0))</f>
        <v/>
      </c>
      <c r="L4313" s="16" t="str">
        <f aca="false">IF(B4313="","",IF(A4313=_xlfn.MAXIFS($A$2:$A$5001,$B$2:$B$5001,B4313,$I$2:$I$5001,I4313),1,0))</f>
        <v/>
      </c>
    </row>
    <row r="4314" customFormat="false" ht="15" hidden="false" customHeight="false" outlineLevel="0" collapsed="false">
      <c r="I4314" s="15" t="str">
        <f aca="false">IF(A4314="","",INT(A4314))</f>
        <v/>
      </c>
      <c r="J4314" s="16" t="str">
        <f aca="false">IF(B4314="","",IF(A4314=_xlfn.MINIFS($A$2:$A$5001,$B$2:$B$5001,B4314),1,0))</f>
        <v/>
      </c>
      <c r="K4314" s="16" t="str">
        <f aca="false">IF(B4314="","",IF(AND(D4314="Formalização",E4314="Concluído"),IF(COUNTIFS($B$2:$B$5001,B4314,$E$2:$E$5001,"Em ajustes",$A$2:$A$5001,"&lt;"&amp;I4314)&gt;0,1,0),0))</f>
        <v/>
      </c>
      <c r="L4314" s="16" t="str">
        <f aca="false">IF(B4314="","",IF(A4314=_xlfn.MAXIFS($A$2:$A$5001,$B$2:$B$5001,B4314,$I$2:$I$5001,I4314),1,0))</f>
        <v/>
      </c>
    </row>
    <row r="4315" customFormat="false" ht="15" hidden="false" customHeight="false" outlineLevel="0" collapsed="false">
      <c r="I4315" s="15" t="str">
        <f aca="false">IF(A4315="","",INT(A4315))</f>
        <v/>
      </c>
      <c r="J4315" s="16" t="str">
        <f aca="false">IF(B4315="","",IF(A4315=_xlfn.MINIFS($A$2:$A$5001,$B$2:$B$5001,B4315),1,0))</f>
        <v/>
      </c>
      <c r="K4315" s="16" t="str">
        <f aca="false">IF(B4315="","",IF(AND(D4315="Formalização",E4315="Concluído"),IF(COUNTIFS($B$2:$B$5001,B4315,$E$2:$E$5001,"Em ajustes",$A$2:$A$5001,"&lt;"&amp;I4315)&gt;0,1,0),0))</f>
        <v/>
      </c>
      <c r="L4315" s="16" t="str">
        <f aca="false">IF(B4315="","",IF(A4315=_xlfn.MAXIFS($A$2:$A$5001,$B$2:$B$5001,B4315,$I$2:$I$5001,I4315),1,0))</f>
        <v/>
      </c>
    </row>
    <row r="4316" customFormat="false" ht="15" hidden="false" customHeight="false" outlineLevel="0" collapsed="false">
      <c r="I4316" s="15" t="str">
        <f aca="false">IF(A4316="","",INT(A4316))</f>
        <v/>
      </c>
      <c r="J4316" s="16" t="str">
        <f aca="false">IF(B4316="","",IF(A4316=_xlfn.MINIFS($A$2:$A$5001,$B$2:$B$5001,B4316),1,0))</f>
        <v/>
      </c>
      <c r="K4316" s="16" t="str">
        <f aca="false">IF(B4316="","",IF(AND(D4316="Formalização",E4316="Concluído"),IF(COUNTIFS($B$2:$B$5001,B4316,$E$2:$E$5001,"Em ajustes",$A$2:$A$5001,"&lt;"&amp;I4316)&gt;0,1,0),0))</f>
        <v/>
      </c>
      <c r="L4316" s="16" t="str">
        <f aca="false">IF(B4316="","",IF(A4316=_xlfn.MAXIFS($A$2:$A$5001,$B$2:$B$5001,B4316,$I$2:$I$5001,I4316),1,0))</f>
        <v/>
      </c>
    </row>
    <row r="4317" customFormat="false" ht="15" hidden="false" customHeight="false" outlineLevel="0" collapsed="false">
      <c r="I4317" s="15" t="str">
        <f aca="false">IF(A4317="","",INT(A4317))</f>
        <v/>
      </c>
      <c r="J4317" s="16" t="str">
        <f aca="false">IF(B4317="","",IF(A4317=_xlfn.MINIFS($A$2:$A$5001,$B$2:$B$5001,B4317),1,0))</f>
        <v/>
      </c>
      <c r="K4317" s="16" t="str">
        <f aca="false">IF(B4317="","",IF(AND(D4317="Formalização",E4317="Concluído"),IF(COUNTIFS($B$2:$B$5001,B4317,$E$2:$E$5001,"Em ajustes",$A$2:$A$5001,"&lt;"&amp;I4317)&gt;0,1,0),0))</f>
        <v/>
      </c>
      <c r="L4317" s="16" t="str">
        <f aca="false">IF(B4317="","",IF(A4317=_xlfn.MAXIFS($A$2:$A$5001,$B$2:$B$5001,B4317,$I$2:$I$5001,I4317),1,0))</f>
        <v/>
      </c>
    </row>
    <row r="4318" customFormat="false" ht="15" hidden="false" customHeight="false" outlineLevel="0" collapsed="false">
      <c r="I4318" s="15" t="str">
        <f aca="false">IF(A4318="","",INT(A4318))</f>
        <v/>
      </c>
      <c r="J4318" s="16" t="str">
        <f aca="false">IF(B4318="","",IF(A4318=_xlfn.MINIFS($A$2:$A$5001,$B$2:$B$5001,B4318),1,0))</f>
        <v/>
      </c>
      <c r="K4318" s="16" t="str">
        <f aca="false">IF(B4318="","",IF(AND(D4318="Formalização",E4318="Concluído"),IF(COUNTIFS($B$2:$B$5001,B4318,$E$2:$E$5001,"Em ajustes",$A$2:$A$5001,"&lt;"&amp;I4318)&gt;0,1,0),0))</f>
        <v/>
      </c>
      <c r="L4318" s="16" t="str">
        <f aca="false">IF(B4318="","",IF(A4318=_xlfn.MAXIFS($A$2:$A$5001,$B$2:$B$5001,B4318,$I$2:$I$5001,I4318),1,0))</f>
        <v/>
      </c>
    </row>
    <row r="4319" customFormat="false" ht="15" hidden="false" customHeight="false" outlineLevel="0" collapsed="false">
      <c r="I4319" s="15" t="str">
        <f aca="false">IF(A4319="","",INT(A4319))</f>
        <v/>
      </c>
      <c r="J4319" s="16" t="str">
        <f aca="false">IF(B4319="","",IF(A4319=_xlfn.MINIFS($A$2:$A$5001,$B$2:$B$5001,B4319),1,0))</f>
        <v/>
      </c>
      <c r="K4319" s="16" t="str">
        <f aca="false">IF(B4319="","",IF(AND(D4319="Formalização",E4319="Concluído"),IF(COUNTIFS($B$2:$B$5001,B4319,$E$2:$E$5001,"Em ajustes",$A$2:$A$5001,"&lt;"&amp;I4319)&gt;0,1,0),0))</f>
        <v/>
      </c>
      <c r="L4319" s="16" t="str">
        <f aca="false">IF(B4319="","",IF(A4319=_xlfn.MAXIFS($A$2:$A$5001,$B$2:$B$5001,B4319,$I$2:$I$5001,I4319),1,0))</f>
        <v/>
      </c>
    </row>
    <row r="4320" customFormat="false" ht="15" hidden="false" customHeight="false" outlineLevel="0" collapsed="false">
      <c r="I4320" s="15" t="str">
        <f aca="false">IF(A4320="","",INT(A4320))</f>
        <v/>
      </c>
      <c r="J4320" s="16" t="str">
        <f aca="false">IF(B4320="","",IF(A4320=_xlfn.MINIFS($A$2:$A$5001,$B$2:$B$5001,B4320),1,0))</f>
        <v/>
      </c>
      <c r="K4320" s="16" t="str">
        <f aca="false">IF(B4320="","",IF(AND(D4320="Formalização",E4320="Concluído"),IF(COUNTIFS($B$2:$B$5001,B4320,$E$2:$E$5001,"Em ajustes",$A$2:$A$5001,"&lt;"&amp;I4320)&gt;0,1,0),0))</f>
        <v/>
      </c>
      <c r="L4320" s="16" t="str">
        <f aca="false">IF(B4320="","",IF(A4320=_xlfn.MAXIFS($A$2:$A$5001,$B$2:$B$5001,B4320,$I$2:$I$5001,I4320),1,0))</f>
        <v/>
      </c>
    </row>
    <row r="4321" customFormat="false" ht="15" hidden="false" customHeight="false" outlineLevel="0" collapsed="false">
      <c r="I4321" s="15" t="str">
        <f aca="false">IF(A4321="","",INT(A4321))</f>
        <v/>
      </c>
      <c r="J4321" s="16" t="str">
        <f aca="false">IF(B4321="","",IF(A4321=_xlfn.MINIFS($A$2:$A$5001,$B$2:$B$5001,B4321),1,0))</f>
        <v/>
      </c>
      <c r="K4321" s="16" t="str">
        <f aca="false">IF(B4321="","",IF(AND(D4321="Formalização",E4321="Concluído"),IF(COUNTIFS($B$2:$B$5001,B4321,$E$2:$E$5001,"Em ajustes",$A$2:$A$5001,"&lt;"&amp;I4321)&gt;0,1,0),0))</f>
        <v/>
      </c>
      <c r="L4321" s="16" t="str">
        <f aca="false">IF(B4321="","",IF(A4321=_xlfn.MAXIFS($A$2:$A$5001,$B$2:$B$5001,B4321,$I$2:$I$5001,I4321),1,0))</f>
        <v/>
      </c>
    </row>
    <row r="4322" customFormat="false" ht="15" hidden="false" customHeight="false" outlineLevel="0" collapsed="false">
      <c r="I4322" s="15" t="str">
        <f aca="false">IF(A4322="","",INT(A4322))</f>
        <v/>
      </c>
      <c r="J4322" s="16" t="str">
        <f aca="false">IF(B4322="","",IF(A4322=_xlfn.MINIFS($A$2:$A$5001,$B$2:$B$5001,B4322),1,0))</f>
        <v/>
      </c>
      <c r="K4322" s="16" t="str">
        <f aca="false">IF(B4322="","",IF(AND(D4322="Formalização",E4322="Concluído"),IF(COUNTIFS($B$2:$B$5001,B4322,$E$2:$E$5001,"Em ajustes",$A$2:$A$5001,"&lt;"&amp;I4322)&gt;0,1,0),0))</f>
        <v/>
      </c>
      <c r="L4322" s="16" t="str">
        <f aca="false">IF(B4322="","",IF(A4322=_xlfn.MAXIFS($A$2:$A$5001,$B$2:$B$5001,B4322,$I$2:$I$5001,I4322),1,0))</f>
        <v/>
      </c>
    </row>
    <row r="4323" customFormat="false" ht="15" hidden="false" customHeight="false" outlineLevel="0" collapsed="false">
      <c r="I4323" s="15" t="str">
        <f aca="false">IF(A4323="","",INT(A4323))</f>
        <v/>
      </c>
      <c r="J4323" s="16" t="str">
        <f aca="false">IF(B4323="","",IF(A4323=_xlfn.MINIFS($A$2:$A$5001,$B$2:$B$5001,B4323),1,0))</f>
        <v/>
      </c>
      <c r="K4323" s="16" t="str">
        <f aca="false">IF(B4323="","",IF(AND(D4323="Formalização",E4323="Concluído"),IF(COUNTIFS($B$2:$B$5001,B4323,$E$2:$E$5001,"Em ajustes",$A$2:$A$5001,"&lt;"&amp;I4323)&gt;0,1,0),0))</f>
        <v/>
      </c>
      <c r="L4323" s="16" t="str">
        <f aca="false">IF(B4323="","",IF(A4323=_xlfn.MAXIFS($A$2:$A$5001,$B$2:$B$5001,B4323,$I$2:$I$5001,I4323),1,0))</f>
        <v/>
      </c>
    </row>
    <row r="4324" customFormat="false" ht="15" hidden="false" customHeight="false" outlineLevel="0" collapsed="false">
      <c r="I4324" s="15" t="str">
        <f aca="false">IF(A4324="","",INT(A4324))</f>
        <v/>
      </c>
      <c r="J4324" s="16" t="str">
        <f aca="false">IF(B4324="","",IF(A4324=_xlfn.MINIFS($A$2:$A$5001,$B$2:$B$5001,B4324),1,0))</f>
        <v/>
      </c>
      <c r="K4324" s="16" t="str">
        <f aca="false">IF(B4324="","",IF(AND(D4324="Formalização",E4324="Concluído"),IF(COUNTIFS($B$2:$B$5001,B4324,$E$2:$E$5001,"Em ajustes",$A$2:$A$5001,"&lt;"&amp;I4324)&gt;0,1,0),0))</f>
        <v/>
      </c>
      <c r="L4324" s="16" t="str">
        <f aca="false">IF(B4324="","",IF(A4324=_xlfn.MAXIFS($A$2:$A$5001,$B$2:$B$5001,B4324,$I$2:$I$5001,I4324),1,0))</f>
        <v/>
      </c>
    </row>
    <row r="4325" customFormat="false" ht="15" hidden="false" customHeight="false" outlineLevel="0" collapsed="false">
      <c r="I4325" s="15" t="str">
        <f aca="false">IF(A4325="","",INT(A4325))</f>
        <v/>
      </c>
      <c r="J4325" s="16" t="str">
        <f aca="false">IF(B4325="","",IF(A4325=_xlfn.MINIFS($A$2:$A$5001,$B$2:$B$5001,B4325),1,0))</f>
        <v/>
      </c>
      <c r="K4325" s="16" t="str">
        <f aca="false">IF(B4325="","",IF(AND(D4325="Formalização",E4325="Concluído"),IF(COUNTIFS($B$2:$B$5001,B4325,$E$2:$E$5001,"Em ajustes",$A$2:$A$5001,"&lt;"&amp;I4325)&gt;0,1,0),0))</f>
        <v/>
      </c>
      <c r="L4325" s="16" t="str">
        <f aca="false">IF(B4325="","",IF(A4325=_xlfn.MAXIFS($A$2:$A$5001,$B$2:$B$5001,B4325,$I$2:$I$5001,I4325),1,0))</f>
        <v/>
      </c>
    </row>
    <row r="4326" customFormat="false" ht="15" hidden="false" customHeight="false" outlineLevel="0" collapsed="false">
      <c r="I4326" s="15" t="str">
        <f aca="false">IF(A4326="","",INT(A4326))</f>
        <v/>
      </c>
      <c r="J4326" s="16" t="str">
        <f aca="false">IF(B4326="","",IF(A4326=_xlfn.MINIFS($A$2:$A$5001,$B$2:$B$5001,B4326),1,0))</f>
        <v/>
      </c>
      <c r="K4326" s="16" t="str">
        <f aca="false">IF(B4326="","",IF(AND(D4326="Formalização",E4326="Concluído"),IF(COUNTIFS($B$2:$B$5001,B4326,$E$2:$E$5001,"Em ajustes",$A$2:$A$5001,"&lt;"&amp;I4326)&gt;0,1,0),0))</f>
        <v/>
      </c>
      <c r="L4326" s="16" t="str">
        <f aca="false">IF(B4326="","",IF(A4326=_xlfn.MAXIFS($A$2:$A$5001,$B$2:$B$5001,B4326,$I$2:$I$5001,I4326),1,0))</f>
        <v/>
      </c>
    </row>
    <row r="4327" customFormat="false" ht="15" hidden="false" customHeight="false" outlineLevel="0" collapsed="false">
      <c r="I4327" s="15" t="str">
        <f aca="false">IF(A4327="","",INT(A4327))</f>
        <v/>
      </c>
      <c r="J4327" s="16" t="str">
        <f aca="false">IF(B4327="","",IF(A4327=_xlfn.MINIFS($A$2:$A$5001,$B$2:$B$5001,B4327),1,0))</f>
        <v/>
      </c>
      <c r="K4327" s="16" t="str">
        <f aca="false">IF(B4327="","",IF(AND(D4327="Formalização",E4327="Concluído"),IF(COUNTIFS($B$2:$B$5001,B4327,$E$2:$E$5001,"Em ajustes",$A$2:$A$5001,"&lt;"&amp;I4327)&gt;0,1,0),0))</f>
        <v/>
      </c>
      <c r="L4327" s="16" t="str">
        <f aca="false">IF(B4327="","",IF(A4327=_xlfn.MAXIFS($A$2:$A$5001,$B$2:$B$5001,B4327,$I$2:$I$5001,I4327),1,0))</f>
        <v/>
      </c>
    </row>
    <row r="4328" customFormat="false" ht="15" hidden="false" customHeight="false" outlineLevel="0" collapsed="false">
      <c r="I4328" s="15" t="str">
        <f aca="false">IF(A4328="","",INT(A4328))</f>
        <v/>
      </c>
      <c r="J4328" s="16" t="str">
        <f aca="false">IF(B4328="","",IF(A4328=_xlfn.MINIFS($A$2:$A$5001,$B$2:$B$5001,B4328),1,0))</f>
        <v/>
      </c>
      <c r="K4328" s="16" t="str">
        <f aca="false">IF(B4328="","",IF(AND(D4328="Formalização",E4328="Concluído"),IF(COUNTIFS($B$2:$B$5001,B4328,$E$2:$E$5001,"Em ajustes",$A$2:$A$5001,"&lt;"&amp;I4328)&gt;0,1,0),0))</f>
        <v/>
      </c>
      <c r="L4328" s="16" t="str">
        <f aca="false">IF(B4328="","",IF(A4328=_xlfn.MAXIFS($A$2:$A$5001,$B$2:$B$5001,B4328,$I$2:$I$5001,I4328),1,0))</f>
        <v/>
      </c>
    </row>
    <row r="4329" customFormat="false" ht="15" hidden="false" customHeight="false" outlineLevel="0" collapsed="false">
      <c r="I4329" s="15" t="str">
        <f aca="false">IF(A4329="","",INT(A4329))</f>
        <v/>
      </c>
      <c r="J4329" s="16" t="str">
        <f aca="false">IF(B4329="","",IF(A4329=_xlfn.MINIFS($A$2:$A$5001,$B$2:$B$5001,B4329),1,0))</f>
        <v/>
      </c>
      <c r="K4329" s="16" t="str">
        <f aca="false">IF(B4329="","",IF(AND(D4329="Formalização",E4329="Concluído"),IF(COUNTIFS($B$2:$B$5001,B4329,$E$2:$E$5001,"Em ajustes",$A$2:$A$5001,"&lt;"&amp;I4329)&gt;0,1,0),0))</f>
        <v/>
      </c>
      <c r="L4329" s="16" t="str">
        <f aca="false">IF(B4329="","",IF(A4329=_xlfn.MAXIFS($A$2:$A$5001,$B$2:$B$5001,B4329,$I$2:$I$5001,I4329),1,0))</f>
        <v/>
      </c>
    </row>
    <row r="4330" customFormat="false" ht="15" hidden="false" customHeight="false" outlineLevel="0" collapsed="false">
      <c r="I4330" s="15" t="str">
        <f aca="false">IF(A4330="","",INT(A4330))</f>
        <v/>
      </c>
      <c r="J4330" s="16" t="str">
        <f aca="false">IF(B4330="","",IF(A4330=_xlfn.MINIFS($A$2:$A$5001,$B$2:$B$5001,B4330),1,0))</f>
        <v/>
      </c>
      <c r="K4330" s="16" t="str">
        <f aca="false">IF(B4330="","",IF(AND(D4330="Formalização",E4330="Concluído"),IF(COUNTIFS($B$2:$B$5001,B4330,$E$2:$E$5001,"Em ajustes",$A$2:$A$5001,"&lt;"&amp;I4330)&gt;0,1,0),0))</f>
        <v/>
      </c>
      <c r="L4330" s="16" t="str">
        <f aca="false">IF(B4330="","",IF(A4330=_xlfn.MAXIFS($A$2:$A$5001,$B$2:$B$5001,B4330,$I$2:$I$5001,I4330),1,0))</f>
        <v/>
      </c>
    </row>
    <row r="4331" customFormat="false" ht="15" hidden="false" customHeight="false" outlineLevel="0" collapsed="false">
      <c r="I4331" s="15" t="str">
        <f aca="false">IF(A4331="","",INT(A4331))</f>
        <v/>
      </c>
      <c r="J4331" s="16" t="str">
        <f aca="false">IF(B4331="","",IF(A4331=_xlfn.MINIFS($A$2:$A$5001,$B$2:$B$5001,B4331),1,0))</f>
        <v/>
      </c>
      <c r="K4331" s="16" t="str">
        <f aca="false">IF(B4331="","",IF(AND(D4331="Formalização",E4331="Concluído"),IF(COUNTIFS($B$2:$B$5001,B4331,$E$2:$E$5001,"Em ajustes",$A$2:$A$5001,"&lt;"&amp;I4331)&gt;0,1,0),0))</f>
        <v/>
      </c>
      <c r="L4331" s="16" t="str">
        <f aca="false">IF(B4331="","",IF(A4331=_xlfn.MAXIFS($A$2:$A$5001,$B$2:$B$5001,B4331,$I$2:$I$5001,I4331),1,0))</f>
        <v/>
      </c>
    </row>
    <row r="4332" customFormat="false" ht="15" hidden="false" customHeight="false" outlineLevel="0" collapsed="false">
      <c r="I4332" s="15" t="str">
        <f aca="false">IF(A4332="","",INT(A4332))</f>
        <v/>
      </c>
      <c r="J4332" s="16" t="str">
        <f aca="false">IF(B4332="","",IF(A4332=_xlfn.MINIFS($A$2:$A$5001,$B$2:$B$5001,B4332),1,0))</f>
        <v/>
      </c>
      <c r="K4332" s="16" t="str">
        <f aca="false">IF(B4332="","",IF(AND(D4332="Formalização",E4332="Concluído"),IF(COUNTIFS($B$2:$B$5001,B4332,$E$2:$E$5001,"Em ajustes",$A$2:$A$5001,"&lt;"&amp;I4332)&gt;0,1,0),0))</f>
        <v/>
      </c>
      <c r="L4332" s="16" t="str">
        <f aca="false">IF(B4332="","",IF(A4332=_xlfn.MAXIFS($A$2:$A$5001,$B$2:$B$5001,B4332,$I$2:$I$5001,I4332),1,0))</f>
        <v/>
      </c>
    </row>
    <row r="4333" customFormat="false" ht="15" hidden="false" customHeight="false" outlineLevel="0" collapsed="false">
      <c r="I4333" s="15" t="str">
        <f aca="false">IF(A4333="","",INT(A4333))</f>
        <v/>
      </c>
      <c r="J4333" s="16" t="str">
        <f aca="false">IF(B4333="","",IF(A4333=_xlfn.MINIFS($A$2:$A$5001,$B$2:$B$5001,B4333),1,0))</f>
        <v/>
      </c>
      <c r="K4333" s="16" t="str">
        <f aca="false">IF(B4333="","",IF(AND(D4333="Formalização",E4333="Concluído"),IF(COUNTIFS($B$2:$B$5001,B4333,$E$2:$E$5001,"Em ajustes",$A$2:$A$5001,"&lt;"&amp;I4333)&gt;0,1,0),0))</f>
        <v/>
      </c>
      <c r="L4333" s="16" t="str">
        <f aca="false">IF(B4333="","",IF(A4333=_xlfn.MAXIFS($A$2:$A$5001,$B$2:$B$5001,B4333,$I$2:$I$5001,I4333),1,0))</f>
        <v/>
      </c>
    </row>
    <row r="4334" customFormat="false" ht="15" hidden="false" customHeight="false" outlineLevel="0" collapsed="false">
      <c r="I4334" s="15" t="str">
        <f aca="false">IF(A4334="","",INT(A4334))</f>
        <v/>
      </c>
      <c r="J4334" s="16" t="str">
        <f aca="false">IF(B4334="","",IF(A4334=_xlfn.MINIFS($A$2:$A$5001,$B$2:$B$5001,B4334),1,0))</f>
        <v/>
      </c>
      <c r="K4334" s="16" t="str">
        <f aca="false">IF(B4334="","",IF(AND(D4334="Formalização",E4334="Concluído"),IF(COUNTIFS($B$2:$B$5001,B4334,$E$2:$E$5001,"Em ajustes",$A$2:$A$5001,"&lt;"&amp;I4334)&gt;0,1,0),0))</f>
        <v/>
      </c>
      <c r="L4334" s="16" t="str">
        <f aca="false">IF(B4334="","",IF(A4334=_xlfn.MAXIFS($A$2:$A$5001,$B$2:$B$5001,B4334,$I$2:$I$5001,I4334),1,0))</f>
        <v/>
      </c>
    </row>
    <row r="4335" customFormat="false" ht="15" hidden="false" customHeight="false" outlineLevel="0" collapsed="false">
      <c r="I4335" s="15" t="str">
        <f aca="false">IF(A4335="","",INT(A4335))</f>
        <v/>
      </c>
      <c r="J4335" s="16" t="str">
        <f aca="false">IF(B4335="","",IF(A4335=_xlfn.MINIFS($A$2:$A$5001,$B$2:$B$5001,B4335),1,0))</f>
        <v/>
      </c>
      <c r="K4335" s="16" t="str">
        <f aca="false">IF(B4335="","",IF(AND(D4335="Formalização",E4335="Concluído"),IF(COUNTIFS($B$2:$B$5001,B4335,$E$2:$E$5001,"Em ajustes",$A$2:$A$5001,"&lt;"&amp;I4335)&gt;0,1,0),0))</f>
        <v/>
      </c>
      <c r="L4335" s="16" t="str">
        <f aca="false">IF(B4335="","",IF(A4335=_xlfn.MAXIFS($A$2:$A$5001,$B$2:$B$5001,B4335,$I$2:$I$5001,I4335),1,0))</f>
        <v/>
      </c>
    </row>
    <row r="4336" customFormat="false" ht="15" hidden="false" customHeight="false" outlineLevel="0" collapsed="false">
      <c r="I4336" s="15" t="str">
        <f aca="false">IF(A4336="","",INT(A4336))</f>
        <v/>
      </c>
      <c r="J4336" s="16" t="str">
        <f aca="false">IF(B4336="","",IF(A4336=_xlfn.MINIFS($A$2:$A$5001,$B$2:$B$5001,B4336),1,0))</f>
        <v/>
      </c>
      <c r="K4336" s="16" t="str">
        <f aca="false">IF(B4336="","",IF(AND(D4336="Formalização",E4336="Concluído"),IF(COUNTIFS($B$2:$B$5001,B4336,$E$2:$E$5001,"Em ajustes",$A$2:$A$5001,"&lt;"&amp;I4336)&gt;0,1,0),0))</f>
        <v/>
      </c>
      <c r="L4336" s="16" t="str">
        <f aca="false">IF(B4336="","",IF(A4336=_xlfn.MAXIFS($A$2:$A$5001,$B$2:$B$5001,B4336,$I$2:$I$5001,I4336),1,0))</f>
        <v/>
      </c>
    </row>
    <row r="4337" customFormat="false" ht="15" hidden="false" customHeight="false" outlineLevel="0" collapsed="false">
      <c r="I4337" s="15" t="str">
        <f aca="false">IF(A4337="","",INT(A4337))</f>
        <v/>
      </c>
      <c r="J4337" s="16" t="str">
        <f aca="false">IF(B4337="","",IF(A4337=_xlfn.MINIFS($A$2:$A$5001,$B$2:$B$5001,B4337),1,0))</f>
        <v/>
      </c>
      <c r="K4337" s="16" t="str">
        <f aca="false">IF(B4337="","",IF(AND(D4337="Formalização",E4337="Concluído"),IF(COUNTIFS($B$2:$B$5001,B4337,$E$2:$E$5001,"Em ajustes",$A$2:$A$5001,"&lt;"&amp;I4337)&gt;0,1,0),0))</f>
        <v/>
      </c>
      <c r="L4337" s="16" t="str">
        <f aca="false">IF(B4337="","",IF(A4337=_xlfn.MAXIFS($A$2:$A$5001,$B$2:$B$5001,B4337,$I$2:$I$5001,I4337),1,0))</f>
        <v/>
      </c>
    </row>
    <row r="4338" customFormat="false" ht="15" hidden="false" customHeight="false" outlineLevel="0" collapsed="false">
      <c r="I4338" s="15" t="str">
        <f aca="false">IF(A4338="","",INT(A4338))</f>
        <v/>
      </c>
      <c r="J4338" s="16" t="str">
        <f aca="false">IF(B4338="","",IF(A4338=_xlfn.MINIFS($A$2:$A$5001,$B$2:$B$5001,B4338),1,0))</f>
        <v/>
      </c>
      <c r="K4338" s="16" t="str">
        <f aca="false">IF(B4338="","",IF(AND(D4338="Formalização",E4338="Concluído"),IF(COUNTIFS($B$2:$B$5001,B4338,$E$2:$E$5001,"Em ajustes",$A$2:$A$5001,"&lt;"&amp;I4338)&gt;0,1,0),0))</f>
        <v/>
      </c>
      <c r="L4338" s="16" t="str">
        <f aca="false">IF(B4338="","",IF(A4338=_xlfn.MAXIFS($A$2:$A$5001,$B$2:$B$5001,B4338,$I$2:$I$5001,I4338),1,0))</f>
        <v/>
      </c>
    </row>
    <row r="4339" customFormat="false" ht="15" hidden="false" customHeight="false" outlineLevel="0" collapsed="false">
      <c r="I4339" s="15" t="str">
        <f aca="false">IF(A4339="","",INT(A4339))</f>
        <v/>
      </c>
      <c r="J4339" s="16" t="str">
        <f aca="false">IF(B4339="","",IF(A4339=_xlfn.MINIFS($A$2:$A$5001,$B$2:$B$5001,B4339),1,0))</f>
        <v/>
      </c>
      <c r="K4339" s="16" t="str">
        <f aca="false">IF(B4339="","",IF(AND(D4339="Formalização",E4339="Concluído"),IF(COUNTIFS($B$2:$B$5001,B4339,$E$2:$E$5001,"Em ajustes",$A$2:$A$5001,"&lt;"&amp;I4339)&gt;0,1,0),0))</f>
        <v/>
      </c>
      <c r="L4339" s="16" t="str">
        <f aca="false">IF(B4339="","",IF(A4339=_xlfn.MAXIFS($A$2:$A$5001,$B$2:$B$5001,B4339,$I$2:$I$5001,I4339),1,0))</f>
        <v/>
      </c>
    </row>
    <row r="4340" customFormat="false" ht="15" hidden="false" customHeight="false" outlineLevel="0" collapsed="false">
      <c r="I4340" s="15" t="str">
        <f aca="false">IF(A4340="","",INT(A4340))</f>
        <v/>
      </c>
      <c r="J4340" s="16" t="str">
        <f aca="false">IF(B4340="","",IF(A4340=_xlfn.MINIFS($A$2:$A$5001,$B$2:$B$5001,B4340),1,0))</f>
        <v/>
      </c>
      <c r="K4340" s="16" t="str">
        <f aca="false">IF(B4340="","",IF(AND(D4340="Formalização",E4340="Concluído"),IF(COUNTIFS($B$2:$B$5001,B4340,$E$2:$E$5001,"Em ajustes",$A$2:$A$5001,"&lt;"&amp;I4340)&gt;0,1,0),0))</f>
        <v/>
      </c>
      <c r="L4340" s="16" t="str">
        <f aca="false">IF(B4340="","",IF(A4340=_xlfn.MAXIFS($A$2:$A$5001,$B$2:$B$5001,B4340,$I$2:$I$5001,I4340),1,0))</f>
        <v/>
      </c>
    </row>
    <row r="4341" customFormat="false" ht="15" hidden="false" customHeight="false" outlineLevel="0" collapsed="false">
      <c r="I4341" s="15" t="str">
        <f aca="false">IF(A4341="","",INT(A4341))</f>
        <v/>
      </c>
      <c r="J4341" s="16" t="str">
        <f aca="false">IF(B4341="","",IF(A4341=_xlfn.MINIFS($A$2:$A$5001,$B$2:$B$5001,B4341),1,0))</f>
        <v/>
      </c>
      <c r="K4341" s="16" t="str">
        <f aca="false">IF(B4341="","",IF(AND(D4341="Formalização",E4341="Concluído"),IF(COUNTIFS($B$2:$B$5001,B4341,$E$2:$E$5001,"Em ajustes",$A$2:$A$5001,"&lt;"&amp;I4341)&gt;0,1,0),0))</f>
        <v/>
      </c>
      <c r="L4341" s="16" t="str">
        <f aca="false">IF(B4341="","",IF(A4341=_xlfn.MAXIFS($A$2:$A$5001,$B$2:$B$5001,B4341,$I$2:$I$5001,I4341),1,0))</f>
        <v/>
      </c>
    </row>
    <row r="4342" customFormat="false" ht="15" hidden="false" customHeight="false" outlineLevel="0" collapsed="false">
      <c r="I4342" s="15" t="str">
        <f aca="false">IF(A4342="","",INT(A4342))</f>
        <v/>
      </c>
      <c r="J4342" s="16" t="str">
        <f aca="false">IF(B4342="","",IF(A4342=_xlfn.MINIFS($A$2:$A$5001,$B$2:$B$5001,B4342),1,0))</f>
        <v/>
      </c>
      <c r="K4342" s="16" t="str">
        <f aca="false">IF(B4342="","",IF(AND(D4342="Formalização",E4342="Concluído"),IF(COUNTIFS($B$2:$B$5001,B4342,$E$2:$E$5001,"Em ajustes",$A$2:$A$5001,"&lt;"&amp;I4342)&gt;0,1,0),0))</f>
        <v/>
      </c>
      <c r="L4342" s="16" t="str">
        <f aca="false">IF(B4342="","",IF(A4342=_xlfn.MAXIFS($A$2:$A$5001,$B$2:$B$5001,B4342,$I$2:$I$5001,I4342),1,0))</f>
        <v/>
      </c>
    </row>
    <row r="4343" customFormat="false" ht="15" hidden="false" customHeight="false" outlineLevel="0" collapsed="false">
      <c r="I4343" s="15" t="str">
        <f aca="false">IF(A4343="","",INT(A4343))</f>
        <v/>
      </c>
      <c r="J4343" s="16" t="str">
        <f aca="false">IF(B4343="","",IF(A4343=_xlfn.MINIFS($A$2:$A$5001,$B$2:$B$5001,B4343),1,0))</f>
        <v/>
      </c>
      <c r="K4343" s="16" t="str">
        <f aca="false">IF(B4343="","",IF(AND(D4343="Formalização",E4343="Concluído"),IF(COUNTIFS($B$2:$B$5001,B4343,$E$2:$E$5001,"Em ajustes",$A$2:$A$5001,"&lt;"&amp;I4343)&gt;0,1,0),0))</f>
        <v/>
      </c>
      <c r="L4343" s="16" t="str">
        <f aca="false">IF(B4343="","",IF(A4343=_xlfn.MAXIFS($A$2:$A$5001,$B$2:$B$5001,B4343,$I$2:$I$5001,I4343),1,0))</f>
        <v/>
      </c>
    </row>
    <row r="4344" customFormat="false" ht="15" hidden="false" customHeight="false" outlineLevel="0" collapsed="false">
      <c r="I4344" s="15" t="str">
        <f aca="false">IF(A4344="","",INT(A4344))</f>
        <v/>
      </c>
      <c r="J4344" s="16" t="str">
        <f aca="false">IF(B4344="","",IF(A4344=_xlfn.MINIFS($A$2:$A$5001,$B$2:$B$5001,B4344),1,0))</f>
        <v/>
      </c>
      <c r="K4344" s="16" t="str">
        <f aca="false">IF(B4344="","",IF(AND(D4344="Formalização",E4344="Concluído"),IF(COUNTIFS($B$2:$B$5001,B4344,$E$2:$E$5001,"Em ajustes",$A$2:$A$5001,"&lt;"&amp;I4344)&gt;0,1,0),0))</f>
        <v/>
      </c>
      <c r="L4344" s="16" t="str">
        <f aca="false">IF(B4344="","",IF(A4344=_xlfn.MAXIFS($A$2:$A$5001,$B$2:$B$5001,B4344,$I$2:$I$5001,I4344),1,0))</f>
        <v/>
      </c>
    </row>
    <row r="4345" customFormat="false" ht="15" hidden="false" customHeight="false" outlineLevel="0" collapsed="false">
      <c r="I4345" s="15" t="str">
        <f aca="false">IF(A4345="","",INT(A4345))</f>
        <v/>
      </c>
      <c r="J4345" s="16" t="str">
        <f aca="false">IF(B4345="","",IF(A4345=_xlfn.MINIFS($A$2:$A$5001,$B$2:$B$5001,B4345),1,0))</f>
        <v/>
      </c>
      <c r="K4345" s="16" t="str">
        <f aca="false">IF(B4345="","",IF(AND(D4345="Formalização",E4345="Concluído"),IF(COUNTIFS($B$2:$B$5001,B4345,$E$2:$E$5001,"Em ajustes",$A$2:$A$5001,"&lt;"&amp;I4345)&gt;0,1,0),0))</f>
        <v/>
      </c>
      <c r="L4345" s="16" t="str">
        <f aca="false">IF(B4345="","",IF(A4345=_xlfn.MAXIFS($A$2:$A$5001,$B$2:$B$5001,B4345,$I$2:$I$5001,I4345),1,0))</f>
        <v/>
      </c>
    </row>
    <row r="4346" customFormat="false" ht="15" hidden="false" customHeight="false" outlineLevel="0" collapsed="false">
      <c r="I4346" s="15" t="str">
        <f aca="false">IF(A4346="","",INT(A4346))</f>
        <v/>
      </c>
      <c r="J4346" s="16" t="str">
        <f aca="false">IF(B4346="","",IF(A4346=_xlfn.MINIFS($A$2:$A$5001,$B$2:$B$5001,B4346),1,0))</f>
        <v/>
      </c>
      <c r="K4346" s="16" t="str">
        <f aca="false">IF(B4346="","",IF(AND(D4346="Formalização",E4346="Concluído"),IF(COUNTIFS($B$2:$B$5001,B4346,$E$2:$E$5001,"Em ajustes",$A$2:$A$5001,"&lt;"&amp;I4346)&gt;0,1,0),0))</f>
        <v/>
      </c>
      <c r="L4346" s="16" t="str">
        <f aca="false">IF(B4346="","",IF(A4346=_xlfn.MAXIFS($A$2:$A$5001,$B$2:$B$5001,B4346,$I$2:$I$5001,I4346),1,0))</f>
        <v/>
      </c>
    </row>
    <row r="4347" customFormat="false" ht="15" hidden="false" customHeight="false" outlineLevel="0" collapsed="false">
      <c r="I4347" s="15" t="str">
        <f aca="false">IF(A4347="","",INT(A4347))</f>
        <v/>
      </c>
      <c r="J4347" s="16" t="str">
        <f aca="false">IF(B4347="","",IF(A4347=_xlfn.MINIFS($A$2:$A$5001,$B$2:$B$5001,B4347),1,0))</f>
        <v/>
      </c>
      <c r="K4347" s="16" t="str">
        <f aca="false">IF(B4347="","",IF(AND(D4347="Formalização",E4347="Concluído"),IF(COUNTIFS($B$2:$B$5001,B4347,$E$2:$E$5001,"Em ajustes",$A$2:$A$5001,"&lt;"&amp;I4347)&gt;0,1,0),0))</f>
        <v/>
      </c>
      <c r="L4347" s="16" t="str">
        <f aca="false">IF(B4347="","",IF(A4347=_xlfn.MAXIFS($A$2:$A$5001,$B$2:$B$5001,B4347,$I$2:$I$5001,I4347),1,0))</f>
        <v/>
      </c>
    </row>
    <row r="4348" customFormat="false" ht="15" hidden="false" customHeight="false" outlineLevel="0" collapsed="false">
      <c r="I4348" s="15" t="str">
        <f aca="false">IF(A4348="","",INT(A4348))</f>
        <v/>
      </c>
      <c r="J4348" s="16" t="str">
        <f aca="false">IF(B4348="","",IF(A4348=_xlfn.MINIFS($A$2:$A$5001,$B$2:$B$5001,B4348),1,0))</f>
        <v/>
      </c>
      <c r="K4348" s="16" t="str">
        <f aca="false">IF(B4348="","",IF(AND(D4348="Formalização",E4348="Concluído"),IF(COUNTIFS($B$2:$B$5001,B4348,$E$2:$E$5001,"Em ajustes",$A$2:$A$5001,"&lt;"&amp;I4348)&gt;0,1,0),0))</f>
        <v/>
      </c>
      <c r="L4348" s="16" t="str">
        <f aca="false">IF(B4348="","",IF(A4348=_xlfn.MAXIFS($A$2:$A$5001,$B$2:$B$5001,B4348,$I$2:$I$5001,I4348),1,0))</f>
        <v/>
      </c>
    </row>
    <row r="4349" customFormat="false" ht="15" hidden="false" customHeight="false" outlineLevel="0" collapsed="false">
      <c r="I4349" s="15" t="str">
        <f aca="false">IF(A4349="","",INT(A4349))</f>
        <v/>
      </c>
      <c r="J4349" s="16" t="str">
        <f aca="false">IF(B4349="","",IF(A4349=_xlfn.MINIFS($A$2:$A$5001,$B$2:$B$5001,B4349),1,0))</f>
        <v/>
      </c>
      <c r="K4349" s="16" t="str">
        <f aca="false">IF(B4349="","",IF(AND(D4349="Formalização",E4349="Concluído"),IF(COUNTIFS($B$2:$B$5001,B4349,$E$2:$E$5001,"Em ajustes",$A$2:$A$5001,"&lt;"&amp;I4349)&gt;0,1,0),0))</f>
        <v/>
      </c>
      <c r="L4349" s="16" t="str">
        <f aca="false">IF(B4349="","",IF(A4349=_xlfn.MAXIFS($A$2:$A$5001,$B$2:$B$5001,B4349,$I$2:$I$5001,I4349),1,0))</f>
        <v/>
      </c>
    </row>
    <row r="4350" customFormat="false" ht="15" hidden="false" customHeight="false" outlineLevel="0" collapsed="false">
      <c r="I4350" s="15" t="str">
        <f aca="false">IF(A4350="","",INT(A4350))</f>
        <v/>
      </c>
      <c r="J4350" s="16" t="str">
        <f aca="false">IF(B4350="","",IF(A4350=_xlfn.MINIFS($A$2:$A$5001,$B$2:$B$5001,B4350),1,0))</f>
        <v/>
      </c>
      <c r="K4350" s="16" t="str">
        <f aca="false">IF(B4350="","",IF(AND(D4350="Formalização",E4350="Concluído"),IF(COUNTIFS($B$2:$B$5001,B4350,$E$2:$E$5001,"Em ajustes",$A$2:$A$5001,"&lt;"&amp;I4350)&gt;0,1,0),0))</f>
        <v/>
      </c>
      <c r="L4350" s="16" t="str">
        <f aca="false">IF(B4350="","",IF(A4350=_xlfn.MAXIFS($A$2:$A$5001,$B$2:$B$5001,B4350,$I$2:$I$5001,I4350),1,0))</f>
        <v/>
      </c>
    </row>
    <row r="4351" customFormat="false" ht="15" hidden="false" customHeight="false" outlineLevel="0" collapsed="false">
      <c r="I4351" s="15" t="str">
        <f aca="false">IF(A4351="","",INT(A4351))</f>
        <v/>
      </c>
      <c r="J4351" s="16" t="str">
        <f aca="false">IF(B4351="","",IF(A4351=_xlfn.MINIFS($A$2:$A$5001,$B$2:$B$5001,B4351),1,0))</f>
        <v/>
      </c>
      <c r="K4351" s="16" t="str">
        <f aca="false">IF(B4351="","",IF(AND(D4351="Formalização",E4351="Concluído"),IF(COUNTIFS($B$2:$B$5001,B4351,$E$2:$E$5001,"Em ajustes",$A$2:$A$5001,"&lt;"&amp;I4351)&gt;0,1,0),0))</f>
        <v/>
      </c>
      <c r="L4351" s="16" t="str">
        <f aca="false">IF(B4351="","",IF(A4351=_xlfn.MAXIFS($A$2:$A$5001,$B$2:$B$5001,B4351,$I$2:$I$5001,I4351),1,0))</f>
        <v/>
      </c>
    </row>
    <row r="4352" customFormat="false" ht="15" hidden="false" customHeight="false" outlineLevel="0" collapsed="false">
      <c r="I4352" s="15" t="str">
        <f aca="false">IF(A4352="","",INT(A4352))</f>
        <v/>
      </c>
      <c r="J4352" s="16" t="str">
        <f aca="false">IF(B4352="","",IF(A4352=_xlfn.MINIFS($A$2:$A$5001,$B$2:$B$5001,B4352),1,0))</f>
        <v/>
      </c>
      <c r="K4352" s="16" t="str">
        <f aca="false">IF(B4352="","",IF(AND(D4352="Formalização",E4352="Concluído"),IF(COUNTIFS($B$2:$B$5001,B4352,$E$2:$E$5001,"Em ajustes",$A$2:$A$5001,"&lt;"&amp;I4352)&gt;0,1,0),0))</f>
        <v/>
      </c>
      <c r="L4352" s="16" t="str">
        <f aca="false">IF(B4352="","",IF(A4352=_xlfn.MAXIFS($A$2:$A$5001,$B$2:$B$5001,B4352,$I$2:$I$5001,I4352),1,0))</f>
        <v/>
      </c>
    </row>
    <row r="4353" customFormat="false" ht="15" hidden="false" customHeight="false" outlineLevel="0" collapsed="false">
      <c r="I4353" s="15" t="str">
        <f aca="false">IF(A4353="","",INT(A4353))</f>
        <v/>
      </c>
      <c r="J4353" s="16" t="str">
        <f aca="false">IF(B4353="","",IF(A4353=_xlfn.MINIFS($A$2:$A$5001,$B$2:$B$5001,B4353),1,0))</f>
        <v/>
      </c>
      <c r="K4353" s="16" t="str">
        <f aca="false">IF(B4353="","",IF(AND(D4353="Formalização",E4353="Concluído"),IF(COUNTIFS($B$2:$B$5001,B4353,$E$2:$E$5001,"Em ajustes",$A$2:$A$5001,"&lt;"&amp;I4353)&gt;0,1,0),0))</f>
        <v/>
      </c>
      <c r="L4353" s="16" t="str">
        <f aca="false">IF(B4353="","",IF(A4353=_xlfn.MAXIFS($A$2:$A$5001,$B$2:$B$5001,B4353,$I$2:$I$5001,I4353),1,0))</f>
        <v/>
      </c>
    </row>
    <row r="4354" customFormat="false" ht="15" hidden="false" customHeight="false" outlineLevel="0" collapsed="false">
      <c r="I4354" s="15" t="str">
        <f aca="false">IF(A4354="","",INT(A4354))</f>
        <v/>
      </c>
      <c r="J4354" s="16" t="str">
        <f aca="false">IF(B4354="","",IF(A4354=_xlfn.MINIFS($A$2:$A$5001,$B$2:$B$5001,B4354),1,0))</f>
        <v/>
      </c>
      <c r="K4354" s="16" t="str">
        <f aca="false">IF(B4354="","",IF(AND(D4354="Formalização",E4354="Concluído"),IF(COUNTIFS($B$2:$B$5001,B4354,$E$2:$E$5001,"Em ajustes",$A$2:$A$5001,"&lt;"&amp;I4354)&gt;0,1,0),0))</f>
        <v/>
      </c>
      <c r="L4354" s="16" t="str">
        <f aca="false">IF(B4354="","",IF(A4354=_xlfn.MAXIFS($A$2:$A$5001,$B$2:$B$5001,B4354,$I$2:$I$5001,I4354),1,0))</f>
        <v/>
      </c>
    </row>
    <row r="4355" customFormat="false" ht="15" hidden="false" customHeight="false" outlineLevel="0" collapsed="false">
      <c r="I4355" s="15" t="str">
        <f aca="false">IF(A4355="","",INT(A4355))</f>
        <v/>
      </c>
      <c r="J4355" s="16" t="str">
        <f aca="false">IF(B4355="","",IF(A4355=_xlfn.MINIFS($A$2:$A$5001,$B$2:$B$5001,B4355),1,0))</f>
        <v/>
      </c>
      <c r="K4355" s="16" t="str">
        <f aca="false">IF(B4355="","",IF(AND(D4355="Formalização",E4355="Concluído"),IF(COUNTIFS($B$2:$B$5001,B4355,$E$2:$E$5001,"Em ajustes",$A$2:$A$5001,"&lt;"&amp;I4355)&gt;0,1,0),0))</f>
        <v/>
      </c>
      <c r="L4355" s="16" t="str">
        <f aca="false">IF(B4355="","",IF(A4355=_xlfn.MAXIFS($A$2:$A$5001,$B$2:$B$5001,B4355,$I$2:$I$5001,I4355),1,0))</f>
        <v/>
      </c>
    </row>
    <row r="4356" customFormat="false" ht="15" hidden="false" customHeight="false" outlineLevel="0" collapsed="false">
      <c r="I4356" s="15" t="str">
        <f aca="false">IF(A4356="","",INT(A4356))</f>
        <v/>
      </c>
      <c r="J4356" s="16" t="str">
        <f aca="false">IF(B4356="","",IF(A4356=_xlfn.MINIFS($A$2:$A$5001,$B$2:$B$5001,B4356),1,0))</f>
        <v/>
      </c>
      <c r="K4356" s="16" t="str">
        <f aca="false">IF(B4356="","",IF(AND(D4356="Formalização",E4356="Concluído"),IF(COUNTIFS($B$2:$B$5001,B4356,$E$2:$E$5001,"Em ajustes",$A$2:$A$5001,"&lt;"&amp;I4356)&gt;0,1,0),0))</f>
        <v/>
      </c>
      <c r="L4356" s="16" t="str">
        <f aca="false">IF(B4356="","",IF(A4356=_xlfn.MAXIFS($A$2:$A$5001,$B$2:$B$5001,B4356,$I$2:$I$5001,I4356),1,0))</f>
        <v/>
      </c>
    </row>
    <row r="4357" customFormat="false" ht="15" hidden="false" customHeight="false" outlineLevel="0" collapsed="false">
      <c r="I4357" s="15" t="str">
        <f aca="false">IF(A4357="","",INT(A4357))</f>
        <v/>
      </c>
      <c r="J4357" s="16" t="str">
        <f aca="false">IF(B4357="","",IF(A4357=_xlfn.MINIFS($A$2:$A$5001,$B$2:$B$5001,B4357),1,0))</f>
        <v/>
      </c>
      <c r="K4357" s="16" t="str">
        <f aca="false">IF(B4357="","",IF(AND(D4357="Formalização",E4357="Concluído"),IF(COUNTIFS($B$2:$B$5001,B4357,$E$2:$E$5001,"Em ajustes",$A$2:$A$5001,"&lt;"&amp;I4357)&gt;0,1,0),0))</f>
        <v/>
      </c>
      <c r="L4357" s="16" t="str">
        <f aca="false">IF(B4357="","",IF(A4357=_xlfn.MAXIFS($A$2:$A$5001,$B$2:$B$5001,B4357,$I$2:$I$5001,I4357),1,0))</f>
        <v/>
      </c>
    </row>
    <row r="4358" customFormat="false" ht="15" hidden="false" customHeight="false" outlineLevel="0" collapsed="false">
      <c r="I4358" s="15" t="str">
        <f aca="false">IF(A4358="","",INT(A4358))</f>
        <v/>
      </c>
      <c r="J4358" s="16" t="str">
        <f aca="false">IF(B4358="","",IF(A4358=_xlfn.MINIFS($A$2:$A$5001,$B$2:$B$5001,B4358),1,0))</f>
        <v/>
      </c>
      <c r="K4358" s="16" t="str">
        <f aca="false">IF(B4358="","",IF(AND(D4358="Formalização",E4358="Concluído"),IF(COUNTIFS($B$2:$B$5001,B4358,$E$2:$E$5001,"Em ajustes",$A$2:$A$5001,"&lt;"&amp;I4358)&gt;0,1,0),0))</f>
        <v/>
      </c>
      <c r="L4358" s="16" t="str">
        <f aca="false">IF(B4358="","",IF(A4358=_xlfn.MAXIFS($A$2:$A$5001,$B$2:$B$5001,B4358,$I$2:$I$5001,I4358),1,0))</f>
        <v/>
      </c>
    </row>
    <row r="4359" customFormat="false" ht="15" hidden="false" customHeight="false" outlineLevel="0" collapsed="false">
      <c r="I4359" s="15" t="str">
        <f aca="false">IF(A4359="","",INT(A4359))</f>
        <v/>
      </c>
      <c r="J4359" s="16" t="str">
        <f aca="false">IF(B4359="","",IF(A4359=_xlfn.MINIFS($A$2:$A$5001,$B$2:$B$5001,B4359),1,0))</f>
        <v/>
      </c>
      <c r="K4359" s="16" t="str">
        <f aca="false">IF(B4359="","",IF(AND(D4359="Formalização",E4359="Concluído"),IF(COUNTIFS($B$2:$B$5001,B4359,$E$2:$E$5001,"Em ajustes",$A$2:$A$5001,"&lt;"&amp;I4359)&gt;0,1,0),0))</f>
        <v/>
      </c>
      <c r="L4359" s="16" t="str">
        <f aca="false">IF(B4359="","",IF(A4359=_xlfn.MAXIFS($A$2:$A$5001,$B$2:$B$5001,B4359,$I$2:$I$5001,I4359),1,0))</f>
        <v/>
      </c>
    </row>
    <row r="4360" customFormat="false" ht="15" hidden="false" customHeight="false" outlineLevel="0" collapsed="false">
      <c r="I4360" s="15" t="str">
        <f aca="false">IF(A4360="","",INT(A4360))</f>
        <v/>
      </c>
      <c r="J4360" s="16" t="str">
        <f aca="false">IF(B4360="","",IF(A4360=_xlfn.MINIFS($A$2:$A$5001,$B$2:$B$5001,B4360),1,0))</f>
        <v/>
      </c>
      <c r="K4360" s="16" t="str">
        <f aca="false">IF(B4360="","",IF(AND(D4360="Formalização",E4360="Concluído"),IF(COUNTIFS($B$2:$B$5001,B4360,$E$2:$E$5001,"Em ajustes",$A$2:$A$5001,"&lt;"&amp;I4360)&gt;0,1,0),0))</f>
        <v/>
      </c>
      <c r="L4360" s="16" t="str">
        <f aca="false">IF(B4360="","",IF(A4360=_xlfn.MAXIFS($A$2:$A$5001,$B$2:$B$5001,B4360,$I$2:$I$5001,I4360),1,0))</f>
        <v/>
      </c>
    </row>
    <row r="4361" customFormat="false" ht="15" hidden="false" customHeight="false" outlineLevel="0" collapsed="false">
      <c r="I4361" s="15" t="str">
        <f aca="false">IF(A4361="","",INT(A4361))</f>
        <v/>
      </c>
      <c r="J4361" s="16" t="str">
        <f aca="false">IF(B4361="","",IF(A4361=_xlfn.MINIFS($A$2:$A$5001,$B$2:$B$5001,B4361),1,0))</f>
        <v/>
      </c>
      <c r="K4361" s="16" t="str">
        <f aca="false">IF(B4361="","",IF(AND(D4361="Formalização",E4361="Concluído"),IF(COUNTIFS($B$2:$B$5001,B4361,$E$2:$E$5001,"Em ajustes",$A$2:$A$5001,"&lt;"&amp;I4361)&gt;0,1,0),0))</f>
        <v/>
      </c>
      <c r="L4361" s="16" t="str">
        <f aca="false">IF(B4361="","",IF(A4361=_xlfn.MAXIFS($A$2:$A$5001,$B$2:$B$5001,B4361,$I$2:$I$5001,I4361),1,0))</f>
        <v/>
      </c>
    </row>
    <row r="4362" customFormat="false" ht="15" hidden="false" customHeight="false" outlineLevel="0" collapsed="false">
      <c r="I4362" s="15" t="str">
        <f aca="false">IF(A4362="","",INT(A4362))</f>
        <v/>
      </c>
      <c r="J4362" s="16" t="str">
        <f aca="false">IF(B4362="","",IF(A4362=_xlfn.MINIFS($A$2:$A$5001,$B$2:$B$5001,B4362),1,0))</f>
        <v/>
      </c>
      <c r="K4362" s="16" t="str">
        <f aca="false">IF(B4362="","",IF(AND(D4362="Formalização",E4362="Concluído"),IF(COUNTIFS($B$2:$B$5001,B4362,$E$2:$E$5001,"Em ajustes",$A$2:$A$5001,"&lt;"&amp;I4362)&gt;0,1,0),0))</f>
        <v/>
      </c>
      <c r="L4362" s="16" t="str">
        <f aca="false">IF(B4362="","",IF(A4362=_xlfn.MAXIFS($A$2:$A$5001,$B$2:$B$5001,B4362,$I$2:$I$5001,I4362),1,0))</f>
        <v/>
      </c>
    </row>
    <row r="4363" customFormat="false" ht="15" hidden="false" customHeight="false" outlineLevel="0" collapsed="false">
      <c r="I4363" s="15" t="str">
        <f aca="false">IF(A4363="","",INT(A4363))</f>
        <v/>
      </c>
      <c r="J4363" s="16" t="str">
        <f aca="false">IF(B4363="","",IF(A4363=_xlfn.MINIFS($A$2:$A$5001,$B$2:$B$5001,B4363),1,0))</f>
        <v/>
      </c>
      <c r="K4363" s="16" t="str">
        <f aca="false">IF(B4363="","",IF(AND(D4363="Formalização",E4363="Concluído"),IF(COUNTIFS($B$2:$B$5001,B4363,$E$2:$E$5001,"Em ajustes",$A$2:$A$5001,"&lt;"&amp;I4363)&gt;0,1,0),0))</f>
        <v/>
      </c>
      <c r="L4363" s="16" t="str">
        <f aca="false">IF(B4363="","",IF(A4363=_xlfn.MAXIFS($A$2:$A$5001,$B$2:$B$5001,B4363,$I$2:$I$5001,I4363),1,0))</f>
        <v/>
      </c>
    </row>
    <row r="4364" customFormat="false" ht="15" hidden="false" customHeight="false" outlineLevel="0" collapsed="false">
      <c r="I4364" s="15" t="str">
        <f aca="false">IF(A4364="","",INT(A4364))</f>
        <v/>
      </c>
      <c r="J4364" s="16" t="str">
        <f aca="false">IF(B4364="","",IF(A4364=_xlfn.MINIFS($A$2:$A$5001,$B$2:$B$5001,B4364),1,0))</f>
        <v/>
      </c>
      <c r="K4364" s="16" t="str">
        <f aca="false">IF(B4364="","",IF(AND(D4364="Formalização",E4364="Concluído"),IF(COUNTIFS($B$2:$B$5001,B4364,$E$2:$E$5001,"Em ajustes",$A$2:$A$5001,"&lt;"&amp;I4364)&gt;0,1,0),0))</f>
        <v/>
      </c>
      <c r="L4364" s="16" t="str">
        <f aca="false">IF(B4364="","",IF(A4364=_xlfn.MAXIFS($A$2:$A$5001,$B$2:$B$5001,B4364,$I$2:$I$5001,I4364),1,0))</f>
        <v/>
      </c>
    </row>
    <row r="4365" customFormat="false" ht="15" hidden="false" customHeight="false" outlineLevel="0" collapsed="false">
      <c r="I4365" s="15" t="str">
        <f aca="false">IF(A4365="","",INT(A4365))</f>
        <v/>
      </c>
      <c r="J4365" s="16" t="str">
        <f aca="false">IF(B4365="","",IF(A4365=_xlfn.MINIFS($A$2:$A$5001,$B$2:$B$5001,B4365),1,0))</f>
        <v/>
      </c>
      <c r="K4365" s="16" t="str">
        <f aca="false">IF(B4365="","",IF(AND(D4365="Formalização",E4365="Concluído"),IF(COUNTIFS($B$2:$B$5001,B4365,$E$2:$E$5001,"Em ajustes",$A$2:$A$5001,"&lt;"&amp;I4365)&gt;0,1,0),0))</f>
        <v/>
      </c>
      <c r="L4365" s="16" t="str">
        <f aca="false">IF(B4365="","",IF(A4365=_xlfn.MAXIFS($A$2:$A$5001,$B$2:$B$5001,B4365,$I$2:$I$5001,I4365),1,0))</f>
        <v/>
      </c>
    </row>
    <row r="4366" customFormat="false" ht="15" hidden="false" customHeight="false" outlineLevel="0" collapsed="false">
      <c r="I4366" s="15" t="str">
        <f aca="false">IF(A4366="","",INT(A4366))</f>
        <v/>
      </c>
      <c r="J4366" s="16" t="str">
        <f aca="false">IF(B4366="","",IF(A4366=_xlfn.MINIFS($A$2:$A$5001,$B$2:$B$5001,B4366),1,0))</f>
        <v/>
      </c>
      <c r="K4366" s="16" t="str">
        <f aca="false">IF(B4366="","",IF(AND(D4366="Formalização",E4366="Concluído"),IF(COUNTIFS($B$2:$B$5001,B4366,$E$2:$E$5001,"Em ajustes",$A$2:$A$5001,"&lt;"&amp;I4366)&gt;0,1,0),0))</f>
        <v/>
      </c>
      <c r="L4366" s="16" t="str">
        <f aca="false">IF(B4366="","",IF(A4366=_xlfn.MAXIFS($A$2:$A$5001,$B$2:$B$5001,B4366,$I$2:$I$5001,I4366),1,0))</f>
        <v/>
      </c>
    </row>
    <row r="4367" customFormat="false" ht="15" hidden="false" customHeight="false" outlineLevel="0" collapsed="false">
      <c r="I4367" s="15" t="str">
        <f aca="false">IF(A4367="","",INT(A4367))</f>
        <v/>
      </c>
      <c r="J4367" s="16" t="str">
        <f aca="false">IF(B4367="","",IF(A4367=_xlfn.MINIFS($A$2:$A$5001,$B$2:$B$5001,B4367),1,0))</f>
        <v/>
      </c>
      <c r="K4367" s="16" t="str">
        <f aca="false">IF(B4367="","",IF(AND(D4367="Formalização",E4367="Concluído"),IF(COUNTIFS($B$2:$B$5001,B4367,$E$2:$E$5001,"Em ajustes",$A$2:$A$5001,"&lt;"&amp;I4367)&gt;0,1,0),0))</f>
        <v/>
      </c>
      <c r="L4367" s="16" t="str">
        <f aca="false">IF(B4367="","",IF(A4367=_xlfn.MAXIFS($A$2:$A$5001,$B$2:$B$5001,B4367,$I$2:$I$5001,I4367),1,0))</f>
        <v/>
      </c>
    </row>
    <row r="4368" customFormat="false" ht="15" hidden="false" customHeight="false" outlineLevel="0" collapsed="false">
      <c r="I4368" s="15" t="str">
        <f aca="false">IF(A4368="","",INT(A4368))</f>
        <v/>
      </c>
      <c r="J4368" s="16" t="str">
        <f aca="false">IF(B4368="","",IF(A4368=_xlfn.MINIFS($A$2:$A$5001,$B$2:$B$5001,B4368),1,0))</f>
        <v/>
      </c>
      <c r="K4368" s="16" t="str">
        <f aca="false">IF(B4368="","",IF(AND(D4368="Formalização",E4368="Concluído"),IF(COUNTIFS($B$2:$B$5001,B4368,$E$2:$E$5001,"Em ajustes",$A$2:$A$5001,"&lt;"&amp;I4368)&gt;0,1,0),0))</f>
        <v/>
      </c>
      <c r="L4368" s="16" t="str">
        <f aca="false">IF(B4368="","",IF(A4368=_xlfn.MAXIFS($A$2:$A$5001,$B$2:$B$5001,B4368,$I$2:$I$5001,I4368),1,0))</f>
        <v/>
      </c>
    </row>
    <row r="4369" customFormat="false" ht="15" hidden="false" customHeight="false" outlineLevel="0" collapsed="false">
      <c r="I4369" s="15" t="str">
        <f aca="false">IF(A4369="","",INT(A4369))</f>
        <v/>
      </c>
      <c r="J4369" s="16" t="str">
        <f aca="false">IF(B4369="","",IF(A4369=_xlfn.MINIFS($A$2:$A$5001,$B$2:$B$5001,B4369),1,0))</f>
        <v/>
      </c>
      <c r="K4369" s="16" t="str">
        <f aca="false">IF(B4369="","",IF(AND(D4369="Formalização",E4369="Concluído"),IF(COUNTIFS($B$2:$B$5001,B4369,$E$2:$E$5001,"Em ajustes",$A$2:$A$5001,"&lt;"&amp;I4369)&gt;0,1,0),0))</f>
        <v/>
      </c>
      <c r="L4369" s="16" t="str">
        <f aca="false">IF(B4369="","",IF(A4369=_xlfn.MAXIFS($A$2:$A$5001,$B$2:$B$5001,B4369,$I$2:$I$5001,I4369),1,0))</f>
        <v/>
      </c>
    </row>
    <row r="4370" customFormat="false" ht="15" hidden="false" customHeight="false" outlineLevel="0" collapsed="false">
      <c r="I4370" s="15" t="str">
        <f aca="false">IF(A4370="","",INT(A4370))</f>
        <v/>
      </c>
      <c r="J4370" s="16" t="str">
        <f aca="false">IF(B4370="","",IF(A4370=_xlfn.MINIFS($A$2:$A$5001,$B$2:$B$5001,B4370),1,0))</f>
        <v/>
      </c>
      <c r="K4370" s="16" t="str">
        <f aca="false">IF(B4370="","",IF(AND(D4370="Formalização",E4370="Concluído"),IF(COUNTIFS($B$2:$B$5001,B4370,$E$2:$E$5001,"Em ajustes",$A$2:$A$5001,"&lt;"&amp;I4370)&gt;0,1,0),0))</f>
        <v/>
      </c>
      <c r="L4370" s="16" t="str">
        <f aca="false">IF(B4370="","",IF(A4370=_xlfn.MAXIFS($A$2:$A$5001,$B$2:$B$5001,B4370,$I$2:$I$5001,I4370),1,0))</f>
        <v/>
      </c>
    </row>
    <row r="4371" customFormat="false" ht="15" hidden="false" customHeight="false" outlineLevel="0" collapsed="false">
      <c r="I4371" s="15" t="str">
        <f aca="false">IF(A4371="","",INT(A4371))</f>
        <v/>
      </c>
      <c r="J4371" s="16" t="str">
        <f aca="false">IF(B4371="","",IF(A4371=_xlfn.MINIFS($A$2:$A$5001,$B$2:$B$5001,B4371),1,0))</f>
        <v/>
      </c>
      <c r="K4371" s="16" t="str">
        <f aca="false">IF(B4371="","",IF(AND(D4371="Formalização",E4371="Concluído"),IF(COUNTIFS($B$2:$B$5001,B4371,$E$2:$E$5001,"Em ajustes",$A$2:$A$5001,"&lt;"&amp;I4371)&gt;0,1,0),0))</f>
        <v/>
      </c>
      <c r="L4371" s="16" t="str">
        <f aca="false">IF(B4371="","",IF(A4371=_xlfn.MAXIFS($A$2:$A$5001,$B$2:$B$5001,B4371,$I$2:$I$5001,I4371),1,0))</f>
        <v/>
      </c>
    </row>
    <row r="4372" customFormat="false" ht="15" hidden="false" customHeight="false" outlineLevel="0" collapsed="false">
      <c r="I4372" s="15" t="str">
        <f aca="false">IF(A4372="","",INT(A4372))</f>
        <v/>
      </c>
      <c r="J4372" s="16" t="str">
        <f aca="false">IF(B4372="","",IF(A4372=_xlfn.MINIFS($A$2:$A$5001,$B$2:$B$5001,B4372),1,0))</f>
        <v/>
      </c>
      <c r="K4372" s="16" t="str">
        <f aca="false">IF(B4372="","",IF(AND(D4372="Formalização",E4372="Concluído"),IF(COUNTIFS($B$2:$B$5001,B4372,$E$2:$E$5001,"Em ajustes",$A$2:$A$5001,"&lt;"&amp;I4372)&gt;0,1,0),0))</f>
        <v/>
      </c>
      <c r="L4372" s="16" t="str">
        <f aca="false">IF(B4372="","",IF(A4372=_xlfn.MAXIFS($A$2:$A$5001,$B$2:$B$5001,B4372,$I$2:$I$5001,I4372),1,0))</f>
        <v/>
      </c>
    </row>
    <row r="4373" customFormat="false" ht="15" hidden="false" customHeight="false" outlineLevel="0" collapsed="false">
      <c r="I4373" s="15" t="str">
        <f aca="false">IF(A4373="","",INT(A4373))</f>
        <v/>
      </c>
      <c r="J4373" s="16" t="str">
        <f aca="false">IF(B4373="","",IF(A4373=_xlfn.MINIFS($A$2:$A$5001,$B$2:$B$5001,B4373),1,0))</f>
        <v/>
      </c>
      <c r="K4373" s="16" t="str">
        <f aca="false">IF(B4373="","",IF(AND(D4373="Formalização",E4373="Concluído"),IF(COUNTIFS($B$2:$B$5001,B4373,$E$2:$E$5001,"Em ajustes",$A$2:$A$5001,"&lt;"&amp;I4373)&gt;0,1,0),0))</f>
        <v/>
      </c>
      <c r="L4373" s="16" t="str">
        <f aca="false">IF(B4373="","",IF(A4373=_xlfn.MAXIFS($A$2:$A$5001,$B$2:$B$5001,B4373,$I$2:$I$5001,I4373),1,0))</f>
        <v/>
      </c>
    </row>
    <row r="4374" customFormat="false" ht="15" hidden="false" customHeight="false" outlineLevel="0" collapsed="false">
      <c r="I4374" s="15" t="str">
        <f aca="false">IF(A4374="","",INT(A4374))</f>
        <v/>
      </c>
      <c r="J4374" s="16" t="str">
        <f aca="false">IF(B4374="","",IF(A4374=_xlfn.MINIFS($A$2:$A$5001,$B$2:$B$5001,B4374),1,0))</f>
        <v/>
      </c>
      <c r="K4374" s="16" t="str">
        <f aca="false">IF(B4374="","",IF(AND(D4374="Formalização",E4374="Concluído"),IF(COUNTIFS($B$2:$B$5001,B4374,$E$2:$E$5001,"Em ajustes",$A$2:$A$5001,"&lt;"&amp;I4374)&gt;0,1,0),0))</f>
        <v/>
      </c>
      <c r="L4374" s="16" t="str">
        <f aca="false">IF(B4374="","",IF(A4374=_xlfn.MAXIFS($A$2:$A$5001,$B$2:$B$5001,B4374,$I$2:$I$5001,I4374),1,0))</f>
        <v/>
      </c>
    </row>
    <row r="4375" customFormat="false" ht="15" hidden="false" customHeight="false" outlineLevel="0" collapsed="false">
      <c r="I4375" s="15" t="str">
        <f aca="false">IF(A4375="","",INT(A4375))</f>
        <v/>
      </c>
      <c r="J4375" s="16" t="str">
        <f aca="false">IF(B4375="","",IF(A4375=_xlfn.MINIFS($A$2:$A$5001,$B$2:$B$5001,B4375),1,0))</f>
        <v/>
      </c>
      <c r="K4375" s="16" t="str">
        <f aca="false">IF(B4375="","",IF(AND(D4375="Formalização",E4375="Concluído"),IF(COUNTIFS($B$2:$B$5001,B4375,$E$2:$E$5001,"Em ajustes",$A$2:$A$5001,"&lt;"&amp;I4375)&gt;0,1,0),0))</f>
        <v/>
      </c>
      <c r="L4375" s="16" t="str">
        <f aca="false">IF(B4375="","",IF(A4375=_xlfn.MAXIFS($A$2:$A$5001,$B$2:$B$5001,B4375,$I$2:$I$5001,I4375),1,0))</f>
        <v/>
      </c>
    </row>
    <row r="4376" customFormat="false" ht="15" hidden="false" customHeight="false" outlineLevel="0" collapsed="false">
      <c r="I4376" s="15" t="str">
        <f aca="false">IF(A4376="","",INT(A4376))</f>
        <v/>
      </c>
      <c r="J4376" s="16" t="str">
        <f aca="false">IF(B4376="","",IF(A4376=_xlfn.MINIFS($A$2:$A$5001,$B$2:$B$5001,B4376),1,0))</f>
        <v/>
      </c>
      <c r="K4376" s="16" t="str">
        <f aca="false">IF(B4376="","",IF(AND(D4376="Formalização",E4376="Concluído"),IF(COUNTIFS($B$2:$B$5001,B4376,$E$2:$E$5001,"Em ajustes",$A$2:$A$5001,"&lt;"&amp;I4376)&gt;0,1,0),0))</f>
        <v/>
      </c>
      <c r="L4376" s="16" t="str">
        <f aca="false">IF(B4376="","",IF(A4376=_xlfn.MAXIFS($A$2:$A$5001,$B$2:$B$5001,B4376,$I$2:$I$5001,I4376),1,0))</f>
        <v/>
      </c>
    </row>
    <row r="4377" customFormat="false" ht="15" hidden="false" customHeight="false" outlineLevel="0" collapsed="false">
      <c r="I4377" s="15" t="str">
        <f aca="false">IF(A4377="","",INT(A4377))</f>
        <v/>
      </c>
      <c r="J4377" s="16" t="str">
        <f aca="false">IF(B4377="","",IF(A4377=_xlfn.MINIFS($A$2:$A$5001,$B$2:$B$5001,B4377),1,0))</f>
        <v/>
      </c>
      <c r="K4377" s="16" t="str">
        <f aca="false">IF(B4377="","",IF(AND(D4377="Formalização",E4377="Concluído"),IF(COUNTIFS($B$2:$B$5001,B4377,$E$2:$E$5001,"Em ajustes",$A$2:$A$5001,"&lt;"&amp;I4377)&gt;0,1,0),0))</f>
        <v/>
      </c>
      <c r="L4377" s="16" t="str">
        <f aca="false">IF(B4377="","",IF(A4377=_xlfn.MAXIFS($A$2:$A$5001,$B$2:$B$5001,B4377,$I$2:$I$5001,I4377),1,0))</f>
        <v/>
      </c>
    </row>
    <row r="4378" customFormat="false" ht="15" hidden="false" customHeight="false" outlineLevel="0" collapsed="false">
      <c r="I4378" s="15" t="str">
        <f aca="false">IF(A4378="","",INT(A4378))</f>
        <v/>
      </c>
      <c r="J4378" s="16" t="str">
        <f aca="false">IF(B4378="","",IF(A4378=_xlfn.MINIFS($A$2:$A$5001,$B$2:$B$5001,B4378),1,0))</f>
        <v/>
      </c>
      <c r="K4378" s="16" t="str">
        <f aca="false">IF(B4378="","",IF(AND(D4378="Formalização",E4378="Concluído"),IF(COUNTIFS($B$2:$B$5001,B4378,$E$2:$E$5001,"Em ajustes",$A$2:$A$5001,"&lt;"&amp;I4378)&gt;0,1,0),0))</f>
        <v/>
      </c>
      <c r="L4378" s="16" t="str">
        <f aca="false">IF(B4378="","",IF(A4378=_xlfn.MAXIFS($A$2:$A$5001,$B$2:$B$5001,B4378,$I$2:$I$5001,I4378),1,0))</f>
        <v/>
      </c>
    </row>
    <row r="4379" customFormat="false" ht="15" hidden="false" customHeight="false" outlineLevel="0" collapsed="false">
      <c r="I4379" s="15" t="str">
        <f aca="false">IF(A4379="","",INT(A4379))</f>
        <v/>
      </c>
      <c r="J4379" s="16" t="str">
        <f aca="false">IF(B4379="","",IF(A4379=_xlfn.MINIFS($A$2:$A$5001,$B$2:$B$5001,B4379),1,0))</f>
        <v/>
      </c>
      <c r="K4379" s="16" t="str">
        <f aca="false">IF(B4379="","",IF(AND(D4379="Formalização",E4379="Concluído"),IF(COUNTIFS($B$2:$B$5001,B4379,$E$2:$E$5001,"Em ajustes",$A$2:$A$5001,"&lt;"&amp;I4379)&gt;0,1,0),0))</f>
        <v/>
      </c>
      <c r="L4379" s="16" t="str">
        <f aca="false">IF(B4379="","",IF(A4379=_xlfn.MAXIFS($A$2:$A$5001,$B$2:$B$5001,B4379,$I$2:$I$5001,I4379),1,0))</f>
        <v/>
      </c>
    </row>
    <row r="4380" customFormat="false" ht="15" hidden="false" customHeight="false" outlineLevel="0" collapsed="false">
      <c r="I4380" s="15" t="str">
        <f aca="false">IF(A4380="","",INT(A4380))</f>
        <v/>
      </c>
      <c r="J4380" s="16" t="str">
        <f aca="false">IF(B4380="","",IF(A4380=_xlfn.MINIFS($A$2:$A$5001,$B$2:$B$5001,B4380),1,0))</f>
        <v/>
      </c>
      <c r="K4380" s="16" t="str">
        <f aca="false">IF(B4380="","",IF(AND(D4380="Formalização",E4380="Concluído"),IF(COUNTIFS($B$2:$B$5001,B4380,$E$2:$E$5001,"Em ajustes",$A$2:$A$5001,"&lt;"&amp;I4380)&gt;0,1,0),0))</f>
        <v/>
      </c>
      <c r="L4380" s="16" t="str">
        <f aca="false">IF(B4380="","",IF(A4380=_xlfn.MAXIFS($A$2:$A$5001,$B$2:$B$5001,B4380,$I$2:$I$5001,I4380),1,0))</f>
        <v/>
      </c>
    </row>
    <row r="4381" customFormat="false" ht="15" hidden="false" customHeight="false" outlineLevel="0" collapsed="false">
      <c r="I4381" s="15" t="str">
        <f aca="false">IF(A4381="","",INT(A4381))</f>
        <v/>
      </c>
      <c r="J4381" s="16" t="str">
        <f aca="false">IF(B4381="","",IF(A4381=_xlfn.MINIFS($A$2:$A$5001,$B$2:$B$5001,B4381),1,0))</f>
        <v/>
      </c>
      <c r="K4381" s="16" t="str">
        <f aca="false">IF(B4381="","",IF(AND(D4381="Formalização",E4381="Concluído"),IF(COUNTIFS($B$2:$B$5001,B4381,$E$2:$E$5001,"Em ajustes",$A$2:$A$5001,"&lt;"&amp;I4381)&gt;0,1,0),0))</f>
        <v/>
      </c>
      <c r="L4381" s="16" t="str">
        <f aca="false">IF(B4381="","",IF(A4381=_xlfn.MAXIFS($A$2:$A$5001,$B$2:$B$5001,B4381,$I$2:$I$5001,I4381),1,0))</f>
        <v/>
      </c>
    </row>
    <row r="4382" customFormat="false" ht="15" hidden="false" customHeight="false" outlineLevel="0" collapsed="false">
      <c r="I4382" s="15" t="str">
        <f aca="false">IF(A4382="","",INT(A4382))</f>
        <v/>
      </c>
      <c r="J4382" s="16" t="str">
        <f aca="false">IF(B4382="","",IF(A4382=_xlfn.MINIFS($A$2:$A$5001,$B$2:$B$5001,B4382),1,0))</f>
        <v/>
      </c>
      <c r="K4382" s="16" t="str">
        <f aca="false">IF(B4382="","",IF(AND(D4382="Formalização",E4382="Concluído"),IF(COUNTIFS($B$2:$B$5001,B4382,$E$2:$E$5001,"Em ajustes",$A$2:$A$5001,"&lt;"&amp;I4382)&gt;0,1,0),0))</f>
        <v/>
      </c>
      <c r="L4382" s="16" t="str">
        <f aca="false">IF(B4382="","",IF(A4382=_xlfn.MAXIFS($A$2:$A$5001,$B$2:$B$5001,B4382,$I$2:$I$5001,I4382),1,0))</f>
        <v/>
      </c>
    </row>
    <row r="4383" customFormat="false" ht="15" hidden="false" customHeight="false" outlineLevel="0" collapsed="false">
      <c r="I4383" s="15" t="str">
        <f aca="false">IF(A4383="","",INT(A4383))</f>
        <v/>
      </c>
      <c r="J4383" s="16" t="str">
        <f aca="false">IF(B4383="","",IF(A4383=_xlfn.MINIFS($A$2:$A$5001,$B$2:$B$5001,B4383),1,0))</f>
        <v/>
      </c>
      <c r="K4383" s="16" t="str">
        <f aca="false">IF(B4383="","",IF(AND(D4383="Formalização",E4383="Concluído"),IF(COUNTIFS($B$2:$B$5001,B4383,$E$2:$E$5001,"Em ajustes",$A$2:$A$5001,"&lt;"&amp;I4383)&gt;0,1,0),0))</f>
        <v/>
      </c>
      <c r="L4383" s="16" t="str">
        <f aca="false">IF(B4383="","",IF(A4383=_xlfn.MAXIFS($A$2:$A$5001,$B$2:$B$5001,B4383,$I$2:$I$5001,I4383),1,0))</f>
        <v/>
      </c>
    </row>
    <row r="4384" customFormat="false" ht="15" hidden="false" customHeight="false" outlineLevel="0" collapsed="false">
      <c r="I4384" s="15" t="str">
        <f aca="false">IF(A4384="","",INT(A4384))</f>
        <v/>
      </c>
      <c r="J4384" s="16" t="str">
        <f aca="false">IF(B4384="","",IF(A4384=_xlfn.MINIFS($A$2:$A$5001,$B$2:$B$5001,B4384),1,0))</f>
        <v/>
      </c>
      <c r="K4384" s="16" t="str">
        <f aca="false">IF(B4384="","",IF(AND(D4384="Formalização",E4384="Concluído"),IF(COUNTIFS($B$2:$B$5001,B4384,$E$2:$E$5001,"Em ajustes",$A$2:$A$5001,"&lt;"&amp;I4384)&gt;0,1,0),0))</f>
        <v/>
      </c>
      <c r="L4384" s="16" t="str">
        <f aca="false">IF(B4384="","",IF(A4384=_xlfn.MAXIFS($A$2:$A$5001,$B$2:$B$5001,B4384,$I$2:$I$5001,I4384),1,0))</f>
        <v/>
      </c>
    </row>
    <row r="4385" customFormat="false" ht="15" hidden="false" customHeight="false" outlineLevel="0" collapsed="false">
      <c r="I4385" s="15" t="str">
        <f aca="false">IF(A4385="","",INT(A4385))</f>
        <v/>
      </c>
      <c r="J4385" s="16" t="str">
        <f aca="false">IF(B4385="","",IF(A4385=_xlfn.MINIFS($A$2:$A$5001,$B$2:$B$5001,B4385),1,0))</f>
        <v/>
      </c>
      <c r="K4385" s="16" t="str">
        <f aca="false">IF(B4385="","",IF(AND(D4385="Formalização",E4385="Concluído"),IF(COUNTIFS($B$2:$B$5001,B4385,$E$2:$E$5001,"Em ajustes",$A$2:$A$5001,"&lt;"&amp;I4385)&gt;0,1,0),0))</f>
        <v/>
      </c>
      <c r="L4385" s="16" t="str">
        <f aca="false">IF(B4385="","",IF(A4385=_xlfn.MAXIFS($A$2:$A$5001,$B$2:$B$5001,B4385,$I$2:$I$5001,I4385),1,0))</f>
        <v/>
      </c>
    </row>
    <row r="4386" customFormat="false" ht="15" hidden="false" customHeight="false" outlineLevel="0" collapsed="false">
      <c r="I4386" s="15" t="str">
        <f aca="false">IF(A4386="","",INT(A4386))</f>
        <v/>
      </c>
      <c r="J4386" s="16" t="str">
        <f aca="false">IF(B4386="","",IF(A4386=_xlfn.MINIFS($A$2:$A$5001,$B$2:$B$5001,B4386),1,0))</f>
        <v/>
      </c>
      <c r="K4386" s="16" t="str">
        <f aca="false">IF(B4386="","",IF(AND(D4386="Formalização",E4386="Concluído"),IF(COUNTIFS($B$2:$B$5001,B4386,$E$2:$E$5001,"Em ajustes",$A$2:$A$5001,"&lt;"&amp;I4386)&gt;0,1,0),0))</f>
        <v/>
      </c>
      <c r="L4386" s="16" t="str">
        <f aca="false">IF(B4386="","",IF(A4386=_xlfn.MAXIFS($A$2:$A$5001,$B$2:$B$5001,B4386,$I$2:$I$5001,I4386),1,0))</f>
        <v/>
      </c>
    </row>
    <row r="4387" customFormat="false" ht="15" hidden="false" customHeight="false" outlineLevel="0" collapsed="false">
      <c r="I4387" s="15" t="str">
        <f aca="false">IF(A4387="","",INT(A4387))</f>
        <v/>
      </c>
      <c r="J4387" s="16" t="str">
        <f aca="false">IF(B4387="","",IF(A4387=_xlfn.MINIFS($A$2:$A$5001,$B$2:$B$5001,B4387),1,0))</f>
        <v/>
      </c>
      <c r="K4387" s="16" t="str">
        <f aca="false">IF(B4387="","",IF(AND(D4387="Formalização",E4387="Concluído"),IF(COUNTIFS($B$2:$B$5001,B4387,$E$2:$E$5001,"Em ajustes",$A$2:$A$5001,"&lt;"&amp;I4387)&gt;0,1,0),0))</f>
        <v/>
      </c>
      <c r="L4387" s="16" t="str">
        <f aca="false">IF(B4387="","",IF(A4387=_xlfn.MAXIFS($A$2:$A$5001,$B$2:$B$5001,B4387,$I$2:$I$5001,I4387),1,0))</f>
        <v/>
      </c>
    </row>
    <row r="4388" customFormat="false" ht="15" hidden="false" customHeight="false" outlineLevel="0" collapsed="false">
      <c r="I4388" s="15" t="str">
        <f aca="false">IF(A4388="","",INT(A4388))</f>
        <v/>
      </c>
      <c r="J4388" s="16" t="str">
        <f aca="false">IF(B4388="","",IF(A4388=_xlfn.MINIFS($A$2:$A$5001,$B$2:$B$5001,B4388),1,0))</f>
        <v/>
      </c>
      <c r="K4388" s="16" t="str">
        <f aca="false">IF(B4388="","",IF(AND(D4388="Formalização",E4388="Concluído"),IF(COUNTIFS($B$2:$B$5001,B4388,$E$2:$E$5001,"Em ajustes",$A$2:$A$5001,"&lt;"&amp;I4388)&gt;0,1,0),0))</f>
        <v/>
      </c>
      <c r="L4388" s="16" t="str">
        <f aca="false">IF(B4388="","",IF(A4388=_xlfn.MAXIFS($A$2:$A$5001,$B$2:$B$5001,B4388,$I$2:$I$5001,I4388),1,0))</f>
        <v/>
      </c>
    </row>
    <row r="4389" customFormat="false" ht="15" hidden="false" customHeight="false" outlineLevel="0" collapsed="false">
      <c r="I4389" s="15" t="str">
        <f aca="false">IF(A4389="","",INT(A4389))</f>
        <v/>
      </c>
      <c r="J4389" s="16" t="str">
        <f aca="false">IF(B4389="","",IF(A4389=_xlfn.MINIFS($A$2:$A$5001,$B$2:$B$5001,B4389),1,0))</f>
        <v/>
      </c>
      <c r="K4389" s="16" t="str">
        <f aca="false">IF(B4389="","",IF(AND(D4389="Formalização",E4389="Concluído"),IF(COUNTIFS($B$2:$B$5001,B4389,$E$2:$E$5001,"Em ajustes",$A$2:$A$5001,"&lt;"&amp;I4389)&gt;0,1,0),0))</f>
        <v/>
      </c>
      <c r="L4389" s="16" t="str">
        <f aca="false">IF(B4389="","",IF(A4389=_xlfn.MAXIFS($A$2:$A$5001,$B$2:$B$5001,B4389,$I$2:$I$5001,I4389),1,0))</f>
        <v/>
      </c>
    </row>
    <row r="4390" customFormat="false" ht="15" hidden="false" customHeight="false" outlineLevel="0" collapsed="false">
      <c r="I4390" s="15" t="str">
        <f aca="false">IF(A4390="","",INT(A4390))</f>
        <v/>
      </c>
      <c r="J4390" s="16" t="str">
        <f aca="false">IF(B4390="","",IF(A4390=_xlfn.MINIFS($A$2:$A$5001,$B$2:$B$5001,B4390),1,0))</f>
        <v/>
      </c>
      <c r="K4390" s="16" t="str">
        <f aca="false">IF(B4390="","",IF(AND(D4390="Formalização",E4390="Concluído"),IF(COUNTIFS($B$2:$B$5001,B4390,$E$2:$E$5001,"Em ajustes",$A$2:$A$5001,"&lt;"&amp;I4390)&gt;0,1,0),0))</f>
        <v/>
      </c>
      <c r="L4390" s="16" t="str">
        <f aca="false">IF(B4390="","",IF(A4390=_xlfn.MAXIFS($A$2:$A$5001,$B$2:$B$5001,B4390,$I$2:$I$5001,I4390),1,0))</f>
        <v/>
      </c>
    </row>
    <row r="4391" customFormat="false" ht="15" hidden="false" customHeight="false" outlineLevel="0" collapsed="false">
      <c r="I4391" s="15" t="str">
        <f aca="false">IF(A4391="","",INT(A4391))</f>
        <v/>
      </c>
      <c r="J4391" s="16" t="str">
        <f aca="false">IF(B4391="","",IF(A4391=_xlfn.MINIFS($A$2:$A$5001,$B$2:$B$5001,B4391),1,0))</f>
        <v/>
      </c>
      <c r="K4391" s="16" t="str">
        <f aca="false">IF(B4391="","",IF(AND(D4391="Formalização",E4391="Concluído"),IF(COUNTIFS($B$2:$B$5001,B4391,$E$2:$E$5001,"Em ajustes",$A$2:$A$5001,"&lt;"&amp;I4391)&gt;0,1,0),0))</f>
        <v/>
      </c>
      <c r="L4391" s="16" t="str">
        <f aca="false">IF(B4391="","",IF(A4391=_xlfn.MAXIFS($A$2:$A$5001,$B$2:$B$5001,B4391,$I$2:$I$5001,I4391),1,0))</f>
        <v/>
      </c>
    </row>
    <row r="4392" customFormat="false" ht="15" hidden="false" customHeight="false" outlineLevel="0" collapsed="false">
      <c r="I4392" s="15" t="str">
        <f aca="false">IF(A4392="","",INT(A4392))</f>
        <v/>
      </c>
      <c r="J4392" s="16" t="str">
        <f aca="false">IF(B4392="","",IF(A4392=_xlfn.MINIFS($A$2:$A$5001,$B$2:$B$5001,B4392),1,0))</f>
        <v/>
      </c>
      <c r="K4392" s="16" t="str">
        <f aca="false">IF(B4392="","",IF(AND(D4392="Formalização",E4392="Concluído"),IF(COUNTIFS($B$2:$B$5001,B4392,$E$2:$E$5001,"Em ajustes",$A$2:$A$5001,"&lt;"&amp;I4392)&gt;0,1,0),0))</f>
        <v/>
      </c>
      <c r="L4392" s="16" t="str">
        <f aca="false">IF(B4392="","",IF(A4392=_xlfn.MAXIFS($A$2:$A$5001,$B$2:$B$5001,B4392,$I$2:$I$5001,I4392),1,0))</f>
        <v/>
      </c>
    </row>
    <row r="4393" customFormat="false" ht="15" hidden="false" customHeight="false" outlineLevel="0" collapsed="false">
      <c r="I4393" s="15" t="str">
        <f aca="false">IF(A4393="","",INT(A4393))</f>
        <v/>
      </c>
      <c r="J4393" s="16" t="str">
        <f aca="false">IF(B4393="","",IF(A4393=_xlfn.MINIFS($A$2:$A$5001,$B$2:$B$5001,B4393),1,0))</f>
        <v/>
      </c>
      <c r="K4393" s="16" t="str">
        <f aca="false">IF(B4393="","",IF(AND(D4393="Formalização",E4393="Concluído"),IF(COUNTIFS($B$2:$B$5001,B4393,$E$2:$E$5001,"Em ajustes",$A$2:$A$5001,"&lt;"&amp;I4393)&gt;0,1,0),0))</f>
        <v/>
      </c>
      <c r="L4393" s="16" t="str">
        <f aca="false">IF(B4393="","",IF(A4393=_xlfn.MAXIFS($A$2:$A$5001,$B$2:$B$5001,B4393,$I$2:$I$5001,I4393),1,0))</f>
        <v/>
      </c>
    </row>
    <row r="4394" customFormat="false" ht="15" hidden="false" customHeight="false" outlineLevel="0" collapsed="false">
      <c r="I4394" s="15" t="str">
        <f aca="false">IF(A4394="","",INT(A4394))</f>
        <v/>
      </c>
      <c r="J4394" s="16" t="str">
        <f aca="false">IF(B4394="","",IF(A4394=_xlfn.MINIFS($A$2:$A$5001,$B$2:$B$5001,B4394),1,0))</f>
        <v/>
      </c>
      <c r="K4394" s="16" t="str">
        <f aca="false">IF(B4394="","",IF(AND(D4394="Formalização",E4394="Concluído"),IF(COUNTIFS($B$2:$B$5001,B4394,$E$2:$E$5001,"Em ajustes",$A$2:$A$5001,"&lt;"&amp;I4394)&gt;0,1,0),0))</f>
        <v/>
      </c>
      <c r="L4394" s="16" t="str">
        <f aca="false">IF(B4394="","",IF(A4394=_xlfn.MAXIFS($A$2:$A$5001,$B$2:$B$5001,B4394,$I$2:$I$5001,I4394),1,0))</f>
        <v/>
      </c>
    </row>
    <row r="4395" customFormat="false" ht="15" hidden="false" customHeight="false" outlineLevel="0" collapsed="false">
      <c r="I4395" s="15" t="str">
        <f aca="false">IF(A4395="","",INT(A4395))</f>
        <v/>
      </c>
      <c r="J4395" s="16" t="str">
        <f aca="false">IF(B4395="","",IF(A4395=_xlfn.MINIFS($A$2:$A$5001,$B$2:$B$5001,B4395),1,0))</f>
        <v/>
      </c>
      <c r="K4395" s="16" t="str">
        <f aca="false">IF(B4395="","",IF(AND(D4395="Formalização",E4395="Concluído"),IF(COUNTIFS($B$2:$B$5001,B4395,$E$2:$E$5001,"Em ajustes",$A$2:$A$5001,"&lt;"&amp;I4395)&gt;0,1,0),0))</f>
        <v/>
      </c>
      <c r="L4395" s="16" t="str">
        <f aca="false">IF(B4395="","",IF(A4395=_xlfn.MAXIFS($A$2:$A$5001,$B$2:$B$5001,B4395,$I$2:$I$5001,I4395),1,0))</f>
        <v/>
      </c>
    </row>
    <row r="4396" customFormat="false" ht="15" hidden="false" customHeight="false" outlineLevel="0" collapsed="false">
      <c r="I4396" s="15" t="str">
        <f aca="false">IF(A4396="","",INT(A4396))</f>
        <v/>
      </c>
      <c r="J4396" s="16" t="str">
        <f aca="false">IF(B4396="","",IF(A4396=_xlfn.MINIFS($A$2:$A$5001,$B$2:$B$5001,B4396),1,0))</f>
        <v/>
      </c>
      <c r="K4396" s="16" t="str">
        <f aca="false">IF(B4396="","",IF(AND(D4396="Formalização",E4396="Concluído"),IF(COUNTIFS($B$2:$B$5001,B4396,$E$2:$E$5001,"Em ajustes",$A$2:$A$5001,"&lt;"&amp;I4396)&gt;0,1,0),0))</f>
        <v/>
      </c>
      <c r="L4396" s="16" t="str">
        <f aca="false">IF(B4396="","",IF(A4396=_xlfn.MAXIFS($A$2:$A$5001,$B$2:$B$5001,B4396,$I$2:$I$5001,I4396),1,0))</f>
        <v/>
      </c>
    </row>
    <row r="4397" customFormat="false" ht="15" hidden="false" customHeight="false" outlineLevel="0" collapsed="false">
      <c r="I4397" s="15" t="str">
        <f aca="false">IF(A4397="","",INT(A4397))</f>
        <v/>
      </c>
      <c r="J4397" s="16" t="str">
        <f aca="false">IF(B4397="","",IF(A4397=_xlfn.MINIFS($A$2:$A$5001,$B$2:$B$5001,B4397),1,0))</f>
        <v/>
      </c>
      <c r="K4397" s="16" t="str">
        <f aca="false">IF(B4397="","",IF(AND(D4397="Formalização",E4397="Concluído"),IF(COUNTIFS($B$2:$B$5001,B4397,$E$2:$E$5001,"Em ajustes",$A$2:$A$5001,"&lt;"&amp;I4397)&gt;0,1,0),0))</f>
        <v/>
      </c>
      <c r="L4397" s="16" t="str">
        <f aca="false">IF(B4397="","",IF(A4397=_xlfn.MAXIFS($A$2:$A$5001,$B$2:$B$5001,B4397,$I$2:$I$5001,I4397),1,0))</f>
        <v/>
      </c>
    </row>
    <row r="4398" customFormat="false" ht="15" hidden="false" customHeight="false" outlineLevel="0" collapsed="false">
      <c r="I4398" s="15" t="str">
        <f aca="false">IF(A4398="","",INT(A4398))</f>
        <v/>
      </c>
      <c r="J4398" s="16" t="str">
        <f aca="false">IF(B4398="","",IF(A4398=_xlfn.MINIFS($A$2:$A$5001,$B$2:$B$5001,B4398),1,0))</f>
        <v/>
      </c>
      <c r="K4398" s="16" t="str">
        <f aca="false">IF(B4398="","",IF(AND(D4398="Formalização",E4398="Concluído"),IF(COUNTIFS($B$2:$B$5001,B4398,$E$2:$E$5001,"Em ajustes",$A$2:$A$5001,"&lt;"&amp;I4398)&gt;0,1,0),0))</f>
        <v/>
      </c>
      <c r="L4398" s="16" t="str">
        <f aca="false">IF(B4398="","",IF(A4398=_xlfn.MAXIFS($A$2:$A$5001,$B$2:$B$5001,B4398,$I$2:$I$5001,I4398),1,0))</f>
        <v/>
      </c>
    </row>
    <row r="4399" customFormat="false" ht="15" hidden="false" customHeight="false" outlineLevel="0" collapsed="false">
      <c r="I4399" s="15" t="str">
        <f aca="false">IF(A4399="","",INT(A4399))</f>
        <v/>
      </c>
      <c r="J4399" s="16" t="str">
        <f aca="false">IF(B4399="","",IF(A4399=_xlfn.MINIFS($A$2:$A$5001,$B$2:$B$5001,B4399),1,0))</f>
        <v/>
      </c>
      <c r="K4399" s="16" t="str">
        <f aca="false">IF(B4399="","",IF(AND(D4399="Formalização",E4399="Concluído"),IF(COUNTIFS($B$2:$B$5001,B4399,$E$2:$E$5001,"Em ajustes",$A$2:$A$5001,"&lt;"&amp;I4399)&gt;0,1,0),0))</f>
        <v/>
      </c>
      <c r="L4399" s="16" t="str">
        <f aca="false">IF(B4399="","",IF(A4399=_xlfn.MAXIFS($A$2:$A$5001,$B$2:$B$5001,B4399,$I$2:$I$5001,I4399),1,0))</f>
        <v/>
      </c>
    </row>
    <row r="4400" customFormat="false" ht="15" hidden="false" customHeight="false" outlineLevel="0" collapsed="false">
      <c r="I4400" s="15" t="str">
        <f aca="false">IF(A4400="","",INT(A4400))</f>
        <v/>
      </c>
      <c r="J4400" s="16" t="str">
        <f aca="false">IF(B4400="","",IF(A4400=_xlfn.MINIFS($A$2:$A$5001,$B$2:$B$5001,B4400),1,0))</f>
        <v/>
      </c>
      <c r="K4400" s="16" t="str">
        <f aca="false">IF(B4400="","",IF(AND(D4400="Formalização",E4400="Concluído"),IF(COUNTIFS($B$2:$B$5001,B4400,$E$2:$E$5001,"Em ajustes",$A$2:$A$5001,"&lt;"&amp;I4400)&gt;0,1,0),0))</f>
        <v/>
      </c>
      <c r="L4400" s="16" t="str">
        <f aca="false">IF(B4400="","",IF(A4400=_xlfn.MAXIFS($A$2:$A$5001,$B$2:$B$5001,B4400,$I$2:$I$5001,I4400),1,0))</f>
        <v/>
      </c>
    </row>
    <row r="4401" customFormat="false" ht="15" hidden="false" customHeight="false" outlineLevel="0" collapsed="false">
      <c r="I4401" s="15" t="str">
        <f aca="false">IF(A4401="","",INT(A4401))</f>
        <v/>
      </c>
      <c r="J4401" s="16" t="str">
        <f aca="false">IF(B4401="","",IF(A4401=_xlfn.MINIFS($A$2:$A$5001,$B$2:$B$5001,B4401),1,0))</f>
        <v/>
      </c>
      <c r="K4401" s="16" t="str">
        <f aca="false">IF(B4401="","",IF(AND(D4401="Formalização",E4401="Concluído"),IF(COUNTIFS($B$2:$B$5001,B4401,$E$2:$E$5001,"Em ajustes",$A$2:$A$5001,"&lt;"&amp;I4401)&gt;0,1,0),0))</f>
        <v/>
      </c>
      <c r="L4401" s="16" t="str">
        <f aca="false">IF(B4401="","",IF(A4401=_xlfn.MAXIFS($A$2:$A$5001,$B$2:$B$5001,B4401,$I$2:$I$5001,I4401),1,0))</f>
        <v/>
      </c>
    </row>
    <row r="4402" customFormat="false" ht="15" hidden="false" customHeight="false" outlineLevel="0" collapsed="false">
      <c r="I4402" s="15" t="str">
        <f aca="false">IF(A4402="","",INT(A4402))</f>
        <v/>
      </c>
      <c r="J4402" s="16" t="str">
        <f aca="false">IF(B4402="","",IF(A4402=_xlfn.MINIFS($A$2:$A$5001,$B$2:$B$5001,B4402),1,0))</f>
        <v/>
      </c>
      <c r="K4402" s="16" t="str">
        <f aca="false">IF(B4402="","",IF(AND(D4402="Formalização",E4402="Concluído"),IF(COUNTIFS($B$2:$B$5001,B4402,$E$2:$E$5001,"Em ajustes",$A$2:$A$5001,"&lt;"&amp;I4402)&gt;0,1,0),0))</f>
        <v/>
      </c>
      <c r="L4402" s="16" t="str">
        <f aca="false">IF(B4402="","",IF(A4402=_xlfn.MAXIFS($A$2:$A$5001,$B$2:$B$5001,B4402,$I$2:$I$5001,I4402),1,0))</f>
        <v/>
      </c>
    </row>
    <row r="4403" customFormat="false" ht="15" hidden="false" customHeight="false" outlineLevel="0" collapsed="false">
      <c r="I4403" s="15" t="str">
        <f aca="false">IF(A4403="","",INT(A4403))</f>
        <v/>
      </c>
      <c r="J4403" s="16" t="str">
        <f aca="false">IF(B4403="","",IF(A4403=_xlfn.MINIFS($A$2:$A$5001,$B$2:$B$5001,B4403),1,0))</f>
        <v/>
      </c>
      <c r="K4403" s="16" t="str">
        <f aca="false">IF(B4403="","",IF(AND(D4403="Formalização",E4403="Concluído"),IF(COUNTIFS($B$2:$B$5001,B4403,$E$2:$E$5001,"Em ajustes",$A$2:$A$5001,"&lt;"&amp;I4403)&gt;0,1,0),0))</f>
        <v/>
      </c>
      <c r="L4403" s="16" t="str">
        <f aca="false">IF(B4403="","",IF(A4403=_xlfn.MAXIFS($A$2:$A$5001,$B$2:$B$5001,B4403,$I$2:$I$5001,I4403),1,0))</f>
        <v/>
      </c>
    </row>
    <row r="4404" customFormat="false" ht="15" hidden="false" customHeight="false" outlineLevel="0" collapsed="false">
      <c r="I4404" s="15" t="str">
        <f aca="false">IF(A4404="","",INT(A4404))</f>
        <v/>
      </c>
      <c r="J4404" s="16" t="str">
        <f aca="false">IF(B4404="","",IF(A4404=_xlfn.MINIFS($A$2:$A$5001,$B$2:$B$5001,B4404),1,0))</f>
        <v/>
      </c>
      <c r="K4404" s="16" t="str">
        <f aca="false">IF(B4404="","",IF(AND(D4404="Formalização",E4404="Concluído"),IF(COUNTIFS($B$2:$B$5001,B4404,$E$2:$E$5001,"Em ajustes",$A$2:$A$5001,"&lt;"&amp;I4404)&gt;0,1,0),0))</f>
        <v/>
      </c>
      <c r="L4404" s="16" t="str">
        <f aca="false">IF(B4404="","",IF(A4404=_xlfn.MAXIFS($A$2:$A$5001,$B$2:$B$5001,B4404,$I$2:$I$5001,I4404),1,0))</f>
        <v/>
      </c>
    </row>
    <row r="4405" customFormat="false" ht="15" hidden="false" customHeight="false" outlineLevel="0" collapsed="false">
      <c r="I4405" s="15" t="str">
        <f aca="false">IF(A4405="","",INT(A4405))</f>
        <v/>
      </c>
      <c r="J4405" s="16" t="str">
        <f aca="false">IF(B4405="","",IF(A4405=_xlfn.MINIFS($A$2:$A$5001,$B$2:$B$5001,B4405),1,0))</f>
        <v/>
      </c>
      <c r="K4405" s="16" t="str">
        <f aca="false">IF(B4405="","",IF(AND(D4405="Formalização",E4405="Concluído"),IF(COUNTIFS($B$2:$B$5001,B4405,$E$2:$E$5001,"Em ajustes",$A$2:$A$5001,"&lt;"&amp;I4405)&gt;0,1,0),0))</f>
        <v/>
      </c>
      <c r="L4405" s="16" t="str">
        <f aca="false">IF(B4405="","",IF(A4405=_xlfn.MAXIFS($A$2:$A$5001,$B$2:$B$5001,B4405,$I$2:$I$5001,I4405),1,0))</f>
        <v/>
      </c>
    </row>
    <row r="4406" customFormat="false" ht="15" hidden="false" customHeight="false" outlineLevel="0" collapsed="false">
      <c r="I4406" s="15" t="str">
        <f aca="false">IF(A4406="","",INT(A4406))</f>
        <v/>
      </c>
      <c r="J4406" s="16" t="str">
        <f aca="false">IF(B4406="","",IF(A4406=_xlfn.MINIFS($A$2:$A$5001,$B$2:$B$5001,B4406),1,0))</f>
        <v/>
      </c>
      <c r="K4406" s="16" t="str">
        <f aca="false">IF(B4406="","",IF(AND(D4406="Formalização",E4406="Concluído"),IF(COUNTIFS($B$2:$B$5001,B4406,$E$2:$E$5001,"Em ajustes",$A$2:$A$5001,"&lt;"&amp;I4406)&gt;0,1,0),0))</f>
        <v/>
      </c>
      <c r="L4406" s="16" t="str">
        <f aca="false">IF(B4406="","",IF(A4406=_xlfn.MAXIFS($A$2:$A$5001,$B$2:$B$5001,B4406,$I$2:$I$5001,I4406),1,0))</f>
        <v/>
      </c>
    </row>
    <row r="4407" customFormat="false" ht="15" hidden="false" customHeight="false" outlineLevel="0" collapsed="false">
      <c r="I4407" s="15" t="str">
        <f aca="false">IF(A4407="","",INT(A4407))</f>
        <v/>
      </c>
      <c r="J4407" s="16" t="str">
        <f aca="false">IF(B4407="","",IF(A4407=_xlfn.MINIFS($A$2:$A$5001,$B$2:$B$5001,B4407),1,0))</f>
        <v/>
      </c>
      <c r="K4407" s="16" t="str">
        <f aca="false">IF(B4407="","",IF(AND(D4407="Formalização",E4407="Concluído"),IF(COUNTIFS($B$2:$B$5001,B4407,$E$2:$E$5001,"Em ajustes",$A$2:$A$5001,"&lt;"&amp;I4407)&gt;0,1,0),0))</f>
        <v/>
      </c>
      <c r="L4407" s="16" t="str">
        <f aca="false">IF(B4407="","",IF(A4407=_xlfn.MAXIFS($A$2:$A$5001,$B$2:$B$5001,B4407,$I$2:$I$5001,I4407),1,0))</f>
        <v/>
      </c>
    </row>
    <row r="4408" customFormat="false" ht="15" hidden="false" customHeight="false" outlineLevel="0" collapsed="false">
      <c r="I4408" s="15" t="str">
        <f aca="false">IF(A4408="","",INT(A4408))</f>
        <v/>
      </c>
      <c r="J4408" s="16" t="str">
        <f aca="false">IF(B4408="","",IF(A4408=_xlfn.MINIFS($A$2:$A$5001,$B$2:$B$5001,B4408),1,0))</f>
        <v/>
      </c>
      <c r="K4408" s="16" t="str">
        <f aca="false">IF(B4408="","",IF(AND(D4408="Formalização",E4408="Concluído"),IF(COUNTIFS($B$2:$B$5001,B4408,$E$2:$E$5001,"Em ajustes",$A$2:$A$5001,"&lt;"&amp;I4408)&gt;0,1,0),0))</f>
        <v/>
      </c>
      <c r="L4408" s="16" t="str">
        <f aca="false">IF(B4408="","",IF(A4408=_xlfn.MAXIFS($A$2:$A$5001,$B$2:$B$5001,B4408,$I$2:$I$5001,I4408),1,0))</f>
        <v/>
      </c>
    </row>
    <row r="4409" customFormat="false" ht="15" hidden="false" customHeight="false" outlineLevel="0" collapsed="false">
      <c r="I4409" s="15" t="str">
        <f aca="false">IF(A4409="","",INT(A4409))</f>
        <v/>
      </c>
      <c r="J4409" s="16" t="str">
        <f aca="false">IF(B4409="","",IF(A4409=_xlfn.MINIFS($A$2:$A$5001,$B$2:$B$5001,B4409),1,0))</f>
        <v/>
      </c>
      <c r="K4409" s="16" t="str">
        <f aca="false">IF(B4409="","",IF(AND(D4409="Formalização",E4409="Concluído"),IF(COUNTIFS($B$2:$B$5001,B4409,$E$2:$E$5001,"Em ajustes",$A$2:$A$5001,"&lt;"&amp;I4409)&gt;0,1,0),0))</f>
        <v/>
      </c>
      <c r="L4409" s="16" t="str">
        <f aca="false">IF(B4409="","",IF(A4409=_xlfn.MAXIFS($A$2:$A$5001,$B$2:$B$5001,B4409,$I$2:$I$5001,I4409),1,0))</f>
        <v/>
      </c>
    </row>
    <row r="4410" customFormat="false" ht="15" hidden="false" customHeight="false" outlineLevel="0" collapsed="false">
      <c r="I4410" s="15" t="str">
        <f aca="false">IF(A4410="","",INT(A4410))</f>
        <v/>
      </c>
      <c r="J4410" s="16" t="str">
        <f aca="false">IF(B4410="","",IF(A4410=_xlfn.MINIFS($A$2:$A$5001,$B$2:$B$5001,B4410),1,0))</f>
        <v/>
      </c>
      <c r="K4410" s="16" t="str">
        <f aca="false">IF(B4410="","",IF(AND(D4410="Formalização",E4410="Concluído"),IF(COUNTIFS($B$2:$B$5001,B4410,$E$2:$E$5001,"Em ajustes",$A$2:$A$5001,"&lt;"&amp;I4410)&gt;0,1,0),0))</f>
        <v/>
      </c>
      <c r="L4410" s="16" t="str">
        <f aca="false">IF(B4410="","",IF(A4410=_xlfn.MAXIFS($A$2:$A$5001,$B$2:$B$5001,B4410,$I$2:$I$5001,I4410),1,0))</f>
        <v/>
      </c>
    </row>
    <row r="4411" customFormat="false" ht="15" hidden="false" customHeight="false" outlineLevel="0" collapsed="false">
      <c r="I4411" s="15" t="str">
        <f aca="false">IF(A4411="","",INT(A4411))</f>
        <v/>
      </c>
      <c r="J4411" s="16" t="str">
        <f aca="false">IF(B4411="","",IF(A4411=_xlfn.MINIFS($A$2:$A$5001,$B$2:$B$5001,B4411),1,0))</f>
        <v/>
      </c>
      <c r="K4411" s="16" t="str">
        <f aca="false">IF(B4411="","",IF(AND(D4411="Formalização",E4411="Concluído"),IF(COUNTIFS($B$2:$B$5001,B4411,$E$2:$E$5001,"Em ajustes",$A$2:$A$5001,"&lt;"&amp;I4411)&gt;0,1,0),0))</f>
        <v/>
      </c>
      <c r="L4411" s="16" t="str">
        <f aca="false">IF(B4411="","",IF(A4411=_xlfn.MAXIFS($A$2:$A$5001,$B$2:$B$5001,B4411,$I$2:$I$5001,I4411),1,0))</f>
        <v/>
      </c>
    </row>
    <row r="4412" customFormat="false" ht="15" hidden="false" customHeight="false" outlineLevel="0" collapsed="false">
      <c r="I4412" s="15" t="str">
        <f aca="false">IF(A4412="","",INT(A4412))</f>
        <v/>
      </c>
      <c r="J4412" s="16" t="str">
        <f aca="false">IF(B4412="","",IF(A4412=_xlfn.MINIFS($A$2:$A$5001,$B$2:$B$5001,B4412),1,0))</f>
        <v/>
      </c>
      <c r="K4412" s="16" t="str">
        <f aca="false">IF(B4412="","",IF(AND(D4412="Formalização",E4412="Concluído"),IF(COUNTIFS($B$2:$B$5001,B4412,$E$2:$E$5001,"Em ajustes",$A$2:$A$5001,"&lt;"&amp;I4412)&gt;0,1,0),0))</f>
        <v/>
      </c>
      <c r="L4412" s="16" t="str">
        <f aca="false">IF(B4412="","",IF(A4412=_xlfn.MAXIFS($A$2:$A$5001,$B$2:$B$5001,B4412,$I$2:$I$5001,I4412),1,0))</f>
        <v/>
      </c>
    </row>
    <row r="4413" customFormat="false" ht="15" hidden="false" customHeight="false" outlineLevel="0" collapsed="false">
      <c r="I4413" s="15" t="str">
        <f aca="false">IF(A4413="","",INT(A4413))</f>
        <v/>
      </c>
      <c r="J4413" s="16" t="str">
        <f aca="false">IF(B4413="","",IF(A4413=_xlfn.MINIFS($A$2:$A$5001,$B$2:$B$5001,B4413),1,0))</f>
        <v/>
      </c>
      <c r="K4413" s="16" t="str">
        <f aca="false">IF(B4413="","",IF(AND(D4413="Formalização",E4413="Concluído"),IF(COUNTIFS($B$2:$B$5001,B4413,$E$2:$E$5001,"Em ajustes",$A$2:$A$5001,"&lt;"&amp;I4413)&gt;0,1,0),0))</f>
        <v/>
      </c>
      <c r="L4413" s="16" t="str">
        <f aca="false">IF(B4413="","",IF(A4413=_xlfn.MAXIFS($A$2:$A$5001,$B$2:$B$5001,B4413,$I$2:$I$5001,I4413),1,0))</f>
        <v/>
      </c>
    </row>
    <row r="4414" customFormat="false" ht="15" hidden="false" customHeight="false" outlineLevel="0" collapsed="false">
      <c r="I4414" s="15" t="str">
        <f aca="false">IF(A4414="","",INT(A4414))</f>
        <v/>
      </c>
      <c r="J4414" s="16" t="str">
        <f aca="false">IF(B4414="","",IF(A4414=_xlfn.MINIFS($A$2:$A$5001,$B$2:$B$5001,B4414),1,0))</f>
        <v/>
      </c>
      <c r="K4414" s="16" t="str">
        <f aca="false">IF(B4414="","",IF(AND(D4414="Formalização",E4414="Concluído"),IF(COUNTIFS($B$2:$B$5001,B4414,$E$2:$E$5001,"Em ajustes",$A$2:$A$5001,"&lt;"&amp;I4414)&gt;0,1,0),0))</f>
        <v/>
      </c>
      <c r="L4414" s="16" t="str">
        <f aca="false">IF(B4414="","",IF(A4414=_xlfn.MAXIFS($A$2:$A$5001,$B$2:$B$5001,B4414,$I$2:$I$5001,I4414),1,0))</f>
        <v/>
      </c>
    </row>
    <row r="4415" customFormat="false" ht="15" hidden="false" customHeight="false" outlineLevel="0" collapsed="false">
      <c r="I4415" s="15" t="str">
        <f aca="false">IF(A4415="","",INT(A4415))</f>
        <v/>
      </c>
      <c r="J4415" s="16" t="str">
        <f aca="false">IF(B4415="","",IF(A4415=_xlfn.MINIFS($A$2:$A$5001,$B$2:$B$5001,B4415),1,0))</f>
        <v/>
      </c>
      <c r="K4415" s="16" t="str">
        <f aca="false">IF(B4415="","",IF(AND(D4415="Formalização",E4415="Concluído"),IF(COUNTIFS($B$2:$B$5001,B4415,$E$2:$E$5001,"Em ajustes",$A$2:$A$5001,"&lt;"&amp;I4415)&gt;0,1,0),0))</f>
        <v/>
      </c>
      <c r="L4415" s="16" t="str">
        <f aca="false">IF(B4415="","",IF(A4415=_xlfn.MAXIFS($A$2:$A$5001,$B$2:$B$5001,B4415,$I$2:$I$5001,I4415),1,0))</f>
        <v/>
      </c>
    </row>
    <row r="4416" customFormat="false" ht="15" hidden="false" customHeight="false" outlineLevel="0" collapsed="false">
      <c r="I4416" s="15" t="str">
        <f aca="false">IF(A4416="","",INT(A4416))</f>
        <v/>
      </c>
      <c r="J4416" s="16" t="str">
        <f aca="false">IF(B4416="","",IF(A4416=_xlfn.MINIFS($A$2:$A$5001,$B$2:$B$5001,B4416),1,0))</f>
        <v/>
      </c>
      <c r="K4416" s="16" t="str">
        <f aca="false">IF(B4416="","",IF(AND(D4416="Formalização",E4416="Concluído"),IF(COUNTIFS($B$2:$B$5001,B4416,$E$2:$E$5001,"Em ajustes",$A$2:$A$5001,"&lt;"&amp;I4416)&gt;0,1,0),0))</f>
        <v/>
      </c>
      <c r="L4416" s="16" t="str">
        <f aca="false">IF(B4416="","",IF(A4416=_xlfn.MAXIFS($A$2:$A$5001,$B$2:$B$5001,B4416,$I$2:$I$5001,I4416),1,0))</f>
        <v/>
      </c>
    </row>
    <row r="4417" customFormat="false" ht="15" hidden="false" customHeight="false" outlineLevel="0" collapsed="false">
      <c r="I4417" s="15" t="str">
        <f aca="false">IF(A4417="","",INT(A4417))</f>
        <v/>
      </c>
      <c r="J4417" s="16" t="str">
        <f aca="false">IF(B4417="","",IF(A4417=_xlfn.MINIFS($A$2:$A$5001,$B$2:$B$5001,B4417),1,0))</f>
        <v/>
      </c>
      <c r="K4417" s="16" t="str">
        <f aca="false">IF(B4417="","",IF(AND(D4417="Formalização",E4417="Concluído"),IF(COUNTIFS($B$2:$B$5001,B4417,$E$2:$E$5001,"Em ajustes",$A$2:$A$5001,"&lt;"&amp;I4417)&gt;0,1,0),0))</f>
        <v/>
      </c>
      <c r="L4417" s="16" t="str">
        <f aca="false">IF(B4417="","",IF(A4417=_xlfn.MAXIFS($A$2:$A$5001,$B$2:$B$5001,B4417,$I$2:$I$5001,I4417),1,0))</f>
        <v/>
      </c>
    </row>
    <row r="4418" customFormat="false" ht="15" hidden="false" customHeight="false" outlineLevel="0" collapsed="false">
      <c r="I4418" s="15" t="str">
        <f aca="false">IF(A4418="","",INT(A4418))</f>
        <v/>
      </c>
      <c r="J4418" s="16" t="str">
        <f aca="false">IF(B4418="","",IF(A4418=_xlfn.MINIFS($A$2:$A$5001,$B$2:$B$5001,B4418),1,0))</f>
        <v/>
      </c>
      <c r="K4418" s="16" t="str">
        <f aca="false">IF(B4418="","",IF(AND(D4418="Formalização",E4418="Concluído"),IF(COUNTIFS($B$2:$B$5001,B4418,$E$2:$E$5001,"Em ajustes",$A$2:$A$5001,"&lt;"&amp;I4418)&gt;0,1,0),0))</f>
        <v/>
      </c>
      <c r="L4418" s="16" t="str">
        <f aca="false">IF(B4418="","",IF(A4418=_xlfn.MAXIFS($A$2:$A$5001,$B$2:$B$5001,B4418,$I$2:$I$5001,I4418),1,0))</f>
        <v/>
      </c>
    </row>
    <row r="4419" customFormat="false" ht="15" hidden="false" customHeight="false" outlineLevel="0" collapsed="false">
      <c r="I4419" s="15" t="str">
        <f aca="false">IF(A4419="","",INT(A4419))</f>
        <v/>
      </c>
      <c r="J4419" s="16" t="str">
        <f aca="false">IF(B4419="","",IF(A4419=_xlfn.MINIFS($A$2:$A$5001,$B$2:$B$5001,B4419),1,0))</f>
        <v/>
      </c>
      <c r="K4419" s="16" t="str">
        <f aca="false">IF(B4419="","",IF(AND(D4419="Formalização",E4419="Concluído"),IF(COUNTIFS($B$2:$B$5001,B4419,$E$2:$E$5001,"Em ajustes",$A$2:$A$5001,"&lt;"&amp;I4419)&gt;0,1,0),0))</f>
        <v/>
      </c>
      <c r="L4419" s="16" t="str">
        <f aca="false">IF(B4419="","",IF(A4419=_xlfn.MAXIFS($A$2:$A$5001,$B$2:$B$5001,B4419,$I$2:$I$5001,I4419),1,0))</f>
        <v/>
      </c>
    </row>
    <row r="4420" customFormat="false" ht="15" hidden="false" customHeight="false" outlineLevel="0" collapsed="false">
      <c r="I4420" s="15" t="str">
        <f aca="false">IF(A4420="","",INT(A4420))</f>
        <v/>
      </c>
      <c r="J4420" s="16" t="str">
        <f aca="false">IF(B4420="","",IF(A4420=_xlfn.MINIFS($A$2:$A$5001,$B$2:$B$5001,B4420),1,0))</f>
        <v/>
      </c>
      <c r="K4420" s="16" t="str">
        <f aca="false">IF(B4420="","",IF(AND(D4420="Formalização",E4420="Concluído"),IF(COUNTIFS($B$2:$B$5001,B4420,$E$2:$E$5001,"Em ajustes",$A$2:$A$5001,"&lt;"&amp;I4420)&gt;0,1,0),0))</f>
        <v/>
      </c>
      <c r="L4420" s="16" t="str">
        <f aca="false">IF(B4420="","",IF(A4420=_xlfn.MAXIFS($A$2:$A$5001,$B$2:$B$5001,B4420,$I$2:$I$5001,I4420),1,0))</f>
        <v/>
      </c>
    </row>
    <row r="4421" customFormat="false" ht="15" hidden="false" customHeight="false" outlineLevel="0" collapsed="false">
      <c r="I4421" s="15" t="str">
        <f aca="false">IF(A4421="","",INT(A4421))</f>
        <v/>
      </c>
      <c r="J4421" s="16" t="str">
        <f aca="false">IF(B4421="","",IF(A4421=_xlfn.MINIFS($A$2:$A$5001,$B$2:$B$5001,B4421),1,0))</f>
        <v/>
      </c>
      <c r="K4421" s="16" t="str">
        <f aca="false">IF(B4421="","",IF(AND(D4421="Formalização",E4421="Concluído"),IF(COUNTIFS($B$2:$B$5001,B4421,$E$2:$E$5001,"Em ajustes",$A$2:$A$5001,"&lt;"&amp;I4421)&gt;0,1,0),0))</f>
        <v/>
      </c>
      <c r="L4421" s="16" t="str">
        <f aca="false">IF(B4421="","",IF(A4421=_xlfn.MAXIFS($A$2:$A$5001,$B$2:$B$5001,B4421,$I$2:$I$5001,I4421),1,0))</f>
        <v/>
      </c>
    </row>
    <row r="4422" customFormat="false" ht="15" hidden="false" customHeight="false" outlineLevel="0" collapsed="false">
      <c r="I4422" s="15" t="str">
        <f aca="false">IF(A4422="","",INT(A4422))</f>
        <v/>
      </c>
      <c r="J4422" s="16" t="str">
        <f aca="false">IF(B4422="","",IF(A4422=_xlfn.MINIFS($A$2:$A$5001,$B$2:$B$5001,B4422),1,0))</f>
        <v/>
      </c>
      <c r="K4422" s="16" t="str">
        <f aca="false">IF(B4422="","",IF(AND(D4422="Formalização",E4422="Concluído"),IF(COUNTIFS($B$2:$B$5001,B4422,$E$2:$E$5001,"Em ajustes",$A$2:$A$5001,"&lt;"&amp;I4422)&gt;0,1,0),0))</f>
        <v/>
      </c>
      <c r="L4422" s="16" t="str">
        <f aca="false">IF(B4422="","",IF(A4422=_xlfn.MAXIFS($A$2:$A$5001,$B$2:$B$5001,B4422,$I$2:$I$5001,I4422),1,0))</f>
        <v/>
      </c>
    </row>
    <row r="4423" customFormat="false" ht="15" hidden="false" customHeight="false" outlineLevel="0" collapsed="false">
      <c r="I4423" s="15" t="str">
        <f aca="false">IF(A4423="","",INT(A4423))</f>
        <v/>
      </c>
      <c r="J4423" s="16" t="str">
        <f aca="false">IF(B4423="","",IF(A4423=_xlfn.MINIFS($A$2:$A$5001,$B$2:$B$5001,B4423),1,0))</f>
        <v/>
      </c>
      <c r="K4423" s="16" t="str">
        <f aca="false">IF(B4423="","",IF(AND(D4423="Formalização",E4423="Concluído"),IF(COUNTIFS($B$2:$B$5001,B4423,$E$2:$E$5001,"Em ajustes",$A$2:$A$5001,"&lt;"&amp;I4423)&gt;0,1,0),0))</f>
        <v/>
      </c>
      <c r="L4423" s="16" t="str">
        <f aca="false">IF(B4423="","",IF(A4423=_xlfn.MAXIFS($A$2:$A$5001,$B$2:$B$5001,B4423,$I$2:$I$5001,I4423),1,0))</f>
        <v/>
      </c>
    </row>
    <row r="4424" customFormat="false" ht="15" hidden="false" customHeight="false" outlineLevel="0" collapsed="false">
      <c r="I4424" s="15" t="str">
        <f aca="false">IF(A4424="","",INT(A4424))</f>
        <v/>
      </c>
      <c r="J4424" s="16" t="str">
        <f aca="false">IF(B4424="","",IF(A4424=_xlfn.MINIFS($A$2:$A$5001,$B$2:$B$5001,B4424),1,0))</f>
        <v/>
      </c>
      <c r="K4424" s="16" t="str">
        <f aca="false">IF(B4424="","",IF(AND(D4424="Formalização",E4424="Concluído"),IF(COUNTIFS($B$2:$B$5001,B4424,$E$2:$E$5001,"Em ajustes",$A$2:$A$5001,"&lt;"&amp;I4424)&gt;0,1,0),0))</f>
        <v/>
      </c>
      <c r="L4424" s="16" t="str">
        <f aca="false">IF(B4424="","",IF(A4424=_xlfn.MAXIFS($A$2:$A$5001,$B$2:$B$5001,B4424,$I$2:$I$5001,I4424),1,0))</f>
        <v/>
      </c>
    </row>
    <row r="4425" customFormat="false" ht="15" hidden="false" customHeight="false" outlineLevel="0" collapsed="false">
      <c r="I4425" s="15" t="str">
        <f aca="false">IF(A4425="","",INT(A4425))</f>
        <v/>
      </c>
      <c r="J4425" s="16" t="str">
        <f aca="false">IF(B4425="","",IF(A4425=_xlfn.MINIFS($A$2:$A$5001,$B$2:$B$5001,B4425),1,0))</f>
        <v/>
      </c>
      <c r="K4425" s="16" t="str">
        <f aca="false">IF(B4425="","",IF(AND(D4425="Formalização",E4425="Concluído"),IF(COUNTIFS($B$2:$B$5001,B4425,$E$2:$E$5001,"Em ajustes",$A$2:$A$5001,"&lt;"&amp;I4425)&gt;0,1,0),0))</f>
        <v/>
      </c>
      <c r="L4425" s="16" t="str">
        <f aca="false">IF(B4425="","",IF(A4425=_xlfn.MAXIFS($A$2:$A$5001,$B$2:$B$5001,B4425,$I$2:$I$5001,I4425),1,0))</f>
        <v/>
      </c>
    </row>
    <row r="4426" customFormat="false" ht="15" hidden="false" customHeight="false" outlineLevel="0" collapsed="false">
      <c r="I4426" s="15" t="str">
        <f aca="false">IF(A4426="","",INT(A4426))</f>
        <v/>
      </c>
      <c r="J4426" s="16" t="str">
        <f aca="false">IF(B4426="","",IF(A4426=_xlfn.MINIFS($A$2:$A$5001,$B$2:$B$5001,B4426),1,0))</f>
        <v/>
      </c>
      <c r="K4426" s="16" t="str">
        <f aca="false">IF(B4426="","",IF(AND(D4426="Formalização",E4426="Concluído"),IF(COUNTIFS($B$2:$B$5001,B4426,$E$2:$E$5001,"Em ajustes",$A$2:$A$5001,"&lt;"&amp;I4426)&gt;0,1,0),0))</f>
        <v/>
      </c>
      <c r="L4426" s="16" t="str">
        <f aca="false">IF(B4426="","",IF(A4426=_xlfn.MAXIFS($A$2:$A$5001,$B$2:$B$5001,B4426,$I$2:$I$5001,I4426),1,0))</f>
        <v/>
      </c>
    </row>
    <row r="4427" customFormat="false" ht="15" hidden="false" customHeight="false" outlineLevel="0" collapsed="false">
      <c r="I4427" s="15" t="str">
        <f aca="false">IF(A4427="","",INT(A4427))</f>
        <v/>
      </c>
      <c r="J4427" s="16" t="str">
        <f aca="false">IF(B4427="","",IF(A4427=_xlfn.MINIFS($A$2:$A$5001,$B$2:$B$5001,B4427),1,0))</f>
        <v/>
      </c>
      <c r="K4427" s="16" t="str">
        <f aca="false">IF(B4427="","",IF(AND(D4427="Formalização",E4427="Concluído"),IF(COUNTIFS($B$2:$B$5001,B4427,$E$2:$E$5001,"Em ajustes",$A$2:$A$5001,"&lt;"&amp;I4427)&gt;0,1,0),0))</f>
        <v/>
      </c>
      <c r="L4427" s="16" t="str">
        <f aca="false">IF(B4427="","",IF(A4427=_xlfn.MAXIFS($A$2:$A$5001,$B$2:$B$5001,B4427,$I$2:$I$5001,I4427),1,0))</f>
        <v/>
      </c>
    </row>
    <row r="4428" customFormat="false" ht="15" hidden="false" customHeight="false" outlineLevel="0" collapsed="false">
      <c r="I4428" s="15" t="str">
        <f aca="false">IF(A4428="","",INT(A4428))</f>
        <v/>
      </c>
      <c r="J4428" s="16" t="str">
        <f aca="false">IF(B4428="","",IF(A4428=_xlfn.MINIFS($A$2:$A$5001,$B$2:$B$5001,B4428),1,0))</f>
        <v/>
      </c>
      <c r="K4428" s="16" t="str">
        <f aca="false">IF(B4428="","",IF(AND(D4428="Formalização",E4428="Concluído"),IF(COUNTIFS($B$2:$B$5001,B4428,$E$2:$E$5001,"Em ajustes",$A$2:$A$5001,"&lt;"&amp;I4428)&gt;0,1,0),0))</f>
        <v/>
      </c>
      <c r="L4428" s="16" t="str">
        <f aca="false">IF(B4428="","",IF(A4428=_xlfn.MAXIFS($A$2:$A$5001,$B$2:$B$5001,B4428,$I$2:$I$5001,I4428),1,0))</f>
        <v/>
      </c>
    </row>
    <row r="4429" customFormat="false" ht="15" hidden="false" customHeight="false" outlineLevel="0" collapsed="false">
      <c r="I4429" s="15" t="str">
        <f aca="false">IF(A4429="","",INT(A4429))</f>
        <v/>
      </c>
      <c r="J4429" s="16" t="str">
        <f aca="false">IF(B4429="","",IF(A4429=_xlfn.MINIFS($A$2:$A$5001,$B$2:$B$5001,B4429),1,0))</f>
        <v/>
      </c>
      <c r="K4429" s="16" t="str">
        <f aca="false">IF(B4429="","",IF(AND(D4429="Formalização",E4429="Concluído"),IF(COUNTIFS($B$2:$B$5001,B4429,$E$2:$E$5001,"Em ajustes",$A$2:$A$5001,"&lt;"&amp;I4429)&gt;0,1,0),0))</f>
        <v/>
      </c>
      <c r="L4429" s="16" t="str">
        <f aca="false">IF(B4429="","",IF(A4429=_xlfn.MAXIFS($A$2:$A$5001,$B$2:$B$5001,B4429,$I$2:$I$5001,I4429),1,0))</f>
        <v/>
      </c>
    </row>
    <row r="4430" customFormat="false" ht="15" hidden="false" customHeight="false" outlineLevel="0" collapsed="false">
      <c r="I4430" s="15" t="str">
        <f aca="false">IF(A4430="","",INT(A4430))</f>
        <v/>
      </c>
      <c r="J4430" s="16" t="str">
        <f aca="false">IF(B4430="","",IF(A4430=_xlfn.MINIFS($A$2:$A$5001,$B$2:$B$5001,B4430),1,0))</f>
        <v/>
      </c>
      <c r="K4430" s="16" t="str">
        <f aca="false">IF(B4430="","",IF(AND(D4430="Formalização",E4430="Concluído"),IF(COUNTIFS($B$2:$B$5001,B4430,$E$2:$E$5001,"Em ajustes",$A$2:$A$5001,"&lt;"&amp;I4430)&gt;0,1,0),0))</f>
        <v/>
      </c>
      <c r="L4430" s="16" t="str">
        <f aca="false">IF(B4430="","",IF(A4430=_xlfn.MAXIFS($A$2:$A$5001,$B$2:$B$5001,B4430,$I$2:$I$5001,I4430),1,0))</f>
        <v/>
      </c>
    </row>
    <row r="4431" customFormat="false" ht="15" hidden="false" customHeight="false" outlineLevel="0" collapsed="false">
      <c r="I4431" s="15" t="str">
        <f aca="false">IF(A4431="","",INT(A4431))</f>
        <v/>
      </c>
      <c r="J4431" s="16" t="str">
        <f aca="false">IF(B4431="","",IF(A4431=_xlfn.MINIFS($A$2:$A$5001,$B$2:$B$5001,B4431),1,0))</f>
        <v/>
      </c>
      <c r="K4431" s="16" t="str">
        <f aca="false">IF(B4431="","",IF(AND(D4431="Formalização",E4431="Concluído"),IF(COUNTIFS($B$2:$B$5001,B4431,$E$2:$E$5001,"Em ajustes",$A$2:$A$5001,"&lt;"&amp;I4431)&gt;0,1,0),0))</f>
        <v/>
      </c>
      <c r="L4431" s="16" t="str">
        <f aca="false">IF(B4431="","",IF(A4431=_xlfn.MAXIFS($A$2:$A$5001,$B$2:$B$5001,B4431,$I$2:$I$5001,I4431),1,0))</f>
        <v/>
      </c>
    </row>
    <row r="4432" customFormat="false" ht="15" hidden="false" customHeight="false" outlineLevel="0" collapsed="false">
      <c r="I4432" s="15" t="str">
        <f aca="false">IF(A4432="","",INT(A4432))</f>
        <v/>
      </c>
      <c r="J4432" s="16" t="str">
        <f aca="false">IF(B4432="","",IF(A4432=_xlfn.MINIFS($A$2:$A$5001,$B$2:$B$5001,B4432),1,0))</f>
        <v/>
      </c>
      <c r="K4432" s="16" t="str">
        <f aca="false">IF(B4432="","",IF(AND(D4432="Formalização",E4432="Concluído"),IF(COUNTIFS($B$2:$B$5001,B4432,$E$2:$E$5001,"Em ajustes",$A$2:$A$5001,"&lt;"&amp;I4432)&gt;0,1,0),0))</f>
        <v/>
      </c>
      <c r="L4432" s="16" t="str">
        <f aca="false">IF(B4432="","",IF(A4432=_xlfn.MAXIFS($A$2:$A$5001,$B$2:$B$5001,B4432,$I$2:$I$5001,I4432),1,0))</f>
        <v/>
      </c>
    </row>
    <row r="4433" customFormat="false" ht="15" hidden="false" customHeight="false" outlineLevel="0" collapsed="false">
      <c r="I4433" s="15" t="str">
        <f aca="false">IF(A4433="","",INT(A4433))</f>
        <v/>
      </c>
      <c r="J4433" s="16" t="str">
        <f aca="false">IF(B4433="","",IF(A4433=_xlfn.MINIFS($A$2:$A$5001,$B$2:$B$5001,B4433),1,0))</f>
        <v/>
      </c>
      <c r="K4433" s="16" t="str">
        <f aca="false">IF(B4433="","",IF(AND(D4433="Formalização",E4433="Concluído"),IF(COUNTIFS($B$2:$B$5001,B4433,$E$2:$E$5001,"Em ajustes",$A$2:$A$5001,"&lt;"&amp;I4433)&gt;0,1,0),0))</f>
        <v/>
      </c>
      <c r="L4433" s="16" t="str">
        <f aca="false">IF(B4433="","",IF(A4433=_xlfn.MAXIFS($A$2:$A$5001,$B$2:$B$5001,B4433,$I$2:$I$5001,I4433),1,0))</f>
        <v/>
      </c>
    </row>
    <row r="4434" customFormat="false" ht="15" hidden="false" customHeight="false" outlineLevel="0" collapsed="false">
      <c r="I4434" s="15" t="str">
        <f aca="false">IF(A4434="","",INT(A4434))</f>
        <v/>
      </c>
      <c r="J4434" s="16" t="str">
        <f aca="false">IF(B4434="","",IF(A4434=_xlfn.MINIFS($A$2:$A$5001,$B$2:$B$5001,B4434),1,0))</f>
        <v/>
      </c>
      <c r="K4434" s="16" t="str">
        <f aca="false">IF(B4434="","",IF(AND(D4434="Formalização",E4434="Concluído"),IF(COUNTIFS($B$2:$B$5001,B4434,$E$2:$E$5001,"Em ajustes",$A$2:$A$5001,"&lt;"&amp;I4434)&gt;0,1,0),0))</f>
        <v/>
      </c>
      <c r="L4434" s="16" t="str">
        <f aca="false">IF(B4434="","",IF(A4434=_xlfn.MAXIFS($A$2:$A$5001,$B$2:$B$5001,B4434,$I$2:$I$5001,I4434),1,0))</f>
        <v/>
      </c>
    </row>
    <row r="4435" customFormat="false" ht="15" hidden="false" customHeight="false" outlineLevel="0" collapsed="false">
      <c r="I4435" s="15" t="str">
        <f aca="false">IF(A4435="","",INT(A4435))</f>
        <v/>
      </c>
      <c r="J4435" s="16" t="str">
        <f aca="false">IF(B4435="","",IF(A4435=_xlfn.MINIFS($A$2:$A$5001,$B$2:$B$5001,B4435),1,0))</f>
        <v/>
      </c>
      <c r="K4435" s="16" t="str">
        <f aca="false">IF(B4435="","",IF(AND(D4435="Formalização",E4435="Concluído"),IF(COUNTIFS($B$2:$B$5001,B4435,$E$2:$E$5001,"Em ajustes",$A$2:$A$5001,"&lt;"&amp;I4435)&gt;0,1,0),0))</f>
        <v/>
      </c>
      <c r="L4435" s="16" t="str">
        <f aca="false">IF(B4435="","",IF(A4435=_xlfn.MAXIFS($A$2:$A$5001,$B$2:$B$5001,B4435,$I$2:$I$5001,I4435),1,0))</f>
        <v/>
      </c>
    </row>
    <row r="4436" customFormat="false" ht="15" hidden="false" customHeight="false" outlineLevel="0" collapsed="false">
      <c r="I4436" s="15" t="str">
        <f aca="false">IF(A4436="","",INT(A4436))</f>
        <v/>
      </c>
      <c r="J4436" s="16" t="str">
        <f aca="false">IF(B4436="","",IF(A4436=_xlfn.MINIFS($A$2:$A$5001,$B$2:$B$5001,B4436),1,0))</f>
        <v/>
      </c>
      <c r="K4436" s="16" t="str">
        <f aca="false">IF(B4436="","",IF(AND(D4436="Formalização",E4436="Concluído"),IF(COUNTIFS($B$2:$B$5001,B4436,$E$2:$E$5001,"Em ajustes",$A$2:$A$5001,"&lt;"&amp;I4436)&gt;0,1,0),0))</f>
        <v/>
      </c>
      <c r="L4436" s="16" t="str">
        <f aca="false">IF(B4436="","",IF(A4436=_xlfn.MAXIFS($A$2:$A$5001,$B$2:$B$5001,B4436,$I$2:$I$5001,I4436),1,0))</f>
        <v/>
      </c>
    </row>
    <row r="4437" customFormat="false" ht="15" hidden="false" customHeight="false" outlineLevel="0" collapsed="false">
      <c r="I4437" s="15" t="str">
        <f aca="false">IF(A4437="","",INT(A4437))</f>
        <v/>
      </c>
      <c r="J4437" s="16" t="str">
        <f aca="false">IF(B4437="","",IF(A4437=_xlfn.MINIFS($A$2:$A$5001,$B$2:$B$5001,B4437),1,0))</f>
        <v/>
      </c>
      <c r="K4437" s="16" t="str">
        <f aca="false">IF(B4437="","",IF(AND(D4437="Formalização",E4437="Concluído"),IF(COUNTIFS($B$2:$B$5001,B4437,$E$2:$E$5001,"Em ajustes",$A$2:$A$5001,"&lt;"&amp;I4437)&gt;0,1,0),0))</f>
        <v/>
      </c>
      <c r="L4437" s="16" t="str">
        <f aca="false">IF(B4437="","",IF(A4437=_xlfn.MAXIFS($A$2:$A$5001,$B$2:$B$5001,B4437,$I$2:$I$5001,I4437),1,0))</f>
        <v/>
      </c>
    </row>
    <row r="4438" customFormat="false" ht="15" hidden="false" customHeight="false" outlineLevel="0" collapsed="false">
      <c r="I4438" s="15" t="str">
        <f aca="false">IF(A4438="","",INT(A4438))</f>
        <v/>
      </c>
      <c r="J4438" s="16" t="str">
        <f aca="false">IF(B4438="","",IF(A4438=_xlfn.MINIFS($A$2:$A$5001,$B$2:$B$5001,B4438),1,0))</f>
        <v/>
      </c>
      <c r="K4438" s="16" t="str">
        <f aca="false">IF(B4438="","",IF(AND(D4438="Formalização",E4438="Concluído"),IF(COUNTIFS($B$2:$B$5001,B4438,$E$2:$E$5001,"Em ajustes",$A$2:$A$5001,"&lt;"&amp;I4438)&gt;0,1,0),0))</f>
        <v/>
      </c>
      <c r="L4438" s="16" t="str">
        <f aca="false">IF(B4438="","",IF(A4438=_xlfn.MAXIFS($A$2:$A$5001,$B$2:$B$5001,B4438,$I$2:$I$5001,I4438),1,0))</f>
        <v/>
      </c>
    </row>
    <row r="4439" customFormat="false" ht="15" hidden="false" customHeight="false" outlineLevel="0" collapsed="false">
      <c r="I4439" s="15" t="str">
        <f aca="false">IF(A4439="","",INT(A4439))</f>
        <v/>
      </c>
      <c r="J4439" s="16" t="str">
        <f aca="false">IF(B4439="","",IF(A4439=_xlfn.MINIFS($A$2:$A$5001,$B$2:$B$5001,B4439),1,0))</f>
        <v/>
      </c>
      <c r="K4439" s="16" t="str">
        <f aca="false">IF(B4439="","",IF(AND(D4439="Formalização",E4439="Concluído"),IF(COUNTIFS($B$2:$B$5001,B4439,$E$2:$E$5001,"Em ajustes",$A$2:$A$5001,"&lt;"&amp;I4439)&gt;0,1,0),0))</f>
        <v/>
      </c>
      <c r="L4439" s="16" t="str">
        <f aca="false">IF(B4439="","",IF(A4439=_xlfn.MAXIFS($A$2:$A$5001,$B$2:$B$5001,B4439,$I$2:$I$5001,I4439),1,0))</f>
        <v/>
      </c>
    </row>
    <row r="4440" customFormat="false" ht="15" hidden="false" customHeight="false" outlineLevel="0" collapsed="false">
      <c r="I4440" s="15" t="str">
        <f aca="false">IF(A4440="","",INT(A4440))</f>
        <v/>
      </c>
      <c r="J4440" s="16" t="str">
        <f aca="false">IF(B4440="","",IF(A4440=_xlfn.MINIFS($A$2:$A$5001,$B$2:$B$5001,B4440),1,0))</f>
        <v/>
      </c>
      <c r="K4440" s="16" t="str">
        <f aca="false">IF(B4440="","",IF(AND(D4440="Formalização",E4440="Concluído"),IF(COUNTIFS($B$2:$B$5001,B4440,$E$2:$E$5001,"Em ajustes",$A$2:$A$5001,"&lt;"&amp;I4440)&gt;0,1,0),0))</f>
        <v/>
      </c>
      <c r="L4440" s="16" t="str">
        <f aca="false">IF(B4440="","",IF(A4440=_xlfn.MAXIFS($A$2:$A$5001,$B$2:$B$5001,B4440,$I$2:$I$5001,I4440),1,0))</f>
        <v/>
      </c>
    </row>
    <row r="4441" customFormat="false" ht="15" hidden="false" customHeight="false" outlineLevel="0" collapsed="false">
      <c r="I4441" s="15" t="str">
        <f aca="false">IF(A4441="","",INT(A4441))</f>
        <v/>
      </c>
      <c r="J4441" s="16" t="str">
        <f aca="false">IF(B4441="","",IF(A4441=_xlfn.MINIFS($A$2:$A$5001,$B$2:$B$5001,B4441),1,0))</f>
        <v/>
      </c>
      <c r="K4441" s="16" t="str">
        <f aca="false">IF(B4441="","",IF(AND(D4441="Formalização",E4441="Concluído"),IF(COUNTIFS($B$2:$B$5001,B4441,$E$2:$E$5001,"Em ajustes",$A$2:$A$5001,"&lt;"&amp;I4441)&gt;0,1,0),0))</f>
        <v/>
      </c>
      <c r="L4441" s="16" t="str">
        <f aca="false">IF(B4441="","",IF(A4441=_xlfn.MAXIFS($A$2:$A$5001,$B$2:$B$5001,B4441,$I$2:$I$5001,I4441),1,0))</f>
        <v/>
      </c>
    </row>
    <row r="4442" customFormat="false" ht="15" hidden="false" customHeight="false" outlineLevel="0" collapsed="false">
      <c r="I4442" s="15" t="str">
        <f aca="false">IF(A4442="","",INT(A4442))</f>
        <v/>
      </c>
      <c r="J4442" s="16" t="str">
        <f aca="false">IF(B4442="","",IF(A4442=_xlfn.MINIFS($A$2:$A$5001,$B$2:$B$5001,B4442),1,0))</f>
        <v/>
      </c>
      <c r="K4442" s="16" t="str">
        <f aca="false">IF(B4442="","",IF(AND(D4442="Formalização",E4442="Concluído"),IF(COUNTIFS($B$2:$B$5001,B4442,$E$2:$E$5001,"Em ajustes",$A$2:$A$5001,"&lt;"&amp;I4442)&gt;0,1,0),0))</f>
        <v/>
      </c>
      <c r="L4442" s="16" t="str">
        <f aca="false">IF(B4442="","",IF(A4442=_xlfn.MAXIFS($A$2:$A$5001,$B$2:$B$5001,B4442,$I$2:$I$5001,I4442),1,0))</f>
        <v/>
      </c>
    </row>
    <row r="4443" customFormat="false" ht="15" hidden="false" customHeight="false" outlineLevel="0" collapsed="false">
      <c r="I4443" s="15" t="str">
        <f aca="false">IF(A4443="","",INT(A4443))</f>
        <v/>
      </c>
      <c r="J4443" s="16" t="str">
        <f aca="false">IF(B4443="","",IF(A4443=_xlfn.MINIFS($A$2:$A$5001,$B$2:$B$5001,B4443),1,0))</f>
        <v/>
      </c>
      <c r="K4443" s="16" t="str">
        <f aca="false">IF(B4443="","",IF(AND(D4443="Formalização",E4443="Concluído"),IF(COUNTIFS($B$2:$B$5001,B4443,$E$2:$E$5001,"Em ajustes",$A$2:$A$5001,"&lt;"&amp;I4443)&gt;0,1,0),0))</f>
        <v/>
      </c>
      <c r="L4443" s="16" t="str">
        <f aca="false">IF(B4443="","",IF(A4443=_xlfn.MAXIFS($A$2:$A$5001,$B$2:$B$5001,B4443,$I$2:$I$5001,I4443),1,0))</f>
        <v/>
      </c>
    </row>
    <row r="4444" customFormat="false" ht="15" hidden="false" customHeight="false" outlineLevel="0" collapsed="false">
      <c r="I4444" s="15" t="str">
        <f aca="false">IF(A4444="","",INT(A4444))</f>
        <v/>
      </c>
      <c r="J4444" s="16" t="str">
        <f aca="false">IF(B4444="","",IF(A4444=_xlfn.MINIFS($A$2:$A$5001,$B$2:$B$5001,B4444),1,0))</f>
        <v/>
      </c>
      <c r="K4444" s="16" t="str">
        <f aca="false">IF(B4444="","",IF(AND(D4444="Formalização",E4444="Concluído"),IF(COUNTIFS($B$2:$B$5001,B4444,$E$2:$E$5001,"Em ajustes",$A$2:$A$5001,"&lt;"&amp;I4444)&gt;0,1,0),0))</f>
        <v/>
      </c>
      <c r="L4444" s="16" t="str">
        <f aca="false">IF(B4444="","",IF(A4444=_xlfn.MAXIFS($A$2:$A$5001,$B$2:$B$5001,B4444,$I$2:$I$5001,I4444),1,0))</f>
        <v/>
      </c>
    </row>
    <row r="4445" customFormat="false" ht="15" hidden="false" customHeight="false" outlineLevel="0" collapsed="false">
      <c r="I4445" s="15" t="str">
        <f aca="false">IF(A4445="","",INT(A4445))</f>
        <v/>
      </c>
      <c r="J4445" s="16" t="str">
        <f aca="false">IF(B4445="","",IF(A4445=_xlfn.MINIFS($A$2:$A$5001,$B$2:$B$5001,B4445),1,0))</f>
        <v/>
      </c>
      <c r="K4445" s="16" t="str">
        <f aca="false">IF(B4445="","",IF(AND(D4445="Formalização",E4445="Concluído"),IF(COUNTIFS($B$2:$B$5001,B4445,$E$2:$E$5001,"Em ajustes",$A$2:$A$5001,"&lt;"&amp;I4445)&gt;0,1,0),0))</f>
        <v/>
      </c>
      <c r="L4445" s="16" t="str">
        <f aca="false">IF(B4445="","",IF(A4445=_xlfn.MAXIFS($A$2:$A$5001,$B$2:$B$5001,B4445,$I$2:$I$5001,I4445),1,0))</f>
        <v/>
      </c>
    </row>
    <row r="4446" customFormat="false" ht="15" hidden="false" customHeight="false" outlineLevel="0" collapsed="false">
      <c r="I4446" s="15" t="str">
        <f aca="false">IF(A4446="","",INT(A4446))</f>
        <v/>
      </c>
      <c r="J4446" s="16" t="str">
        <f aca="false">IF(B4446="","",IF(A4446=_xlfn.MINIFS($A$2:$A$5001,$B$2:$B$5001,B4446),1,0))</f>
        <v/>
      </c>
      <c r="K4446" s="16" t="str">
        <f aca="false">IF(B4446="","",IF(AND(D4446="Formalização",E4446="Concluído"),IF(COUNTIFS($B$2:$B$5001,B4446,$E$2:$E$5001,"Em ajustes",$A$2:$A$5001,"&lt;"&amp;I4446)&gt;0,1,0),0))</f>
        <v/>
      </c>
      <c r="L4446" s="16" t="str">
        <f aca="false">IF(B4446="","",IF(A4446=_xlfn.MAXIFS($A$2:$A$5001,$B$2:$B$5001,B4446,$I$2:$I$5001,I4446),1,0))</f>
        <v/>
      </c>
    </row>
    <row r="4447" customFormat="false" ht="15" hidden="false" customHeight="false" outlineLevel="0" collapsed="false">
      <c r="I4447" s="15" t="str">
        <f aca="false">IF(A4447="","",INT(A4447))</f>
        <v/>
      </c>
      <c r="J4447" s="16" t="str">
        <f aca="false">IF(B4447="","",IF(A4447=_xlfn.MINIFS($A$2:$A$5001,$B$2:$B$5001,B4447),1,0))</f>
        <v/>
      </c>
      <c r="K4447" s="16" t="str">
        <f aca="false">IF(B4447="","",IF(AND(D4447="Formalização",E4447="Concluído"),IF(COUNTIFS($B$2:$B$5001,B4447,$E$2:$E$5001,"Em ajustes",$A$2:$A$5001,"&lt;"&amp;I4447)&gt;0,1,0),0))</f>
        <v/>
      </c>
      <c r="L4447" s="16" t="str">
        <f aca="false">IF(B4447="","",IF(A4447=_xlfn.MAXIFS($A$2:$A$5001,$B$2:$B$5001,B4447,$I$2:$I$5001,I4447),1,0))</f>
        <v/>
      </c>
    </row>
    <row r="4448" customFormat="false" ht="15" hidden="false" customHeight="false" outlineLevel="0" collapsed="false">
      <c r="I4448" s="15" t="str">
        <f aca="false">IF(A4448="","",INT(A4448))</f>
        <v/>
      </c>
      <c r="J4448" s="16" t="str">
        <f aca="false">IF(B4448="","",IF(A4448=_xlfn.MINIFS($A$2:$A$5001,$B$2:$B$5001,B4448),1,0))</f>
        <v/>
      </c>
      <c r="K4448" s="16" t="str">
        <f aca="false">IF(B4448="","",IF(AND(D4448="Formalização",E4448="Concluído"),IF(COUNTIFS($B$2:$B$5001,B4448,$E$2:$E$5001,"Em ajustes",$A$2:$A$5001,"&lt;"&amp;I4448)&gt;0,1,0),0))</f>
        <v/>
      </c>
      <c r="L4448" s="16" t="str">
        <f aca="false">IF(B4448="","",IF(A4448=_xlfn.MAXIFS($A$2:$A$5001,$B$2:$B$5001,B4448,$I$2:$I$5001,I4448),1,0))</f>
        <v/>
      </c>
    </row>
    <row r="4449" customFormat="false" ht="15" hidden="false" customHeight="false" outlineLevel="0" collapsed="false">
      <c r="I4449" s="15" t="str">
        <f aca="false">IF(A4449="","",INT(A4449))</f>
        <v/>
      </c>
      <c r="J4449" s="16" t="str">
        <f aca="false">IF(B4449="","",IF(A4449=_xlfn.MINIFS($A$2:$A$5001,$B$2:$B$5001,B4449),1,0))</f>
        <v/>
      </c>
      <c r="K4449" s="16" t="str">
        <f aca="false">IF(B4449="","",IF(AND(D4449="Formalização",E4449="Concluído"),IF(COUNTIFS($B$2:$B$5001,B4449,$E$2:$E$5001,"Em ajustes",$A$2:$A$5001,"&lt;"&amp;I4449)&gt;0,1,0),0))</f>
        <v/>
      </c>
      <c r="L4449" s="16" t="str">
        <f aca="false">IF(B4449="","",IF(A4449=_xlfn.MAXIFS($A$2:$A$5001,$B$2:$B$5001,B4449,$I$2:$I$5001,I4449),1,0))</f>
        <v/>
      </c>
    </row>
    <row r="4450" customFormat="false" ht="15" hidden="false" customHeight="false" outlineLevel="0" collapsed="false">
      <c r="I4450" s="15" t="str">
        <f aca="false">IF(A4450="","",INT(A4450))</f>
        <v/>
      </c>
      <c r="J4450" s="16" t="str">
        <f aca="false">IF(B4450="","",IF(A4450=_xlfn.MINIFS($A$2:$A$5001,$B$2:$B$5001,B4450),1,0))</f>
        <v/>
      </c>
      <c r="K4450" s="16" t="str">
        <f aca="false">IF(B4450="","",IF(AND(D4450="Formalização",E4450="Concluído"),IF(COUNTIFS($B$2:$B$5001,B4450,$E$2:$E$5001,"Em ajustes",$A$2:$A$5001,"&lt;"&amp;I4450)&gt;0,1,0),0))</f>
        <v/>
      </c>
      <c r="L4450" s="16" t="str">
        <f aca="false">IF(B4450="","",IF(A4450=_xlfn.MAXIFS($A$2:$A$5001,$B$2:$B$5001,B4450,$I$2:$I$5001,I4450),1,0))</f>
        <v/>
      </c>
    </row>
    <row r="4451" customFormat="false" ht="15" hidden="false" customHeight="false" outlineLevel="0" collapsed="false">
      <c r="I4451" s="15" t="str">
        <f aca="false">IF(A4451="","",INT(A4451))</f>
        <v/>
      </c>
      <c r="J4451" s="16" t="str">
        <f aca="false">IF(B4451="","",IF(A4451=_xlfn.MINIFS($A$2:$A$5001,$B$2:$B$5001,B4451),1,0))</f>
        <v/>
      </c>
      <c r="K4451" s="16" t="str">
        <f aca="false">IF(B4451="","",IF(AND(D4451="Formalização",E4451="Concluído"),IF(COUNTIFS($B$2:$B$5001,B4451,$E$2:$E$5001,"Em ajustes",$A$2:$A$5001,"&lt;"&amp;I4451)&gt;0,1,0),0))</f>
        <v/>
      </c>
      <c r="L4451" s="16" t="str">
        <f aca="false">IF(B4451="","",IF(A4451=_xlfn.MAXIFS($A$2:$A$5001,$B$2:$B$5001,B4451,$I$2:$I$5001,I4451),1,0))</f>
        <v/>
      </c>
    </row>
    <row r="4452" customFormat="false" ht="15" hidden="false" customHeight="false" outlineLevel="0" collapsed="false">
      <c r="I4452" s="15" t="str">
        <f aca="false">IF(A4452="","",INT(A4452))</f>
        <v/>
      </c>
      <c r="J4452" s="16" t="str">
        <f aca="false">IF(B4452="","",IF(A4452=_xlfn.MINIFS($A$2:$A$5001,$B$2:$B$5001,B4452),1,0))</f>
        <v/>
      </c>
      <c r="K4452" s="16" t="str">
        <f aca="false">IF(B4452="","",IF(AND(D4452="Formalização",E4452="Concluído"),IF(COUNTIFS($B$2:$B$5001,B4452,$E$2:$E$5001,"Em ajustes",$A$2:$A$5001,"&lt;"&amp;I4452)&gt;0,1,0),0))</f>
        <v/>
      </c>
      <c r="L4452" s="16" t="str">
        <f aca="false">IF(B4452="","",IF(A4452=_xlfn.MAXIFS($A$2:$A$5001,$B$2:$B$5001,B4452,$I$2:$I$5001,I4452),1,0))</f>
        <v/>
      </c>
    </row>
    <row r="4453" customFormat="false" ht="15" hidden="false" customHeight="false" outlineLevel="0" collapsed="false">
      <c r="I4453" s="15" t="str">
        <f aca="false">IF(A4453="","",INT(A4453))</f>
        <v/>
      </c>
      <c r="J4453" s="16" t="str">
        <f aca="false">IF(B4453="","",IF(A4453=_xlfn.MINIFS($A$2:$A$5001,$B$2:$B$5001,B4453),1,0))</f>
        <v/>
      </c>
      <c r="K4453" s="16" t="str">
        <f aca="false">IF(B4453="","",IF(AND(D4453="Formalização",E4453="Concluído"),IF(COUNTIFS($B$2:$B$5001,B4453,$E$2:$E$5001,"Em ajustes",$A$2:$A$5001,"&lt;"&amp;I4453)&gt;0,1,0),0))</f>
        <v/>
      </c>
      <c r="L4453" s="16" t="str">
        <f aca="false">IF(B4453="","",IF(A4453=_xlfn.MAXIFS($A$2:$A$5001,$B$2:$B$5001,B4453,$I$2:$I$5001,I4453),1,0))</f>
        <v/>
      </c>
    </row>
    <row r="4454" customFormat="false" ht="15" hidden="false" customHeight="false" outlineLevel="0" collapsed="false">
      <c r="I4454" s="15" t="str">
        <f aca="false">IF(A4454="","",INT(A4454))</f>
        <v/>
      </c>
      <c r="J4454" s="16" t="str">
        <f aca="false">IF(B4454="","",IF(A4454=_xlfn.MINIFS($A$2:$A$5001,$B$2:$B$5001,B4454),1,0))</f>
        <v/>
      </c>
      <c r="K4454" s="16" t="str">
        <f aca="false">IF(B4454="","",IF(AND(D4454="Formalização",E4454="Concluído"),IF(COUNTIFS($B$2:$B$5001,B4454,$E$2:$E$5001,"Em ajustes",$A$2:$A$5001,"&lt;"&amp;I4454)&gt;0,1,0),0))</f>
        <v/>
      </c>
      <c r="L4454" s="16" t="str">
        <f aca="false">IF(B4454="","",IF(A4454=_xlfn.MAXIFS($A$2:$A$5001,$B$2:$B$5001,B4454,$I$2:$I$5001,I4454),1,0))</f>
        <v/>
      </c>
    </row>
    <row r="4455" customFormat="false" ht="15" hidden="false" customHeight="false" outlineLevel="0" collapsed="false">
      <c r="I4455" s="15" t="str">
        <f aca="false">IF(A4455="","",INT(A4455))</f>
        <v/>
      </c>
      <c r="J4455" s="16" t="str">
        <f aca="false">IF(B4455="","",IF(A4455=_xlfn.MINIFS($A$2:$A$5001,$B$2:$B$5001,B4455),1,0))</f>
        <v/>
      </c>
      <c r="K4455" s="16" t="str">
        <f aca="false">IF(B4455="","",IF(AND(D4455="Formalização",E4455="Concluído"),IF(COUNTIFS($B$2:$B$5001,B4455,$E$2:$E$5001,"Em ajustes",$A$2:$A$5001,"&lt;"&amp;I4455)&gt;0,1,0),0))</f>
        <v/>
      </c>
      <c r="L4455" s="16" t="str">
        <f aca="false">IF(B4455="","",IF(A4455=_xlfn.MAXIFS($A$2:$A$5001,$B$2:$B$5001,B4455,$I$2:$I$5001,I4455),1,0))</f>
        <v/>
      </c>
    </row>
    <row r="4456" customFormat="false" ht="15" hidden="false" customHeight="false" outlineLevel="0" collapsed="false">
      <c r="I4456" s="15" t="str">
        <f aca="false">IF(A4456="","",INT(A4456))</f>
        <v/>
      </c>
      <c r="J4456" s="16" t="str">
        <f aca="false">IF(B4456="","",IF(A4456=_xlfn.MINIFS($A$2:$A$5001,$B$2:$B$5001,B4456),1,0))</f>
        <v/>
      </c>
      <c r="K4456" s="16" t="str">
        <f aca="false">IF(B4456="","",IF(AND(D4456="Formalização",E4456="Concluído"),IF(COUNTIFS($B$2:$B$5001,B4456,$E$2:$E$5001,"Em ajustes",$A$2:$A$5001,"&lt;"&amp;I4456)&gt;0,1,0),0))</f>
        <v/>
      </c>
      <c r="L4456" s="16" t="str">
        <f aca="false">IF(B4456="","",IF(A4456=_xlfn.MAXIFS($A$2:$A$5001,$B$2:$B$5001,B4456,$I$2:$I$5001,I4456),1,0))</f>
        <v/>
      </c>
    </row>
    <row r="4457" customFormat="false" ht="15" hidden="false" customHeight="false" outlineLevel="0" collapsed="false">
      <c r="I4457" s="15" t="str">
        <f aca="false">IF(A4457="","",INT(A4457))</f>
        <v/>
      </c>
      <c r="J4457" s="16" t="str">
        <f aca="false">IF(B4457="","",IF(A4457=_xlfn.MINIFS($A$2:$A$5001,$B$2:$B$5001,B4457),1,0))</f>
        <v/>
      </c>
      <c r="K4457" s="16" t="str">
        <f aca="false">IF(B4457="","",IF(AND(D4457="Formalização",E4457="Concluído"),IF(COUNTIFS($B$2:$B$5001,B4457,$E$2:$E$5001,"Em ajustes",$A$2:$A$5001,"&lt;"&amp;I4457)&gt;0,1,0),0))</f>
        <v/>
      </c>
      <c r="L4457" s="16" t="str">
        <f aca="false">IF(B4457="","",IF(A4457=_xlfn.MAXIFS($A$2:$A$5001,$B$2:$B$5001,B4457,$I$2:$I$5001,I4457),1,0))</f>
        <v/>
      </c>
    </row>
    <row r="4458" customFormat="false" ht="15" hidden="false" customHeight="false" outlineLevel="0" collapsed="false">
      <c r="I4458" s="15" t="str">
        <f aca="false">IF(A4458="","",INT(A4458))</f>
        <v/>
      </c>
      <c r="J4458" s="16" t="str">
        <f aca="false">IF(B4458="","",IF(A4458=_xlfn.MINIFS($A$2:$A$5001,$B$2:$B$5001,B4458),1,0))</f>
        <v/>
      </c>
      <c r="K4458" s="16" t="str">
        <f aca="false">IF(B4458="","",IF(AND(D4458="Formalização",E4458="Concluído"),IF(COUNTIFS($B$2:$B$5001,B4458,$E$2:$E$5001,"Em ajustes",$A$2:$A$5001,"&lt;"&amp;I4458)&gt;0,1,0),0))</f>
        <v/>
      </c>
      <c r="L4458" s="16" t="str">
        <f aca="false">IF(B4458="","",IF(A4458=_xlfn.MAXIFS($A$2:$A$5001,$B$2:$B$5001,B4458,$I$2:$I$5001,I4458),1,0))</f>
        <v/>
      </c>
    </row>
    <row r="4459" customFormat="false" ht="15" hidden="false" customHeight="false" outlineLevel="0" collapsed="false">
      <c r="I4459" s="15" t="str">
        <f aca="false">IF(A4459="","",INT(A4459))</f>
        <v/>
      </c>
      <c r="J4459" s="16" t="str">
        <f aca="false">IF(B4459="","",IF(A4459=_xlfn.MINIFS($A$2:$A$5001,$B$2:$B$5001,B4459),1,0))</f>
        <v/>
      </c>
      <c r="K4459" s="16" t="str">
        <f aca="false">IF(B4459="","",IF(AND(D4459="Formalização",E4459="Concluído"),IF(COUNTIFS($B$2:$B$5001,B4459,$E$2:$E$5001,"Em ajustes",$A$2:$A$5001,"&lt;"&amp;I4459)&gt;0,1,0),0))</f>
        <v/>
      </c>
      <c r="L4459" s="16" t="str">
        <f aca="false">IF(B4459="","",IF(A4459=_xlfn.MAXIFS($A$2:$A$5001,$B$2:$B$5001,B4459,$I$2:$I$5001,I4459),1,0))</f>
        <v/>
      </c>
    </row>
    <row r="4460" customFormat="false" ht="15" hidden="false" customHeight="false" outlineLevel="0" collapsed="false">
      <c r="I4460" s="15" t="str">
        <f aca="false">IF(A4460="","",INT(A4460))</f>
        <v/>
      </c>
      <c r="J4460" s="16" t="str">
        <f aca="false">IF(B4460="","",IF(A4460=_xlfn.MINIFS($A$2:$A$5001,$B$2:$B$5001,B4460),1,0))</f>
        <v/>
      </c>
      <c r="K4460" s="16" t="str">
        <f aca="false">IF(B4460="","",IF(AND(D4460="Formalização",E4460="Concluído"),IF(COUNTIFS($B$2:$B$5001,B4460,$E$2:$E$5001,"Em ajustes",$A$2:$A$5001,"&lt;"&amp;I4460)&gt;0,1,0),0))</f>
        <v/>
      </c>
      <c r="L4460" s="16" t="str">
        <f aca="false">IF(B4460="","",IF(A4460=_xlfn.MAXIFS($A$2:$A$5001,$B$2:$B$5001,B4460,$I$2:$I$5001,I4460),1,0))</f>
        <v/>
      </c>
    </row>
    <row r="4461" customFormat="false" ht="15" hidden="false" customHeight="false" outlineLevel="0" collapsed="false">
      <c r="I4461" s="15" t="str">
        <f aca="false">IF(A4461="","",INT(A4461))</f>
        <v/>
      </c>
      <c r="J4461" s="16" t="str">
        <f aca="false">IF(B4461="","",IF(A4461=_xlfn.MINIFS($A$2:$A$5001,$B$2:$B$5001,B4461),1,0))</f>
        <v/>
      </c>
      <c r="K4461" s="16" t="str">
        <f aca="false">IF(B4461="","",IF(AND(D4461="Formalização",E4461="Concluído"),IF(COUNTIFS($B$2:$B$5001,B4461,$E$2:$E$5001,"Em ajustes",$A$2:$A$5001,"&lt;"&amp;I4461)&gt;0,1,0),0))</f>
        <v/>
      </c>
      <c r="L4461" s="16" t="str">
        <f aca="false">IF(B4461="","",IF(A4461=_xlfn.MAXIFS($A$2:$A$5001,$B$2:$B$5001,B4461,$I$2:$I$5001,I4461),1,0))</f>
        <v/>
      </c>
    </row>
    <row r="4462" customFormat="false" ht="15" hidden="false" customHeight="false" outlineLevel="0" collapsed="false">
      <c r="I4462" s="15" t="str">
        <f aca="false">IF(A4462="","",INT(A4462))</f>
        <v/>
      </c>
      <c r="J4462" s="16" t="str">
        <f aca="false">IF(B4462="","",IF(A4462=_xlfn.MINIFS($A$2:$A$5001,$B$2:$B$5001,B4462),1,0))</f>
        <v/>
      </c>
      <c r="K4462" s="16" t="str">
        <f aca="false">IF(B4462="","",IF(AND(D4462="Formalização",E4462="Concluído"),IF(COUNTIFS($B$2:$B$5001,B4462,$E$2:$E$5001,"Em ajustes",$A$2:$A$5001,"&lt;"&amp;I4462)&gt;0,1,0),0))</f>
        <v/>
      </c>
      <c r="L4462" s="16" t="str">
        <f aca="false">IF(B4462="","",IF(A4462=_xlfn.MAXIFS($A$2:$A$5001,$B$2:$B$5001,B4462,$I$2:$I$5001,I4462),1,0))</f>
        <v/>
      </c>
    </row>
    <row r="4463" customFormat="false" ht="15" hidden="false" customHeight="false" outlineLevel="0" collapsed="false">
      <c r="I4463" s="15" t="str">
        <f aca="false">IF(A4463="","",INT(A4463))</f>
        <v/>
      </c>
      <c r="J4463" s="16" t="str">
        <f aca="false">IF(B4463="","",IF(A4463=_xlfn.MINIFS($A$2:$A$5001,$B$2:$B$5001,B4463),1,0))</f>
        <v/>
      </c>
      <c r="K4463" s="16" t="str">
        <f aca="false">IF(B4463="","",IF(AND(D4463="Formalização",E4463="Concluído"),IF(COUNTIFS($B$2:$B$5001,B4463,$E$2:$E$5001,"Em ajustes",$A$2:$A$5001,"&lt;"&amp;I4463)&gt;0,1,0),0))</f>
        <v/>
      </c>
      <c r="L4463" s="16" t="str">
        <f aca="false">IF(B4463="","",IF(A4463=_xlfn.MAXIFS($A$2:$A$5001,$B$2:$B$5001,B4463,$I$2:$I$5001,I4463),1,0))</f>
        <v/>
      </c>
    </row>
    <row r="4464" customFormat="false" ht="15" hidden="false" customHeight="false" outlineLevel="0" collapsed="false">
      <c r="I4464" s="15" t="str">
        <f aca="false">IF(A4464="","",INT(A4464))</f>
        <v/>
      </c>
      <c r="J4464" s="16" t="str">
        <f aca="false">IF(B4464="","",IF(A4464=_xlfn.MINIFS($A$2:$A$5001,$B$2:$B$5001,B4464),1,0))</f>
        <v/>
      </c>
      <c r="K4464" s="16" t="str">
        <f aca="false">IF(B4464="","",IF(AND(D4464="Formalização",E4464="Concluído"),IF(COUNTIFS($B$2:$B$5001,B4464,$E$2:$E$5001,"Em ajustes",$A$2:$A$5001,"&lt;"&amp;I4464)&gt;0,1,0),0))</f>
        <v/>
      </c>
      <c r="L4464" s="16" t="str">
        <f aca="false">IF(B4464="","",IF(A4464=_xlfn.MAXIFS($A$2:$A$5001,$B$2:$B$5001,B4464,$I$2:$I$5001,I4464),1,0))</f>
        <v/>
      </c>
    </row>
    <row r="4465" customFormat="false" ht="15" hidden="false" customHeight="false" outlineLevel="0" collapsed="false">
      <c r="I4465" s="15" t="str">
        <f aca="false">IF(A4465="","",INT(A4465))</f>
        <v/>
      </c>
      <c r="J4465" s="16" t="str">
        <f aca="false">IF(B4465="","",IF(A4465=_xlfn.MINIFS($A$2:$A$5001,$B$2:$B$5001,B4465),1,0))</f>
        <v/>
      </c>
      <c r="K4465" s="16" t="str">
        <f aca="false">IF(B4465="","",IF(AND(D4465="Formalização",E4465="Concluído"),IF(COUNTIFS($B$2:$B$5001,B4465,$E$2:$E$5001,"Em ajustes",$A$2:$A$5001,"&lt;"&amp;I4465)&gt;0,1,0),0))</f>
        <v/>
      </c>
      <c r="L4465" s="16" t="str">
        <f aca="false">IF(B4465="","",IF(A4465=_xlfn.MAXIFS($A$2:$A$5001,$B$2:$B$5001,B4465,$I$2:$I$5001,I4465),1,0))</f>
        <v/>
      </c>
    </row>
    <row r="4466" customFormat="false" ht="15" hidden="false" customHeight="false" outlineLevel="0" collapsed="false">
      <c r="I4466" s="15" t="str">
        <f aca="false">IF(A4466="","",INT(A4466))</f>
        <v/>
      </c>
      <c r="J4466" s="16" t="str">
        <f aca="false">IF(B4466="","",IF(A4466=_xlfn.MINIFS($A$2:$A$5001,$B$2:$B$5001,B4466),1,0))</f>
        <v/>
      </c>
      <c r="K4466" s="16" t="str">
        <f aca="false">IF(B4466="","",IF(AND(D4466="Formalização",E4466="Concluído"),IF(COUNTIFS($B$2:$B$5001,B4466,$E$2:$E$5001,"Em ajustes",$A$2:$A$5001,"&lt;"&amp;I4466)&gt;0,1,0),0))</f>
        <v/>
      </c>
      <c r="L4466" s="16" t="str">
        <f aca="false">IF(B4466="","",IF(A4466=_xlfn.MAXIFS($A$2:$A$5001,$B$2:$B$5001,B4466,$I$2:$I$5001,I4466),1,0))</f>
        <v/>
      </c>
    </row>
    <row r="4467" customFormat="false" ht="15" hidden="false" customHeight="false" outlineLevel="0" collapsed="false">
      <c r="I4467" s="15" t="str">
        <f aca="false">IF(A4467="","",INT(A4467))</f>
        <v/>
      </c>
      <c r="J4467" s="16" t="str">
        <f aca="false">IF(B4467="","",IF(A4467=_xlfn.MINIFS($A$2:$A$5001,$B$2:$B$5001,B4467),1,0))</f>
        <v/>
      </c>
      <c r="K4467" s="16" t="str">
        <f aca="false">IF(B4467="","",IF(AND(D4467="Formalização",E4467="Concluído"),IF(COUNTIFS($B$2:$B$5001,B4467,$E$2:$E$5001,"Em ajustes",$A$2:$A$5001,"&lt;"&amp;I4467)&gt;0,1,0),0))</f>
        <v/>
      </c>
      <c r="L4467" s="16" t="str">
        <f aca="false">IF(B4467="","",IF(A4467=_xlfn.MAXIFS($A$2:$A$5001,$B$2:$B$5001,B4467,$I$2:$I$5001,I4467),1,0))</f>
        <v/>
      </c>
    </row>
    <row r="4468" customFormat="false" ht="15" hidden="false" customHeight="false" outlineLevel="0" collapsed="false">
      <c r="I4468" s="15" t="str">
        <f aca="false">IF(A4468="","",INT(A4468))</f>
        <v/>
      </c>
      <c r="J4468" s="16" t="str">
        <f aca="false">IF(B4468="","",IF(A4468=_xlfn.MINIFS($A$2:$A$5001,$B$2:$B$5001,B4468),1,0))</f>
        <v/>
      </c>
      <c r="K4468" s="16" t="str">
        <f aca="false">IF(B4468="","",IF(AND(D4468="Formalização",E4468="Concluído"),IF(COUNTIFS($B$2:$B$5001,B4468,$E$2:$E$5001,"Em ajustes",$A$2:$A$5001,"&lt;"&amp;I4468)&gt;0,1,0),0))</f>
        <v/>
      </c>
      <c r="L4468" s="16" t="str">
        <f aca="false">IF(B4468="","",IF(A4468=_xlfn.MAXIFS($A$2:$A$5001,$B$2:$B$5001,B4468,$I$2:$I$5001,I4468),1,0))</f>
        <v/>
      </c>
    </row>
    <row r="4469" customFormat="false" ht="15" hidden="false" customHeight="false" outlineLevel="0" collapsed="false">
      <c r="I4469" s="15" t="str">
        <f aca="false">IF(A4469="","",INT(A4469))</f>
        <v/>
      </c>
      <c r="J4469" s="16" t="str">
        <f aca="false">IF(B4469="","",IF(A4469=_xlfn.MINIFS($A$2:$A$5001,$B$2:$B$5001,B4469),1,0))</f>
        <v/>
      </c>
      <c r="K4469" s="16" t="str">
        <f aca="false">IF(B4469="","",IF(AND(D4469="Formalização",E4469="Concluído"),IF(COUNTIFS($B$2:$B$5001,B4469,$E$2:$E$5001,"Em ajustes",$A$2:$A$5001,"&lt;"&amp;I4469)&gt;0,1,0),0))</f>
        <v/>
      </c>
      <c r="L4469" s="16" t="str">
        <f aca="false">IF(B4469="","",IF(A4469=_xlfn.MAXIFS($A$2:$A$5001,$B$2:$B$5001,B4469,$I$2:$I$5001,I4469),1,0))</f>
        <v/>
      </c>
    </row>
    <row r="4470" customFormat="false" ht="15" hidden="false" customHeight="false" outlineLevel="0" collapsed="false">
      <c r="I4470" s="15" t="str">
        <f aca="false">IF(A4470="","",INT(A4470))</f>
        <v/>
      </c>
      <c r="J4470" s="16" t="str">
        <f aca="false">IF(B4470="","",IF(A4470=_xlfn.MINIFS($A$2:$A$5001,$B$2:$B$5001,B4470),1,0))</f>
        <v/>
      </c>
      <c r="K4470" s="16" t="str">
        <f aca="false">IF(B4470="","",IF(AND(D4470="Formalização",E4470="Concluído"),IF(COUNTIFS($B$2:$B$5001,B4470,$E$2:$E$5001,"Em ajustes",$A$2:$A$5001,"&lt;"&amp;I4470)&gt;0,1,0),0))</f>
        <v/>
      </c>
      <c r="L4470" s="16" t="str">
        <f aca="false">IF(B4470="","",IF(A4470=_xlfn.MAXIFS($A$2:$A$5001,$B$2:$B$5001,B4470,$I$2:$I$5001,I4470),1,0))</f>
        <v/>
      </c>
    </row>
    <row r="4471" customFormat="false" ht="15" hidden="false" customHeight="false" outlineLevel="0" collapsed="false">
      <c r="I4471" s="15" t="str">
        <f aca="false">IF(A4471="","",INT(A4471))</f>
        <v/>
      </c>
      <c r="J4471" s="16" t="str">
        <f aca="false">IF(B4471="","",IF(A4471=_xlfn.MINIFS($A$2:$A$5001,$B$2:$B$5001,B4471),1,0))</f>
        <v/>
      </c>
      <c r="K4471" s="16" t="str">
        <f aca="false">IF(B4471="","",IF(AND(D4471="Formalização",E4471="Concluído"),IF(COUNTIFS($B$2:$B$5001,B4471,$E$2:$E$5001,"Em ajustes",$A$2:$A$5001,"&lt;"&amp;I4471)&gt;0,1,0),0))</f>
        <v/>
      </c>
      <c r="L4471" s="16" t="str">
        <f aca="false">IF(B4471="","",IF(A4471=_xlfn.MAXIFS($A$2:$A$5001,$B$2:$B$5001,B4471,$I$2:$I$5001,I4471),1,0))</f>
        <v/>
      </c>
    </row>
    <row r="4472" customFormat="false" ht="15" hidden="false" customHeight="false" outlineLevel="0" collapsed="false">
      <c r="I4472" s="15" t="str">
        <f aca="false">IF(A4472="","",INT(A4472))</f>
        <v/>
      </c>
      <c r="J4472" s="16" t="str">
        <f aca="false">IF(B4472="","",IF(A4472=_xlfn.MINIFS($A$2:$A$5001,$B$2:$B$5001,B4472),1,0))</f>
        <v/>
      </c>
      <c r="K4472" s="16" t="str">
        <f aca="false">IF(B4472="","",IF(AND(D4472="Formalização",E4472="Concluído"),IF(COUNTIFS($B$2:$B$5001,B4472,$E$2:$E$5001,"Em ajustes",$A$2:$A$5001,"&lt;"&amp;I4472)&gt;0,1,0),0))</f>
        <v/>
      </c>
      <c r="L4472" s="16" t="str">
        <f aca="false">IF(B4472="","",IF(A4472=_xlfn.MAXIFS($A$2:$A$5001,$B$2:$B$5001,B4472,$I$2:$I$5001,I4472),1,0))</f>
        <v/>
      </c>
    </row>
    <row r="4473" customFormat="false" ht="15" hidden="false" customHeight="false" outlineLevel="0" collapsed="false">
      <c r="I4473" s="15" t="str">
        <f aca="false">IF(A4473="","",INT(A4473))</f>
        <v/>
      </c>
      <c r="J4473" s="16" t="str">
        <f aca="false">IF(B4473="","",IF(A4473=_xlfn.MINIFS($A$2:$A$5001,$B$2:$B$5001,B4473),1,0))</f>
        <v/>
      </c>
      <c r="K4473" s="16" t="str">
        <f aca="false">IF(B4473="","",IF(AND(D4473="Formalização",E4473="Concluído"),IF(COUNTIFS($B$2:$B$5001,B4473,$E$2:$E$5001,"Em ajustes",$A$2:$A$5001,"&lt;"&amp;I4473)&gt;0,1,0),0))</f>
        <v/>
      </c>
      <c r="L4473" s="16" t="str">
        <f aca="false">IF(B4473="","",IF(A4473=_xlfn.MAXIFS($A$2:$A$5001,$B$2:$B$5001,B4473,$I$2:$I$5001,I4473),1,0))</f>
        <v/>
      </c>
    </row>
    <row r="4474" customFormat="false" ht="15" hidden="false" customHeight="false" outlineLevel="0" collapsed="false">
      <c r="I4474" s="15" t="str">
        <f aca="false">IF(A4474="","",INT(A4474))</f>
        <v/>
      </c>
      <c r="J4474" s="16" t="str">
        <f aca="false">IF(B4474="","",IF(A4474=_xlfn.MINIFS($A$2:$A$5001,$B$2:$B$5001,B4474),1,0))</f>
        <v/>
      </c>
      <c r="K4474" s="16" t="str">
        <f aca="false">IF(B4474="","",IF(AND(D4474="Formalização",E4474="Concluído"),IF(COUNTIFS($B$2:$B$5001,B4474,$E$2:$E$5001,"Em ajustes",$A$2:$A$5001,"&lt;"&amp;I4474)&gt;0,1,0),0))</f>
        <v/>
      </c>
      <c r="L4474" s="16" t="str">
        <f aca="false">IF(B4474="","",IF(A4474=_xlfn.MAXIFS($A$2:$A$5001,$B$2:$B$5001,B4474,$I$2:$I$5001,I4474),1,0))</f>
        <v/>
      </c>
    </row>
    <row r="4475" customFormat="false" ht="15" hidden="false" customHeight="false" outlineLevel="0" collapsed="false">
      <c r="I4475" s="15" t="str">
        <f aca="false">IF(A4475="","",INT(A4475))</f>
        <v/>
      </c>
      <c r="J4475" s="16" t="str">
        <f aca="false">IF(B4475="","",IF(A4475=_xlfn.MINIFS($A$2:$A$5001,$B$2:$B$5001,B4475),1,0))</f>
        <v/>
      </c>
      <c r="K4475" s="16" t="str">
        <f aca="false">IF(B4475="","",IF(AND(D4475="Formalização",E4475="Concluído"),IF(COUNTIFS($B$2:$B$5001,B4475,$E$2:$E$5001,"Em ajustes",$A$2:$A$5001,"&lt;"&amp;I4475)&gt;0,1,0),0))</f>
        <v/>
      </c>
      <c r="L4475" s="16" t="str">
        <f aca="false">IF(B4475="","",IF(A4475=_xlfn.MAXIFS($A$2:$A$5001,$B$2:$B$5001,B4475,$I$2:$I$5001,I4475),1,0))</f>
        <v/>
      </c>
    </row>
    <row r="4476" customFormat="false" ht="15" hidden="false" customHeight="false" outlineLevel="0" collapsed="false">
      <c r="I4476" s="15" t="str">
        <f aca="false">IF(A4476="","",INT(A4476))</f>
        <v/>
      </c>
      <c r="J4476" s="16" t="str">
        <f aca="false">IF(B4476="","",IF(A4476=_xlfn.MINIFS($A$2:$A$5001,$B$2:$B$5001,B4476),1,0))</f>
        <v/>
      </c>
      <c r="K4476" s="16" t="str">
        <f aca="false">IF(B4476="","",IF(AND(D4476="Formalização",E4476="Concluído"),IF(COUNTIFS($B$2:$B$5001,B4476,$E$2:$E$5001,"Em ajustes",$A$2:$A$5001,"&lt;"&amp;I4476)&gt;0,1,0),0))</f>
        <v/>
      </c>
      <c r="L4476" s="16" t="str">
        <f aca="false">IF(B4476="","",IF(A4476=_xlfn.MAXIFS($A$2:$A$5001,$B$2:$B$5001,B4476,$I$2:$I$5001,I4476),1,0))</f>
        <v/>
      </c>
    </row>
    <row r="4477" customFormat="false" ht="15" hidden="false" customHeight="false" outlineLevel="0" collapsed="false">
      <c r="I4477" s="15" t="str">
        <f aca="false">IF(A4477="","",INT(A4477))</f>
        <v/>
      </c>
      <c r="J4477" s="16" t="str">
        <f aca="false">IF(B4477="","",IF(A4477=_xlfn.MINIFS($A$2:$A$5001,$B$2:$B$5001,B4477),1,0))</f>
        <v/>
      </c>
      <c r="K4477" s="16" t="str">
        <f aca="false">IF(B4477="","",IF(AND(D4477="Formalização",E4477="Concluído"),IF(COUNTIFS($B$2:$B$5001,B4477,$E$2:$E$5001,"Em ajustes",$A$2:$A$5001,"&lt;"&amp;I4477)&gt;0,1,0),0))</f>
        <v/>
      </c>
      <c r="L4477" s="16" t="str">
        <f aca="false">IF(B4477="","",IF(A4477=_xlfn.MAXIFS($A$2:$A$5001,$B$2:$B$5001,B4477,$I$2:$I$5001,I4477),1,0))</f>
        <v/>
      </c>
    </row>
    <row r="4478" customFormat="false" ht="15" hidden="false" customHeight="false" outlineLevel="0" collapsed="false">
      <c r="I4478" s="15" t="str">
        <f aca="false">IF(A4478="","",INT(A4478))</f>
        <v/>
      </c>
      <c r="J4478" s="16" t="str">
        <f aca="false">IF(B4478="","",IF(A4478=_xlfn.MINIFS($A$2:$A$5001,$B$2:$B$5001,B4478),1,0))</f>
        <v/>
      </c>
      <c r="K4478" s="16" t="str">
        <f aca="false">IF(B4478="","",IF(AND(D4478="Formalização",E4478="Concluído"),IF(COUNTIFS($B$2:$B$5001,B4478,$E$2:$E$5001,"Em ajustes",$A$2:$A$5001,"&lt;"&amp;I4478)&gt;0,1,0),0))</f>
        <v/>
      </c>
      <c r="L4478" s="16" t="str">
        <f aca="false">IF(B4478="","",IF(A4478=_xlfn.MAXIFS($A$2:$A$5001,$B$2:$B$5001,B4478,$I$2:$I$5001,I4478),1,0))</f>
        <v/>
      </c>
    </row>
    <row r="4479" customFormat="false" ht="15" hidden="false" customHeight="false" outlineLevel="0" collapsed="false">
      <c r="I4479" s="15" t="str">
        <f aca="false">IF(A4479="","",INT(A4479))</f>
        <v/>
      </c>
      <c r="J4479" s="16" t="str">
        <f aca="false">IF(B4479="","",IF(A4479=_xlfn.MINIFS($A$2:$A$5001,$B$2:$B$5001,B4479),1,0))</f>
        <v/>
      </c>
      <c r="K4479" s="16" t="str">
        <f aca="false">IF(B4479="","",IF(AND(D4479="Formalização",E4479="Concluído"),IF(COUNTIFS($B$2:$B$5001,B4479,$E$2:$E$5001,"Em ajustes",$A$2:$A$5001,"&lt;"&amp;I4479)&gt;0,1,0),0))</f>
        <v/>
      </c>
      <c r="L4479" s="16" t="str">
        <f aca="false">IF(B4479="","",IF(A4479=_xlfn.MAXIFS($A$2:$A$5001,$B$2:$B$5001,B4479,$I$2:$I$5001,I4479),1,0))</f>
        <v/>
      </c>
    </row>
    <row r="4480" customFormat="false" ht="15" hidden="false" customHeight="false" outlineLevel="0" collapsed="false">
      <c r="I4480" s="15" t="str">
        <f aca="false">IF(A4480="","",INT(A4480))</f>
        <v/>
      </c>
      <c r="J4480" s="16" t="str">
        <f aca="false">IF(B4480="","",IF(A4480=_xlfn.MINIFS($A$2:$A$5001,$B$2:$B$5001,B4480),1,0))</f>
        <v/>
      </c>
      <c r="K4480" s="16" t="str">
        <f aca="false">IF(B4480="","",IF(AND(D4480="Formalização",E4480="Concluído"),IF(COUNTIFS($B$2:$B$5001,B4480,$E$2:$E$5001,"Em ajustes",$A$2:$A$5001,"&lt;"&amp;I4480)&gt;0,1,0),0))</f>
        <v/>
      </c>
      <c r="L4480" s="16" t="str">
        <f aca="false">IF(B4480="","",IF(A4480=_xlfn.MAXIFS($A$2:$A$5001,$B$2:$B$5001,B4480,$I$2:$I$5001,I4480),1,0))</f>
        <v/>
      </c>
    </row>
    <row r="4481" customFormat="false" ht="15" hidden="false" customHeight="false" outlineLevel="0" collapsed="false">
      <c r="I4481" s="15" t="str">
        <f aca="false">IF(A4481="","",INT(A4481))</f>
        <v/>
      </c>
      <c r="J4481" s="16" t="str">
        <f aca="false">IF(B4481="","",IF(A4481=_xlfn.MINIFS($A$2:$A$5001,$B$2:$B$5001,B4481),1,0))</f>
        <v/>
      </c>
      <c r="K4481" s="16" t="str">
        <f aca="false">IF(B4481="","",IF(AND(D4481="Formalização",E4481="Concluído"),IF(COUNTIFS($B$2:$B$5001,B4481,$E$2:$E$5001,"Em ajustes",$A$2:$A$5001,"&lt;"&amp;I4481)&gt;0,1,0),0))</f>
        <v/>
      </c>
      <c r="L4481" s="16" t="str">
        <f aca="false">IF(B4481="","",IF(A4481=_xlfn.MAXIFS($A$2:$A$5001,$B$2:$B$5001,B4481,$I$2:$I$5001,I4481),1,0))</f>
        <v/>
      </c>
    </row>
    <row r="4482" customFormat="false" ht="15" hidden="false" customHeight="false" outlineLevel="0" collapsed="false">
      <c r="I4482" s="15" t="str">
        <f aca="false">IF(A4482="","",INT(A4482))</f>
        <v/>
      </c>
      <c r="J4482" s="16" t="str">
        <f aca="false">IF(B4482="","",IF(A4482=_xlfn.MINIFS($A$2:$A$5001,$B$2:$B$5001,B4482),1,0))</f>
        <v/>
      </c>
      <c r="K4482" s="16" t="str">
        <f aca="false">IF(B4482="","",IF(AND(D4482="Formalização",E4482="Concluído"),IF(COUNTIFS($B$2:$B$5001,B4482,$E$2:$E$5001,"Em ajustes",$A$2:$A$5001,"&lt;"&amp;I4482)&gt;0,1,0),0))</f>
        <v/>
      </c>
      <c r="L4482" s="16" t="str">
        <f aca="false">IF(B4482="","",IF(A4482=_xlfn.MAXIFS($A$2:$A$5001,$B$2:$B$5001,B4482,$I$2:$I$5001,I4482),1,0))</f>
        <v/>
      </c>
    </row>
    <row r="4483" customFormat="false" ht="15" hidden="false" customHeight="false" outlineLevel="0" collapsed="false">
      <c r="I4483" s="15" t="str">
        <f aca="false">IF(A4483="","",INT(A4483))</f>
        <v/>
      </c>
      <c r="J4483" s="16" t="str">
        <f aca="false">IF(B4483="","",IF(A4483=_xlfn.MINIFS($A$2:$A$5001,$B$2:$B$5001,B4483),1,0))</f>
        <v/>
      </c>
      <c r="K4483" s="16" t="str">
        <f aca="false">IF(B4483="","",IF(AND(D4483="Formalização",E4483="Concluído"),IF(COUNTIFS($B$2:$B$5001,B4483,$E$2:$E$5001,"Em ajustes",$A$2:$A$5001,"&lt;"&amp;I4483)&gt;0,1,0),0))</f>
        <v/>
      </c>
      <c r="L4483" s="16" t="str">
        <f aca="false">IF(B4483="","",IF(A4483=_xlfn.MAXIFS($A$2:$A$5001,$B$2:$B$5001,B4483,$I$2:$I$5001,I4483),1,0))</f>
        <v/>
      </c>
    </row>
    <row r="4484" customFormat="false" ht="15" hidden="false" customHeight="false" outlineLevel="0" collapsed="false">
      <c r="I4484" s="15" t="str">
        <f aca="false">IF(A4484="","",INT(A4484))</f>
        <v/>
      </c>
      <c r="J4484" s="16" t="str">
        <f aca="false">IF(B4484="","",IF(A4484=_xlfn.MINIFS($A$2:$A$5001,$B$2:$B$5001,B4484),1,0))</f>
        <v/>
      </c>
      <c r="K4484" s="16" t="str">
        <f aca="false">IF(B4484="","",IF(AND(D4484="Formalização",E4484="Concluído"),IF(COUNTIFS($B$2:$B$5001,B4484,$E$2:$E$5001,"Em ajustes",$A$2:$A$5001,"&lt;"&amp;I4484)&gt;0,1,0),0))</f>
        <v/>
      </c>
      <c r="L4484" s="16" t="str">
        <f aca="false">IF(B4484="","",IF(A4484=_xlfn.MAXIFS($A$2:$A$5001,$B$2:$B$5001,B4484,$I$2:$I$5001,I4484),1,0))</f>
        <v/>
      </c>
    </row>
    <row r="4485" customFormat="false" ht="15" hidden="false" customHeight="false" outlineLevel="0" collapsed="false">
      <c r="I4485" s="15" t="str">
        <f aca="false">IF(A4485="","",INT(A4485))</f>
        <v/>
      </c>
      <c r="J4485" s="16" t="str">
        <f aca="false">IF(B4485="","",IF(A4485=_xlfn.MINIFS($A$2:$A$5001,$B$2:$B$5001,B4485),1,0))</f>
        <v/>
      </c>
      <c r="K4485" s="16" t="str">
        <f aca="false">IF(B4485="","",IF(AND(D4485="Formalização",E4485="Concluído"),IF(COUNTIFS($B$2:$B$5001,B4485,$E$2:$E$5001,"Em ajustes",$A$2:$A$5001,"&lt;"&amp;I4485)&gt;0,1,0),0))</f>
        <v/>
      </c>
      <c r="L4485" s="16" t="str">
        <f aca="false">IF(B4485="","",IF(A4485=_xlfn.MAXIFS($A$2:$A$5001,$B$2:$B$5001,B4485,$I$2:$I$5001,I4485),1,0))</f>
        <v/>
      </c>
    </row>
    <row r="4486" customFormat="false" ht="15" hidden="false" customHeight="false" outlineLevel="0" collapsed="false">
      <c r="I4486" s="15" t="str">
        <f aca="false">IF(A4486="","",INT(A4486))</f>
        <v/>
      </c>
      <c r="J4486" s="16" t="str">
        <f aca="false">IF(B4486="","",IF(A4486=_xlfn.MINIFS($A$2:$A$5001,$B$2:$B$5001,B4486),1,0))</f>
        <v/>
      </c>
      <c r="K4486" s="16" t="str">
        <f aca="false">IF(B4486="","",IF(AND(D4486="Formalização",E4486="Concluído"),IF(COUNTIFS($B$2:$B$5001,B4486,$E$2:$E$5001,"Em ajustes",$A$2:$A$5001,"&lt;"&amp;I4486)&gt;0,1,0),0))</f>
        <v/>
      </c>
      <c r="L4486" s="16" t="str">
        <f aca="false">IF(B4486="","",IF(A4486=_xlfn.MAXIFS($A$2:$A$5001,$B$2:$B$5001,B4486,$I$2:$I$5001,I4486),1,0))</f>
        <v/>
      </c>
    </row>
    <row r="4487" customFormat="false" ht="15" hidden="false" customHeight="false" outlineLevel="0" collapsed="false">
      <c r="I4487" s="15" t="str">
        <f aca="false">IF(A4487="","",INT(A4487))</f>
        <v/>
      </c>
      <c r="J4487" s="16" t="str">
        <f aca="false">IF(B4487="","",IF(A4487=_xlfn.MINIFS($A$2:$A$5001,$B$2:$B$5001,B4487),1,0))</f>
        <v/>
      </c>
      <c r="K4487" s="16" t="str">
        <f aca="false">IF(B4487="","",IF(AND(D4487="Formalização",E4487="Concluído"),IF(COUNTIFS($B$2:$B$5001,B4487,$E$2:$E$5001,"Em ajustes",$A$2:$A$5001,"&lt;"&amp;I4487)&gt;0,1,0),0))</f>
        <v/>
      </c>
      <c r="L4487" s="16" t="str">
        <f aca="false">IF(B4487="","",IF(A4487=_xlfn.MAXIFS($A$2:$A$5001,$B$2:$B$5001,B4487,$I$2:$I$5001,I4487),1,0))</f>
        <v/>
      </c>
    </row>
    <row r="4488" customFormat="false" ht="15" hidden="false" customHeight="false" outlineLevel="0" collapsed="false">
      <c r="I4488" s="15" t="str">
        <f aca="false">IF(A4488="","",INT(A4488))</f>
        <v/>
      </c>
      <c r="J4488" s="16" t="str">
        <f aca="false">IF(B4488="","",IF(A4488=_xlfn.MINIFS($A$2:$A$5001,$B$2:$B$5001,B4488),1,0))</f>
        <v/>
      </c>
      <c r="K4488" s="16" t="str">
        <f aca="false">IF(B4488="","",IF(AND(D4488="Formalização",E4488="Concluído"),IF(COUNTIFS($B$2:$B$5001,B4488,$E$2:$E$5001,"Em ajustes",$A$2:$A$5001,"&lt;"&amp;I4488)&gt;0,1,0),0))</f>
        <v/>
      </c>
      <c r="L4488" s="16" t="str">
        <f aca="false">IF(B4488="","",IF(A4488=_xlfn.MAXIFS($A$2:$A$5001,$B$2:$B$5001,B4488,$I$2:$I$5001,I4488),1,0))</f>
        <v/>
      </c>
    </row>
    <row r="4489" customFormat="false" ht="15" hidden="false" customHeight="false" outlineLevel="0" collapsed="false">
      <c r="I4489" s="15" t="str">
        <f aca="false">IF(A4489="","",INT(A4489))</f>
        <v/>
      </c>
      <c r="J4489" s="16" t="str">
        <f aca="false">IF(B4489="","",IF(A4489=_xlfn.MINIFS($A$2:$A$5001,$B$2:$B$5001,B4489),1,0))</f>
        <v/>
      </c>
      <c r="K4489" s="16" t="str">
        <f aca="false">IF(B4489="","",IF(AND(D4489="Formalização",E4489="Concluído"),IF(COUNTIFS($B$2:$B$5001,B4489,$E$2:$E$5001,"Em ajustes",$A$2:$A$5001,"&lt;"&amp;I4489)&gt;0,1,0),0))</f>
        <v/>
      </c>
      <c r="L4489" s="16" t="str">
        <f aca="false">IF(B4489="","",IF(A4489=_xlfn.MAXIFS($A$2:$A$5001,$B$2:$B$5001,B4489,$I$2:$I$5001,I4489),1,0))</f>
        <v/>
      </c>
    </row>
    <row r="4490" customFormat="false" ht="15" hidden="false" customHeight="false" outlineLevel="0" collapsed="false">
      <c r="I4490" s="15" t="str">
        <f aca="false">IF(A4490="","",INT(A4490))</f>
        <v/>
      </c>
      <c r="J4490" s="16" t="str">
        <f aca="false">IF(B4490="","",IF(A4490=_xlfn.MINIFS($A$2:$A$5001,$B$2:$B$5001,B4490),1,0))</f>
        <v/>
      </c>
      <c r="K4490" s="16" t="str">
        <f aca="false">IF(B4490="","",IF(AND(D4490="Formalização",E4490="Concluído"),IF(COUNTIFS($B$2:$B$5001,B4490,$E$2:$E$5001,"Em ajustes",$A$2:$A$5001,"&lt;"&amp;I4490)&gt;0,1,0),0))</f>
        <v/>
      </c>
      <c r="L4490" s="16" t="str">
        <f aca="false">IF(B4490="","",IF(A4490=_xlfn.MAXIFS($A$2:$A$5001,$B$2:$B$5001,B4490,$I$2:$I$5001,I4490),1,0))</f>
        <v/>
      </c>
    </row>
    <row r="4491" customFormat="false" ht="15" hidden="false" customHeight="false" outlineLevel="0" collapsed="false">
      <c r="I4491" s="15" t="str">
        <f aca="false">IF(A4491="","",INT(A4491))</f>
        <v/>
      </c>
      <c r="J4491" s="16" t="str">
        <f aca="false">IF(B4491="","",IF(A4491=_xlfn.MINIFS($A$2:$A$5001,$B$2:$B$5001,B4491),1,0))</f>
        <v/>
      </c>
      <c r="K4491" s="16" t="str">
        <f aca="false">IF(B4491="","",IF(AND(D4491="Formalização",E4491="Concluído"),IF(COUNTIFS($B$2:$B$5001,B4491,$E$2:$E$5001,"Em ajustes",$A$2:$A$5001,"&lt;"&amp;I4491)&gt;0,1,0),0))</f>
        <v/>
      </c>
      <c r="L4491" s="16" t="str">
        <f aca="false">IF(B4491="","",IF(A4491=_xlfn.MAXIFS($A$2:$A$5001,$B$2:$B$5001,B4491,$I$2:$I$5001,I4491),1,0))</f>
        <v/>
      </c>
    </row>
    <row r="4492" customFormat="false" ht="15" hidden="false" customHeight="false" outlineLevel="0" collapsed="false">
      <c r="I4492" s="15" t="str">
        <f aca="false">IF(A4492="","",INT(A4492))</f>
        <v/>
      </c>
      <c r="J4492" s="16" t="str">
        <f aca="false">IF(B4492="","",IF(A4492=_xlfn.MINIFS($A$2:$A$5001,$B$2:$B$5001,B4492),1,0))</f>
        <v/>
      </c>
      <c r="K4492" s="16" t="str">
        <f aca="false">IF(B4492="","",IF(AND(D4492="Formalização",E4492="Concluído"),IF(COUNTIFS($B$2:$B$5001,B4492,$E$2:$E$5001,"Em ajustes",$A$2:$A$5001,"&lt;"&amp;I4492)&gt;0,1,0),0))</f>
        <v/>
      </c>
      <c r="L4492" s="16" t="str">
        <f aca="false">IF(B4492="","",IF(A4492=_xlfn.MAXIFS($A$2:$A$5001,$B$2:$B$5001,B4492,$I$2:$I$5001,I4492),1,0))</f>
        <v/>
      </c>
    </row>
    <row r="4493" customFormat="false" ht="15" hidden="false" customHeight="false" outlineLevel="0" collapsed="false">
      <c r="I4493" s="15" t="str">
        <f aca="false">IF(A4493="","",INT(A4493))</f>
        <v/>
      </c>
      <c r="J4493" s="16" t="str">
        <f aca="false">IF(B4493="","",IF(A4493=_xlfn.MINIFS($A$2:$A$5001,$B$2:$B$5001,B4493),1,0))</f>
        <v/>
      </c>
      <c r="K4493" s="16" t="str">
        <f aca="false">IF(B4493="","",IF(AND(D4493="Formalização",E4493="Concluído"),IF(COUNTIFS($B$2:$B$5001,B4493,$E$2:$E$5001,"Em ajustes",$A$2:$A$5001,"&lt;"&amp;I4493)&gt;0,1,0),0))</f>
        <v/>
      </c>
      <c r="L4493" s="16" t="str">
        <f aca="false">IF(B4493="","",IF(A4493=_xlfn.MAXIFS($A$2:$A$5001,$B$2:$B$5001,B4493,$I$2:$I$5001,I4493),1,0))</f>
        <v/>
      </c>
    </row>
    <row r="4494" customFormat="false" ht="15" hidden="false" customHeight="false" outlineLevel="0" collapsed="false">
      <c r="I4494" s="15" t="str">
        <f aca="false">IF(A4494="","",INT(A4494))</f>
        <v/>
      </c>
      <c r="J4494" s="16" t="str">
        <f aca="false">IF(B4494="","",IF(A4494=_xlfn.MINIFS($A$2:$A$5001,$B$2:$B$5001,B4494),1,0))</f>
        <v/>
      </c>
      <c r="K4494" s="16" t="str">
        <f aca="false">IF(B4494="","",IF(AND(D4494="Formalização",E4494="Concluído"),IF(COUNTIFS($B$2:$B$5001,B4494,$E$2:$E$5001,"Em ajustes",$A$2:$A$5001,"&lt;"&amp;I4494)&gt;0,1,0),0))</f>
        <v/>
      </c>
      <c r="L4494" s="16" t="str">
        <f aca="false">IF(B4494="","",IF(A4494=_xlfn.MAXIFS($A$2:$A$5001,$B$2:$B$5001,B4494,$I$2:$I$5001,I4494),1,0))</f>
        <v/>
      </c>
    </row>
    <row r="4495" customFormat="false" ht="15" hidden="false" customHeight="false" outlineLevel="0" collapsed="false">
      <c r="I4495" s="15" t="str">
        <f aca="false">IF(A4495="","",INT(A4495))</f>
        <v/>
      </c>
      <c r="J4495" s="16" t="str">
        <f aca="false">IF(B4495="","",IF(A4495=_xlfn.MINIFS($A$2:$A$5001,$B$2:$B$5001,B4495),1,0))</f>
        <v/>
      </c>
      <c r="K4495" s="16" t="str">
        <f aca="false">IF(B4495="","",IF(AND(D4495="Formalização",E4495="Concluído"),IF(COUNTIFS($B$2:$B$5001,B4495,$E$2:$E$5001,"Em ajustes",$A$2:$A$5001,"&lt;"&amp;I4495)&gt;0,1,0),0))</f>
        <v/>
      </c>
      <c r="L4495" s="16" t="str">
        <f aca="false">IF(B4495="","",IF(A4495=_xlfn.MAXIFS($A$2:$A$5001,$B$2:$B$5001,B4495,$I$2:$I$5001,I4495),1,0))</f>
        <v/>
      </c>
    </row>
    <row r="4496" customFormat="false" ht="15" hidden="false" customHeight="false" outlineLevel="0" collapsed="false">
      <c r="I4496" s="15" t="str">
        <f aca="false">IF(A4496="","",INT(A4496))</f>
        <v/>
      </c>
      <c r="J4496" s="16" t="str">
        <f aca="false">IF(B4496="","",IF(A4496=_xlfn.MINIFS($A$2:$A$5001,$B$2:$B$5001,B4496),1,0))</f>
        <v/>
      </c>
      <c r="K4496" s="16" t="str">
        <f aca="false">IF(B4496="","",IF(AND(D4496="Formalização",E4496="Concluído"),IF(COUNTIFS($B$2:$B$5001,B4496,$E$2:$E$5001,"Em ajustes",$A$2:$A$5001,"&lt;"&amp;I4496)&gt;0,1,0),0))</f>
        <v/>
      </c>
      <c r="L4496" s="16" t="str">
        <f aca="false">IF(B4496="","",IF(A4496=_xlfn.MAXIFS($A$2:$A$5001,$B$2:$B$5001,B4496,$I$2:$I$5001,I4496),1,0))</f>
        <v/>
      </c>
    </row>
    <row r="4497" customFormat="false" ht="15" hidden="false" customHeight="false" outlineLevel="0" collapsed="false">
      <c r="I4497" s="15" t="str">
        <f aca="false">IF(A4497="","",INT(A4497))</f>
        <v/>
      </c>
      <c r="J4497" s="16" t="str">
        <f aca="false">IF(B4497="","",IF(A4497=_xlfn.MINIFS($A$2:$A$5001,$B$2:$B$5001,B4497),1,0))</f>
        <v/>
      </c>
      <c r="K4497" s="16" t="str">
        <f aca="false">IF(B4497="","",IF(AND(D4497="Formalização",E4497="Concluído"),IF(COUNTIFS($B$2:$B$5001,B4497,$E$2:$E$5001,"Em ajustes",$A$2:$A$5001,"&lt;"&amp;I4497)&gt;0,1,0),0))</f>
        <v/>
      </c>
      <c r="L4497" s="16" t="str">
        <f aca="false">IF(B4497="","",IF(A4497=_xlfn.MAXIFS($A$2:$A$5001,$B$2:$B$5001,B4497,$I$2:$I$5001,I4497),1,0))</f>
        <v/>
      </c>
    </row>
    <row r="4498" customFormat="false" ht="15" hidden="false" customHeight="false" outlineLevel="0" collapsed="false">
      <c r="I4498" s="15" t="str">
        <f aca="false">IF(A4498="","",INT(A4498))</f>
        <v/>
      </c>
      <c r="J4498" s="16" t="str">
        <f aca="false">IF(B4498="","",IF(A4498=_xlfn.MINIFS($A$2:$A$5001,$B$2:$B$5001,B4498),1,0))</f>
        <v/>
      </c>
      <c r="K4498" s="16" t="str">
        <f aca="false">IF(B4498="","",IF(AND(D4498="Formalização",E4498="Concluído"),IF(COUNTIFS($B$2:$B$5001,B4498,$E$2:$E$5001,"Em ajustes",$A$2:$A$5001,"&lt;"&amp;I4498)&gt;0,1,0),0))</f>
        <v/>
      </c>
      <c r="L4498" s="16" t="str">
        <f aca="false">IF(B4498="","",IF(A4498=_xlfn.MAXIFS($A$2:$A$5001,$B$2:$B$5001,B4498,$I$2:$I$5001,I4498),1,0))</f>
        <v/>
      </c>
    </row>
    <row r="4499" customFormat="false" ht="15" hidden="false" customHeight="false" outlineLevel="0" collapsed="false">
      <c r="I4499" s="15" t="str">
        <f aca="false">IF(A4499="","",INT(A4499))</f>
        <v/>
      </c>
      <c r="J4499" s="16" t="str">
        <f aca="false">IF(B4499="","",IF(A4499=_xlfn.MINIFS($A$2:$A$5001,$B$2:$B$5001,B4499),1,0))</f>
        <v/>
      </c>
      <c r="K4499" s="16" t="str">
        <f aca="false">IF(B4499="","",IF(AND(D4499="Formalização",E4499="Concluído"),IF(COUNTIFS($B$2:$B$5001,B4499,$E$2:$E$5001,"Em ajustes",$A$2:$A$5001,"&lt;"&amp;I4499)&gt;0,1,0),0))</f>
        <v/>
      </c>
      <c r="L4499" s="16" t="str">
        <f aca="false">IF(B4499="","",IF(A4499=_xlfn.MAXIFS($A$2:$A$5001,$B$2:$B$5001,B4499,$I$2:$I$5001,I4499),1,0))</f>
        <v/>
      </c>
    </row>
    <row r="4500" customFormat="false" ht="15" hidden="false" customHeight="false" outlineLevel="0" collapsed="false">
      <c r="I4500" s="15" t="str">
        <f aca="false">IF(A4500="","",INT(A4500))</f>
        <v/>
      </c>
      <c r="J4500" s="16" t="str">
        <f aca="false">IF(B4500="","",IF(A4500=_xlfn.MINIFS($A$2:$A$5001,$B$2:$B$5001,B4500),1,0))</f>
        <v/>
      </c>
      <c r="K4500" s="16" t="str">
        <f aca="false">IF(B4500="","",IF(AND(D4500="Formalização",E4500="Concluído"),IF(COUNTIFS($B$2:$B$5001,B4500,$E$2:$E$5001,"Em ajustes",$A$2:$A$5001,"&lt;"&amp;I4500)&gt;0,1,0),0))</f>
        <v/>
      </c>
      <c r="L4500" s="16" t="str">
        <f aca="false">IF(B4500="","",IF(A4500=_xlfn.MAXIFS($A$2:$A$5001,$B$2:$B$5001,B4500,$I$2:$I$5001,I4500),1,0))</f>
        <v/>
      </c>
    </row>
    <row r="4501" customFormat="false" ht="15" hidden="false" customHeight="false" outlineLevel="0" collapsed="false">
      <c r="I4501" s="15" t="str">
        <f aca="false">IF(A4501="","",INT(A4501))</f>
        <v/>
      </c>
      <c r="J4501" s="16" t="str">
        <f aca="false">IF(B4501="","",IF(A4501=_xlfn.MINIFS($A$2:$A$5001,$B$2:$B$5001,B4501),1,0))</f>
        <v/>
      </c>
      <c r="K4501" s="16" t="str">
        <f aca="false">IF(B4501="","",IF(AND(D4501="Formalização",E4501="Concluído"),IF(COUNTIFS($B$2:$B$5001,B4501,$E$2:$E$5001,"Em ajustes",$A$2:$A$5001,"&lt;"&amp;I4501)&gt;0,1,0),0))</f>
        <v/>
      </c>
      <c r="L4501" s="16" t="str">
        <f aca="false">IF(B4501="","",IF(A4501=_xlfn.MAXIFS($A$2:$A$5001,$B$2:$B$5001,B4501,$I$2:$I$5001,I4501),1,0))</f>
        <v/>
      </c>
    </row>
    <row r="4502" customFormat="false" ht="15" hidden="false" customHeight="false" outlineLevel="0" collapsed="false">
      <c r="I4502" s="15" t="str">
        <f aca="false">IF(A4502="","",INT(A4502))</f>
        <v/>
      </c>
      <c r="J4502" s="16" t="str">
        <f aca="false">IF(B4502="","",IF(A4502=_xlfn.MINIFS($A$2:$A$5001,$B$2:$B$5001,B4502),1,0))</f>
        <v/>
      </c>
      <c r="K4502" s="16" t="str">
        <f aca="false">IF(B4502="","",IF(AND(D4502="Formalização",E4502="Concluído"),IF(COUNTIFS($B$2:$B$5001,B4502,$E$2:$E$5001,"Em ajustes",$A$2:$A$5001,"&lt;"&amp;I4502)&gt;0,1,0),0))</f>
        <v/>
      </c>
      <c r="L4502" s="16" t="str">
        <f aca="false">IF(B4502="","",IF(A4502=_xlfn.MAXIFS($A$2:$A$5001,$B$2:$B$5001,B4502,$I$2:$I$5001,I4502),1,0))</f>
        <v/>
      </c>
    </row>
    <row r="4503" customFormat="false" ht="15" hidden="false" customHeight="false" outlineLevel="0" collapsed="false">
      <c r="I4503" s="15" t="str">
        <f aca="false">IF(A4503="","",INT(A4503))</f>
        <v/>
      </c>
      <c r="J4503" s="16" t="str">
        <f aca="false">IF(B4503="","",IF(A4503=_xlfn.MINIFS($A$2:$A$5001,$B$2:$B$5001,B4503),1,0))</f>
        <v/>
      </c>
      <c r="K4503" s="16" t="str">
        <f aca="false">IF(B4503="","",IF(AND(D4503="Formalização",E4503="Concluído"),IF(COUNTIFS($B$2:$B$5001,B4503,$E$2:$E$5001,"Em ajustes",$A$2:$A$5001,"&lt;"&amp;I4503)&gt;0,1,0),0))</f>
        <v/>
      </c>
      <c r="L4503" s="16" t="str">
        <f aca="false">IF(B4503="","",IF(A4503=_xlfn.MAXIFS($A$2:$A$5001,$B$2:$B$5001,B4503,$I$2:$I$5001,I4503),1,0))</f>
        <v/>
      </c>
    </row>
    <row r="4504" customFormat="false" ht="15" hidden="false" customHeight="false" outlineLevel="0" collapsed="false">
      <c r="I4504" s="15" t="str">
        <f aca="false">IF(A4504="","",INT(A4504))</f>
        <v/>
      </c>
      <c r="J4504" s="16" t="str">
        <f aca="false">IF(B4504="","",IF(A4504=_xlfn.MINIFS($A$2:$A$5001,$B$2:$B$5001,B4504),1,0))</f>
        <v/>
      </c>
      <c r="K4504" s="16" t="str">
        <f aca="false">IF(B4504="","",IF(AND(D4504="Formalização",E4504="Concluído"),IF(COUNTIFS($B$2:$B$5001,B4504,$E$2:$E$5001,"Em ajustes",$A$2:$A$5001,"&lt;"&amp;I4504)&gt;0,1,0),0))</f>
        <v/>
      </c>
      <c r="L4504" s="16" t="str">
        <f aca="false">IF(B4504="","",IF(A4504=_xlfn.MAXIFS($A$2:$A$5001,$B$2:$B$5001,B4504,$I$2:$I$5001,I4504),1,0))</f>
        <v/>
      </c>
    </row>
    <row r="4505" customFormat="false" ht="15" hidden="false" customHeight="false" outlineLevel="0" collapsed="false">
      <c r="I4505" s="15" t="str">
        <f aca="false">IF(A4505="","",INT(A4505))</f>
        <v/>
      </c>
      <c r="J4505" s="16" t="str">
        <f aca="false">IF(B4505="","",IF(A4505=_xlfn.MINIFS($A$2:$A$5001,$B$2:$B$5001,B4505),1,0))</f>
        <v/>
      </c>
      <c r="K4505" s="16" t="str">
        <f aca="false">IF(B4505="","",IF(AND(D4505="Formalização",E4505="Concluído"),IF(COUNTIFS($B$2:$B$5001,B4505,$E$2:$E$5001,"Em ajustes",$A$2:$A$5001,"&lt;"&amp;I4505)&gt;0,1,0),0))</f>
        <v/>
      </c>
      <c r="L4505" s="16" t="str">
        <f aca="false">IF(B4505="","",IF(A4505=_xlfn.MAXIFS($A$2:$A$5001,$B$2:$B$5001,B4505,$I$2:$I$5001,I4505),1,0))</f>
        <v/>
      </c>
    </row>
    <row r="4506" customFormat="false" ht="15" hidden="false" customHeight="false" outlineLevel="0" collapsed="false">
      <c r="I4506" s="15" t="str">
        <f aca="false">IF(A4506="","",INT(A4506))</f>
        <v/>
      </c>
      <c r="J4506" s="16" t="str">
        <f aca="false">IF(B4506="","",IF(A4506=_xlfn.MINIFS($A$2:$A$5001,$B$2:$B$5001,B4506),1,0))</f>
        <v/>
      </c>
      <c r="K4506" s="16" t="str">
        <f aca="false">IF(B4506="","",IF(AND(D4506="Formalização",E4506="Concluído"),IF(COUNTIFS($B$2:$B$5001,B4506,$E$2:$E$5001,"Em ajustes",$A$2:$A$5001,"&lt;"&amp;I4506)&gt;0,1,0),0))</f>
        <v/>
      </c>
      <c r="L4506" s="16" t="str">
        <f aca="false">IF(B4506="","",IF(A4506=_xlfn.MAXIFS($A$2:$A$5001,$B$2:$B$5001,B4506,$I$2:$I$5001,I4506),1,0))</f>
        <v/>
      </c>
    </row>
    <row r="4507" customFormat="false" ht="15" hidden="false" customHeight="false" outlineLevel="0" collapsed="false">
      <c r="I4507" s="15" t="str">
        <f aca="false">IF(A4507="","",INT(A4507))</f>
        <v/>
      </c>
      <c r="J4507" s="16" t="str">
        <f aca="false">IF(B4507="","",IF(A4507=_xlfn.MINIFS($A$2:$A$5001,$B$2:$B$5001,B4507),1,0))</f>
        <v/>
      </c>
      <c r="K4507" s="16" t="str">
        <f aca="false">IF(B4507="","",IF(AND(D4507="Formalização",E4507="Concluído"),IF(COUNTIFS($B$2:$B$5001,B4507,$E$2:$E$5001,"Em ajustes",$A$2:$A$5001,"&lt;"&amp;I4507)&gt;0,1,0),0))</f>
        <v/>
      </c>
      <c r="L4507" s="16" t="str">
        <f aca="false">IF(B4507="","",IF(A4507=_xlfn.MAXIFS($A$2:$A$5001,$B$2:$B$5001,B4507,$I$2:$I$5001,I4507),1,0))</f>
        <v/>
      </c>
    </row>
    <row r="4508" customFormat="false" ht="15" hidden="false" customHeight="false" outlineLevel="0" collapsed="false">
      <c r="I4508" s="15" t="str">
        <f aca="false">IF(A4508="","",INT(A4508))</f>
        <v/>
      </c>
      <c r="J4508" s="16" t="str">
        <f aca="false">IF(B4508="","",IF(A4508=_xlfn.MINIFS($A$2:$A$5001,$B$2:$B$5001,B4508),1,0))</f>
        <v/>
      </c>
      <c r="K4508" s="16" t="str">
        <f aca="false">IF(B4508="","",IF(AND(D4508="Formalização",E4508="Concluído"),IF(COUNTIFS($B$2:$B$5001,B4508,$E$2:$E$5001,"Em ajustes",$A$2:$A$5001,"&lt;"&amp;I4508)&gt;0,1,0),0))</f>
        <v/>
      </c>
      <c r="L4508" s="16" t="str">
        <f aca="false">IF(B4508="","",IF(A4508=_xlfn.MAXIFS($A$2:$A$5001,$B$2:$B$5001,B4508,$I$2:$I$5001,I4508),1,0))</f>
        <v/>
      </c>
    </row>
    <row r="4509" customFormat="false" ht="15" hidden="false" customHeight="false" outlineLevel="0" collapsed="false">
      <c r="I4509" s="15" t="str">
        <f aca="false">IF(A4509="","",INT(A4509))</f>
        <v/>
      </c>
      <c r="J4509" s="16" t="str">
        <f aca="false">IF(B4509="","",IF(A4509=_xlfn.MINIFS($A$2:$A$5001,$B$2:$B$5001,B4509),1,0))</f>
        <v/>
      </c>
      <c r="K4509" s="16" t="str">
        <f aca="false">IF(B4509="","",IF(AND(D4509="Formalização",E4509="Concluído"),IF(COUNTIFS($B$2:$B$5001,B4509,$E$2:$E$5001,"Em ajustes",$A$2:$A$5001,"&lt;"&amp;I4509)&gt;0,1,0),0))</f>
        <v/>
      </c>
      <c r="L4509" s="16" t="str">
        <f aca="false">IF(B4509="","",IF(A4509=_xlfn.MAXIFS($A$2:$A$5001,$B$2:$B$5001,B4509,$I$2:$I$5001,I4509),1,0))</f>
        <v/>
      </c>
    </row>
    <row r="4510" customFormat="false" ht="15" hidden="false" customHeight="false" outlineLevel="0" collapsed="false">
      <c r="I4510" s="15" t="str">
        <f aca="false">IF(A4510="","",INT(A4510))</f>
        <v/>
      </c>
      <c r="J4510" s="16" t="str">
        <f aca="false">IF(B4510="","",IF(A4510=_xlfn.MINIFS($A$2:$A$5001,$B$2:$B$5001,B4510),1,0))</f>
        <v/>
      </c>
      <c r="K4510" s="16" t="str">
        <f aca="false">IF(B4510="","",IF(AND(D4510="Formalização",E4510="Concluído"),IF(COUNTIFS($B$2:$B$5001,B4510,$E$2:$E$5001,"Em ajustes",$A$2:$A$5001,"&lt;"&amp;I4510)&gt;0,1,0),0))</f>
        <v/>
      </c>
      <c r="L4510" s="16" t="str">
        <f aca="false">IF(B4510="","",IF(A4510=_xlfn.MAXIFS($A$2:$A$5001,$B$2:$B$5001,B4510,$I$2:$I$5001,I4510),1,0))</f>
        <v/>
      </c>
    </row>
    <row r="4511" customFormat="false" ht="15" hidden="false" customHeight="false" outlineLevel="0" collapsed="false">
      <c r="I4511" s="15" t="str">
        <f aca="false">IF(A4511="","",INT(A4511))</f>
        <v/>
      </c>
      <c r="J4511" s="16" t="str">
        <f aca="false">IF(B4511="","",IF(A4511=_xlfn.MINIFS($A$2:$A$5001,$B$2:$B$5001,B4511),1,0))</f>
        <v/>
      </c>
      <c r="K4511" s="16" t="str">
        <f aca="false">IF(B4511="","",IF(AND(D4511="Formalização",E4511="Concluído"),IF(COUNTIFS($B$2:$B$5001,B4511,$E$2:$E$5001,"Em ajustes",$A$2:$A$5001,"&lt;"&amp;I4511)&gt;0,1,0),0))</f>
        <v/>
      </c>
      <c r="L4511" s="16" t="str">
        <f aca="false">IF(B4511="","",IF(A4511=_xlfn.MAXIFS($A$2:$A$5001,$B$2:$B$5001,B4511,$I$2:$I$5001,I4511),1,0))</f>
        <v/>
      </c>
    </row>
    <row r="4512" customFormat="false" ht="15" hidden="false" customHeight="false" outlineLevel="0" collapsed="false">
      <c r="I4512" s="15" t="str">
        <f aca="false">IF(A4512="","",INT(A4512))</f>
        <v/>
      </c>
      <c r="J4512" s="16" t="str">
        <f aca="false">IF(B4512="","",IF(A4512=_xlfn.MINIFS($A$2:$A$5001,$B$2:$B$5001,B4512),1,0))</f>
        <v/>
      </c>
      <c r="K4512" s="16" t="str">
        <f aca="false">IF(B4512="","",IF(AND(D4512="Formalização",E4512="Concluído"),IF(COUNTIFS($B$2:$B$5001,B4512,$E$2:$E$5001,"Em ajustes",$A$2:$A$5001,"&lt;"&amp;I4512)&gt;0,1,0),0))</f>
        <v/>
      </c>
      <c r="L4512" s="16" t="str">
        <f aca="false">IF(B4512="","",IF(A4512=_xlfn.MAXIFS($A$2:$A$5001,$B$2:$B$5001,B4512,$I$2:$I$5001,I4512),1,0))</f>
        <v/>
      </c>
    </row>
    <row r="4513" customFormat="false" ht="15" hidden="false" customHeight="false" outlineLevel="0" collapsed="false">
      <c r="I4513" s="15" t="str">
        <f aca="false">IF(A4513="","",INT(A4513))</f>
        <v/>
      </c>
      <c r="J4513" s="16" t="str">
        <f aca="false">IF(B4513="","",IF(A4513=_xlfn.MINIFS($A$2:$A$5001,$B$2:$B$5001,B4513),1,0))</f>
        <v/>
      </c>
      <c r="K4513" s="16" t="str">
        <f aca="false">IF(B4513="","",IF(AND(D4513="Formalização",E4513="Concluído"),IF(COUNTIFS($B$2:$B$5001,B4513,$E$2:$E$5001,"Em ajustes",$A$2:$A$5001,"&lt;"&amp;I4513)&gt;0,1,0),0))</f>
        <v/>
      </c>
      <c r="L4513" s="16" t="str">
        <f aca="false">IF(B4513="","",IF(A4513=_xlfn.MAXIFS($A$2:$A$5001,$B$2:$B$5001,B4513,$I$2:$I$5001,I4513),1,0))</f>
        <v/>
      </c>
    </row>
    <row r="4514" customFormat="false" ht="15" hidden="false" customHeight="false" outlineLevel="0" collapsed="false">
      <c r="I4514" s="15" t="str">
        <f aca="false">IF(A4514="","",INT(A4514))</f>
        <v/>
      </c>
      <c r="J4514" s="16" t="str">
        <f aca="false">IF(B4514="","",IF(A4514=_xlfn.MINIFS($A$2:$A$5001,$B$2:$B$5001,B4514),1,0))</f>
        <v/>
      </c>
      <c r="K4514" s="16" t="str">
        <f aca="false">IF(B4514="","",IF(AND(D4514="Formalização",E4514="Concluído"),IF(COUNTIFS($B$2:$B$5001,B4514,$E$2:$E$5001,"Em ajustes",$A$2:$A$5001,"&lt;"&amp;I4514)&gt;0,1,0),0))</f>
        <v/>
      </c>
      <c r="L4514" s="16" t="str">
        <f aca="false">IF(B4514="","",IF(A4514=_xlfn.MAXIFS($A$2:$A$5001,$B$2:$B$5001,B4514,$I$2:$I$5001,I4514),1,0))</f>
        <v/>
      </c>
    </row>
    <row r="4515" customFormat="false" ht="15" hidden="false" customHeight="false" outlineLevel="0" collapsed="false">
      <c r="I4515" s="15" t="str">
        <f aca="false">IF(A4515="","",INT(A4515))</f>
        <v/>
      </c>
      <c r="J4515" s="16" t="str">
        <f aca="false">IF(B4515="","",IF(A4515=_xlfn.MINIFS($A$2:$A$5001,$B$2:$B$5001,B4515),1,0))</f>
        <v/>
      </c>
      <c r="K4515" s="16" t="str">
        <f aca="false">IF(B4515="","",IF(AND(D4515="Formalização",E4515="Concluído"),IF(COUNTIFS($B$2:$B$5001,B4515,$E$2:$E$5001,"Em ajustes",$A$2:$A$5001,"&lt;"&amp;I4515)&gt;0,1,0),0))</f>
        <v/>
      </c>
      <c r="L4515" s="16" t="str">
        <f aca="false">IF(B4515="","",IF(A4515=_xlfn.MAXIFS($A$2:$A$5001,$B$2:$B$5001,B4515,$I$2:$I$5001,I4515),1,0))</f>
        <v/>
      </c>
    </row>
    <row r="4516" customFormat="false" ht="15" hidden="false" customHeight="false" outlineLevel="0" collapsed="false">
      <c r="I4516" s="15" t="str">
        <f aca="false">IF(A4516="","",INT(A4516))</f>
        <v/>
      </c>
      <c r="J4516" s="16" t="str">
        <f aca="false">IF(B4516="","",IF(A4516=_xlfn.MINIFS($A$2:$A$5001,$B$2:$B$5001,B4516),1,0))</f>
        <v/>
      </c>
      <c r="K4516" s="16" t="str">
        <f aca="false">IF(B4516="","",IF(AND(D4516="Formalização",E4516="Concluído"),IF(COUNTIFS($B$2:$B$5001,B4516,$E$2:$E$5001,"Em ajustes",$A$2:$A$5001,"&lt;"&amp;I4516)&gt;0,1,0),0))</f>
        <v/>
      </c>
      <c r="L4516" s="16" t="str">
        <f aca="false">IF(B4516="","",IF(A4516=_xlfn.MAXIFS($A$2:$A$5001,$B$2:$B$5001,B4516,$I$2:$I$5001,I4516),1,0))</f>
        <v/>
      </c>
    </row>
    <row r="4517" customFormat="false" ht="15" hidden="false" customHeight="false" outlineLevel="0" collapsed="false">
      <c r="I4517" s="15" t="str">
        <f aca="false">IF(A4517="","",INT(A4517))</f>
        <v/>
      </c>
      <c r="J4517" s="16" t="str">
        <f aca="false">IF(B4517="","",IF(A4517=_xlfn.MINIFS($A$2:$A$5001,$B$2:$B$5001,B4517),1,0))</f>
        <v/>
      </c>
      <c r="K4517" s="16" t="str">
        <f aca="false">IF(B4517="","",IF(AND(D4517="Formalização",E4517="Concluído"),IF(COUNTIFS($B$2:$B$5001,B4517,$E$2:$E$5001,"Em ajustes",$A$2:$A$5001,"&lt;"&amp;I4517)&gt;0,1,0),0))</f>
        <v/>
      </c>
      <c r="L4517" s="16" t="str">
        <f aca="false">IF(B4517="","",IF(A4517=_xlfn.MAXIFS($A$2:$A$5001,$B$2:$B$5001,B4517,$I$2:$I$5001,I4517),1,0))</f>
        <v/>
      </c>
    </row>
    <row r="4518" customFormat="false" ht="15" hidden="false" customHeight="false" outlineLevel="0" collapsed="false">
      <c r="I4518" s="15" t="str">
        <f aca="false">IF(A4518="","",INT(A4518))</f>
        <v/>
      </c>
      <c r="J4518" s="16" t="str">
        <f aca="false">IF(B4518="","",IF(A4518=_xlfn.MINIFS($A$2:$A$5001,$B$2:$B$5001,B4518),1,0))</f>
        <v/>
      </c>
      <c r="K4518" s="16" t="str">
        <f aca="false">IF(B4518="","",IF(AND(D4518="Formalização",E4518="Concluído"),IF(COUNTIFS($B$2:$B$5001,B4518,$E$2:$E$5001,"Em ajustes",$A$2:$A$5001,"&lt;"&amp;I4518)&gt;0,1,0),0))</f>
        <v/>
      </c>
      <c r="L4518" s="16" t="str">
        <f aca="false">IF(B4518="","",IF(A4518=_xlfn.MAXIFS($A$2:$A$5001,$B$2:$B$5001,B4518,$I$2:$I$5001,I4518),1,0))</f>
        <v/>
      </c>
    </row>
    <row r="4519" customFormat="false" ht="15" hidden="false" customHeight="false" outlineLevel="0" collapsed="false">
      <c r="I4519" s="15" t="str">
        <f aca="false">IF(A4519="","",INT(A4519))</f>
        <v/>
      </c>
      <c r="J4519" s="16" t="str">
        <f aca="false">IF(B4519="","",IF(A4519=_xlfn.MINIFS($A$2:$A$5001,$B$2:$B$5001,B4519),1,0))</f>
        <v/>
      </c>
      <c r="K4519" s="16" t="str">
        <f aca="false">IF(B4519="","",IF(AND(D4519="Formalização",E4519="Concluído"),IF(COUNTIFS($B$2:$B$5001,B4519,$E$2:$E$5001,"Em ajustes",$A$2:$A$5001,"&lt;"&amp;I4519)&gt;0,1,0),0))</f>
        <v/>
      </c>
      <c r="L4519" s="16" t="str">
        <f aca="false">IF(B4519="","",IF(A4519=_xlfn.MAXIFS($A$2:$A$5001,$B$2:$B$5001,B4519,$I$2:$I$5001,I4519),1,0))</f>
        <v/>
      </c>
    </row>
    <row r="4520" customFormat="false" ht="15" hidden="false" customHeight="false" outlineLevel="0" collapsed="false">
      <c r="I4520" s="15" t="str">
        <f aca="false">IF(A4520="","",INT(A4520))</f>
        <v/>
      </c>
      <c r="J4520" s="16" t="str">
        <f aca="false">IF(B4520="","",IF(A4520=_xlfn.MINIFS($A$2:$A$5001,$B$2:$B$5001,B4520),1,0))</f>
        <v/>
      </c>
      <c r="K4520" s="16" t="str">
        <f aca="false">IF(B4520="","",IF(AND(D4520="Formalização",E4520="Concluído"),IF(COUNTIFS($B$2:$B$5001,B4520,$E$2:$E$5001,"Em ajustes",$A$2:$A$5001,"&lt;"&amp;I4520)&gt;0,1,0),0))</f>
        <v/>
      </c>
      <c r="L4520" s="16" t="str">
        <f aca="false">IF(B4520="","",IF(A4520=_xlfn.MAXIFS($A$2:$A$5001,$B$2:$B$5001,B4520,$I$2:$I$5001,I4520),1,0))</f>
        <v/>
      </c>
    </row>
    <row r="4521" customFormat="false" ht="15" hidden="false" customHeight="false" outlineLevel="0" collapsed="false">
      <c r="I4521" s="15" t="str">
        <f aca="false">IF(A4521="","",INT(A4521))</f>
        <v/>
      </c>
      <c r="J4521" s="16" t="str">
        <f aca="false">IF(B4521="","",IF(A4521=_xlfn.MINIFS($A$2:$A$5001,$B$2:$B$5001,B4521),1,0))</f>
        <v/>
      </c>
      <c r="K4521" s="16" t="str">
        <f aca="false">IF(B4521="","",IF(AND(D4521="Formalização",E4521="Concluído"),IF(COUNTIFS($B$2:$B$5001,B4521,$E$2:$E$5001,"Em ajustes",$A$2:$A$5001,"&lt;"&amp;I4521)&gt;0,1,0),0))</f>
        <v/>
      </c>
      <c r="L4521" s="16" t="str">
        <f aca="false">IF(B4521="","",IF(A4521=_xlfn.MAXIFS($A$2:$A$5001,$B$2:$B$5001,B4521,$I$2:$I$5001,I4521),1,0))</f>
        <v/>
      </c>
    </row>
    <row r="4522" customFormat="false" ht="15" hidden="false" customHeight="false" outlineLevel="0" collapsed="false">
      <c r="I4522" s="15" t="str">
        <f aca="false">IF(A4522="","",INT(A4522))</f>
        <v/>
      </c>
      <c r="J4522" s="16" t="str">
        <f aca="false">IF(B4522="","",IF(A4522=_xlfn.MINIFS($A$2:$A$5001,$B$2:$B$5001,B4522),1,0))</f>
        <v/>
      </c>
      <c r="K4522" s="16" t="str">
        <f aca="false">IF(B4522="","",IF(AND(D4522="Formalização",E4522="Concluído"),IF(COUNTIFS($B$2:$B$5001,B4522,$E$2:$E$5001,"Em ajustes",$A$2:$A$5001,"&lt;"&amp;I4522)&gt;0,1,0),0))</f>
        <v/>
      </c>
      <c r="L4522" s="16" t="str">
        <f aca="false">IF(B4522="","",IF(A4522=_xlfn.MAXIFS($A$2:$A$5001,$B$2:$B$5001,B4522,$I$2:$I$5001,I4522),1,0))</f>
        <v/>
      </c>
    </row>
    <row r="4523" customFormat="false" ht="15" hidden="false" customHeight="false" outlineLevel="0" collapsed="false">
      <c r="I4523" s="15" t="str">
        <f aca="false">IF(A4523="","",INT(A4523))</f>
        <v/>
      </c>
      <c r="J4523" s="16" t="str">
        <f aca="false">IF(B4523="","",IF(A4523=_xlfn.MINIFS($A$2:$A$5001,$B$2:$B$5001,B4523),1,0))</f>
        <v/>
      </c>
      <c r="K4523" s="16" t="str">
        <f aca="false">IF(B4523="","",IF(AND(D4523="Formalização",E4523="Concluído"),IF(COUNTIFS($B$2:$B$5001,B4523,$E$2:$E$5001,"Em ajustes",$A$2:$A$5001,"&lt;"&amp;I4523)&gt;0,1,0),0))</f>
        <v/>
      </c>
      <c r="L4523" s="16" t="str">
        <f aca="false">IF(B4523="","",IF(A4523=_xlfn.MAXIFS($A$2:$A$5001,$B$2:$B$5001,B4523,$I$2:$I$5001,I4523),1,0))</f>
        <v/>
      </c>
    </row>
    <row r="4524" customFormat="false" ht="15" hidden="false" customHeight="false" outlineLevel="0" collapsed="false">
      <c r="I4524" s="15" t="str">
        <f aca="false">IF(A4524="","",INT(A4524))</f>
        <v/>
      </c>
      <c r="J4524" s="16" t="str">
        <f aca="false">IF(B4524="","",IF(A4524=_xlfn.MINIFS($A$2:$A$5001,$B$2:$B$5001,B4524),1,0))</f>
        <v/>
      </c>
      <c r="K4524" s="16" t="str">
        <f aca="false">IF(B4524="","",IF(AND(D4524="Formalização",E4524="Concluído"),IF(COUNTIFS($B$2:$B$5001,B4524,$E$2:$E$5001,"Em ajustes",$A$2:$A$5001,"&lt;"&amp;I4524)&gt;0,1,0),0))</f>
        <v/>
      </c>
      <c r="L4524" s="16" t="str">
        <f aca="false">IF(B4524="","",IF(A4524=_xlfn.MAXIFS($A$2:$A$5001,$B$2:$B$5001,B4524,$I$2:$I$5001,I4524),1,0))</f>
        <v/>
      </c>
    </row>
    <row r="4525" customFormat="false" ht="15" hidden="false" customHeight="false" outlineLevel="0" collapsed="false">
      <c r="I4525" s="15" t="str">
        <f aca="false">IF(A4525="","",INT(A4525))</f>
        <v/>
      </c>
      <c r="J4525" s="16" t="str">
        <f aca="false">IF(B4525="","",IF(A4525=_xlfn.MINIFS($A$2:$A$5001,$B$2:$B$5001,B4525),1,0))</f>
        <v/>
      </c>
      <c r="K4525" s="16" t="str">
        <f aca="false">IF(B4525="","",IF(AND(D4525="Formalização",E4525="Concluído"),IF(COUNTIFS($B$2:$B$5001,B4525,$E$2:$E$5001,"Em ajustes",$A$2:$A$5001,"&lt;"&amp;I4525)&gt;0,1,0),0))</f>
        <v/>
      </c>
      <c r="L4525" s="16" t="str">
        <f aca="false">IF(B4525="","",IF(A4525=_xlfn.MAXIFS($A$2:$A$5001,$B$2:$B$5001,B4525,$I$2:$I$5001,I4525),1,0))</f>
        <v/>
      </c>
    </row>
    <row r="4526" customFormat="false" ht="15" hidden="false" customHeight="false" outlineLevel="0" collapsed="false">
      <c r="I4526" s="15" t="str">
        <f aca="false">IF(A4526="","",INT(A4526))</f>
        <v/>
      </c>
      <c r="J4526" s="16" t="str">
        <f aca="false">IF(B4526="","",IF(A4526=_xlfn.MINIFS($A$2:$A$5001,$B$2:$B$5001,B4526),1,0))</f>
        <v/>
      </c>
      <c r="K4526" s="16" t="str">
        <f aca="false">IF(B4526="","",IF(AND(D4526="Formalização",E4526="Concluído"),IF(COUNTIFS($B$2:$B$5001,B4526,$E$2:$E$5001,"Em ajustes",$A$2:$A$5001,"&lt;"&amp;I4526)&gt;0,1,0),0))</f>
        <v/>
      </c>
      <c r="L4526" s="16" t="str">
        <f aca="false">IF(B4526="","",IF(A4526=_xlfn.MAXIFS($A$2:$A$5001,$B$2:$B$5001,B4526,$I$2:$I$5001,I4526),1,0))</f>
        <v/>
      </c>
    </row>
    <row r="4527" customFormat="false" ht="15" hidden="false" customHeight="false" outlineLevel="0" collapsed="false">
      <c r="I4527" s="15" t="str">
        <f aca="false">IF(A4527="","",INT(A4527))</f>
        <v/>
      </c>
      <c r="J4527" s="16" t="str">
        <f aca="false">IF(B4527="","",IF(A4527=_xlfn.MINIFS($A$2:$A$5001,$B$2:$B$5001,B4527),1,0))</f>
        <v/>
      </c>
      <c r="K4527" s="16" t="str">
        <f aca="false">IF(B4527="","",IF(AND(D4527="Formalização",E4527="Concluído"),IF(COUNTIFS($B$2:$B$5001,B4527,$E$2:$E$5001,"Em ajustes",$A$2:$A$5001,"&lt;"&amp;I4527)&gt;0,1,0),0))</f>
        <v/>
      </c>
      <c r="L4527" s="16" t="str">
        <f aca="false">IF(B4527="","",IF(A4527=_xlfn.MAXIFS($A$2:$A$5001,$B$2:$B$5001,B4527,$I$2:$I$5001,I4527),1,0))</f>
        <v/>
      </c>
    </row>
    <row r="4528" customFormat="false" ht="15" hidden="false" customHeight="false" outlineLevel="0" collapsed="false">
      <c r="I4528" s="15" t="str">
        <f aca="false">IF(A4528="","",INT(A4528))</f>
        <v/>
      </c>
      <c r="J4528" s="16" t="str">
        <f aca="false">IF(B4528="","",IF(A4528=_xlfn.MINIFS($A$2:$A$5001,$B$2:$B$5001,B4528),1,0))</f>
        <v/>
      </c>
      <c r="K4528" s="16" t="str">
        <f aca="false">IF(B4528="","",IF(AND(D4528="Formalização",E4528="Concluído"),IF(COUNTIFS($B$2:$B$5001,B4528,$E$2:$E$5001,"Em ajustes",$A$2:$A$5001,"&lt;"&amp;I4528)&gt;0,1,0),0))</f>
        <v/>
      </c>
      <c r="L4528" s="16" t="str">
        <f aca="false">IF(B4528="","",IF(A4528=_xlfn.MAXIFS($A$2:$A$5001,$B$2:$B$5001,B4528,$I$2:$I$5001,I4528),1,0))</f>
        <v/>
      </c>
    </row>
    <row r="4529" customFormat="false" ht="15" hidden="false" customHeight="false" outlineLevel="0" collapsed="false">
      <c r="I4529" s="15" t="str">
        <f aca="false">IF(A4529="","",INT(A4529))</f>
        <v/>
      </c>
      <c r="J4529" s="16" t="str">
        <f aca="false">IF(B4529="","",IF(A4529=_xlfn.MINIFS($A$2:$A$5001,$B$2:$B$5001,B4529),1,0))</f>
        <v/>
      </c>
      <c r="K4529" s="16" t="str">
        <f aca="false">IF(B4529="","",IF(AND(D4529="Formalização",E4529="Concluído"),IF(COUNTIFS($B$2:$B$5001,B4529,$E$2:$E$5001,"Em ajustes",$A$2:$A$5001,"&lt;"&amp;I4529)&gt;0,1,0),0))</f>
        <v/>
      </c>
      <c r="L4529" s="16" t="str">
        <f aca="false">IF(B4529="","",IF(A4529=_xlfn.MAXIFS($A$2:$A$5001,$B$2:$B$5001,B4529,$I$2:$I$5001,I4529),1,0))</f>
        <v/>
      </c>
    </row>
    <row r="4530" customFormat="false" ht="15" hidden="false" customHeight="false" outlineLevel="0" collapsed="false">
      <c r="I4530" s="15" t="str">
        <f aca="false">IF(A4530="","",INT(A4530))</f>
        <v/>
      </c>
      <c r="J4530" s="16" t="str">
        <f aca="false">IF(B4530="","",IF(A4530=_xlfn.MINIFS($A$2:$A$5001,$B$2:$B$5001,B4530),1,0))</f>
        <v/>
      </c>
      <c r="K4530" s="16" t="str">
        <f aca="false">IF(B4530="","",IF(AND(D4530="Formalização",E4530="Concluído"),IF(COUNTIFS($B$2:$B$5001,B4530,$E$2:$E$5001,"Em ajustes",$A$2:$A$5001,"&lt;"&amp;I4530)&gt;0,1,0),0))</f>
        <v/>
      </c>
      <c r="L4530" s="16" t="str">
        <f aca="false">IF(B4530="","",IF(A4530=_xlfn.MAXIFS($A$2:$A$5001,$B$2:$B$5001,B4530,$I$2:$I$5001,I4530),1,0))</f>
        <v/>
      </c>
    </row>
    <row r="4531" customFormat="false" ht="15" hidden="false" customHeight="false" outlineLevel="0" collapsed="false">
      <c r="I4531" s="15" t="str">
        <f aca="false">IF(A4531="","",INT(A4531))</f>
        <v/>
      </c>
      <c r="J4531" s="16" t="str">
        <f aca="false">IF(B4531="","",IF(A4531=_xlfn.MINIFS($A$2:$A$5001,$B$2:$B$5001,B4531),1,0))</f>
        <v/>
      </c>
      <c r="K4531" s="16" t="str">
        <f aca="false">IF(B4531="","",IF(AND(D4531="Formalização",E4531="Concluído"),IF(COUNTIFS($B$2:$B$5001,B4531,$E$2:$E$5001,"Em ajustes",$A$2:$A$5001,"&lt;"&amp;I4531)&gt;0,1,0),0))</f>
        <v/>
      </c>
      <c r="L4531" s="16" t="str">
        <f aca="false">IF(B4531="","",IF(A4531=_xlfn.MAXIFS($A$2:$A$5001,$B$2:$B$5001,B4531,$I$2:$I$5001,I4531),1,0))</f>
        <v/>
      </c>
    </row>
    <row r="4532" customFormat="false" ht="15" hidden="false" customHeight="false" outlineLevel="0" collapsed="false">
      <c r="I4532" s="15" t="str">
        <f aca="false">IF(A4532="","",INT(A4532))</f>
        <v/>
      </c>
      <c r="J4532" s="16" t="str">
        <f aca="false">IF(B4532="","",IF(A4532=_xlfn.MINIFS($A$2:$A$5001,$B$2:$B$5001,B4532),1,0))</f>
        <v/>
      </c>
      <c r="K4532" s="16" t="str">
        <f aca="false">IF(B4532="","",IF(AND(D4532="Formalização",E4532="Concluído"),IF(COUNTIFS($B$2:$B$5001,B4532,$E$2:$E$5001,"Em ajustes",$A$2:$A$5001,"&lt;"&amp;I4532)&gt;0,1,0),0))</f>
        <v/>
      </c>
      <c r="L4532" s="16" t="str">
        <f aca="false">IF(B4532="","",IF(A4532=_xlfn.MAXIFS($A$2:$A$5001,$B$2:$B$5001,B4532,$I$2:$I$5001,I4532),1,0))</f>
        <v/>
      </c>
    </row>
    <row r="4533" customFormat="false" ht="15" hidden="false" customHeight="false" outlineLevel="0" collapsed="false">
      <c r="I4533" s="15" t="str">
        <f aca="false">IF(A4533="","",INT(A4533))</f>
        <v/>
      </c>
      <c r="J4533" s="16" t="str">
        <f aca="false">IF(B4533="","",IF(A4533=_xlfn.MINIFS($A$2:$A$5001,$B$2:$B$5001,B4533),1,0))</f>
        <v/>
      </c>
      <c r="K4533" s="16" t="str">
        <f aca="false">IF(B4533="","",IF(AND(D4533="Formalização",E4533="Concluído"),IF(COUNTIFS($B$2:$B$5001,B4533,$E$2:$E$5001,"Em ajustes",$A$2:$A$5001,"&lt;"&amp;I4533)&gt;0,1,0),0))</f>
        <v/>
      </c>
      <c r="L4533" s="16" t="str">
        <f aca="false">IF(B4533="","",IF(A4533=_xlfn.MAXIFS($A$2:$A$5001,$B$2:$B$5001,B4533,$I$2:$I$5001,I4533),1,0))</f>
        <v/>
      </c>
    </row>
    <row r="4534" customFormat="false" ht="15" hidden="false" customHeight="false" outlineLevel="0" collapsed="false">
      <c r="I4534" s="15" t="str">
        <f aca="false">IF(A4534="","",INT(A4534))</f>
        <v/>
      </c>
      <c r="J4534" s="16" t="str">
        <f aca="false">IF(B4534="","",IF(A4534=_xlfn.MINIFS($A$2:$A$5001,$B$2:$B$5001,B4534),1,0))</f>
        <v/>
      </c>
      <c r="K4534" s="16" t="str">
        <f aca="false">IF(B4534="","",IF(AND(D4534="Formalização",E4534="Concluído"),IF(COUNTIFS($B$2:$B$5001,B4534,$E$2:$E$5001,"Em ajustes",$A$2:$A$5001,"&lt;"&amp;I4534)&gt;0,1,0),0))</f>
        <v/>
      </c>
      <c r="L4534" s="16" t="str">
        <f aca="false">IF(B4534="","",IF(A4534=_xlfn.MAXIFS($A$2:$A$5001,$B$2:$B$5001,B4534,$I$2:$I$5001,I4534),1,0))</f>
        <v/>
      </c>
    </row>
    <row r="4535" customFormat="false" ht="15" hidden="false" customHeight="false" outlineLevel="0" collapsed="false">
      <c r="I4535" s="15" t="str">
        <f aca="false">IF(A4535="","",INT(A4535))</f>
        <v/>
      </c>
      <c r="J4535" s="16" t="str">
        <f aca="false">IF(B4535="","",IF(A4535=_xlfn.MINIFS($A$2:$A$5001,$B$2:$B$5001,B4535),1,0))</f>
        <v/>
      </c>
      <c r="K4535" s="16" t="str">
        <f aca="false">IF(B4535="","",IF(AND(D4535="Formalização",E4535="Concluído"),IF(COUNTIFS($B$2:$B$5001,B4535,$E$2:$E$5001,"Em ajustes",$A$2:$A$5001,"&lt;"&amp;I4535)&gt;0,1,0),0))</f>
        <v/>
      </c>
      <c r="L4535" s="16" t="str">
        <f aca="false">IF(B4535="","",IF(A4535=_xlfn.MAXIFS($A$2:$A$5001,$B$2:$B$5001,B4535,$I$2:$I$5001,I4535),1,0))</f>
        <v/>
      </c>
    </row>
    <row r="4536" customFormat="false" ht="15" hidden="false" customHeight="false" outlineLevel="0" collapsed="false">
      <c r="I4536" s="15" t="str">
        <f aca="false">IF(A4536="","",INT(A4536))</f>
        <v/>
      </c>
      <c r="J4536" s="16" t="str">
        <f aca="false">IF(B4536="","",IF(A4536=_xlfn.MINIFS($A$2:$A$5001,$B$2:$B$5001,B4536),1,0))</f>
        <v/>
      </c>
      <c r="K4536" s="16" t="str">
        <f aca="false">IF(B4536="","",IF(AND(D4536="Formalização",E4536="Concluído"),IF(COUNTIFS($B$2:$B$5001,B4536,$E$2:$E$5001,"Em ajustes",$A$2:$A$5001,"&lt;"&amp;I4536)&gt;0,1,0),0))</f>
        <v/>
      </c>
      <c r="L4536" s="16" t="str">
        <f aca="false">IF(B4536="","",IF(A4536=_xlfn.MAXIFS($A$2:$A$5001,$B$2:$B$5001,B4536,$I$2:$I$5001,I4536),1,0))</f>
        <v/>
      </c>
    </row>
    <row r="4537" customFormat="false" ht="15" hidden="false" customHeight="false" outlineLevel="0" collapsed="false">
      <c r="I4537" s="15" t="str">
        <f aca="false">IF(A4537="","",INT(A4537))</f>
        <v/>
      </c>
      <c r="J4537" s="16" t="str">
        <f aca="false">IF(B4537="","",IF(A4537=_xlfn.MINIFS($A$2:$A$5001,$B$2:$B$5001,B4537),1,0))</f>
        <v/>
      </c>
      <c r="K4537" s="16" t="str">
        <f aca="false">IF(B4537="","",IF(AND(D4537="Formalização",E4537="Concluído"),IF(COUNTIFS($B$2:$B$5001,B4537,$E$2:$E$5001,"Em ajustes",$A$2:$A$5001,"&lt;"&amp;I4537)&gt;0,1,0),0))</f>
        <v/>
      </c>
      <c r="L4537" s="16" t="str">
        <f aca="false">IF(B4537="","",IF(A4537=_xlfn.MAXIFS($A$2:$A$5001,$B$2:$B$5001,B4537,$I$2:$I$5001,I4537),1,0))</f>
        <v/>
      </c>
    </row>
    <row r="4538" customFormat="false" ht="15" hidden="false" customHeight="false" outlineLevel="0" collapsed="false">
      <c r="I4538" s="15" t="str">
        <f aca="false">IF(A4538="","",INT(A4538))</f>
        <v/>
      </c>
      <c r="J4538" s="16" t="str">
        <f aca="false">IF(B4538="","",IF(A4538=_xlfn.MINIFS($A$2:$A$5001,$B$2:$B$5001,B4538),1,0))</f>
        <v/>
      </c>
      <c r="K4538" s="16" t="str">
        <f aca="false">IF(B4538="","",IF(AND(D4538="Formalização",E4538="Concluído"),IF(COUNTIFS($B$2:$B$5001,B4538,$E$2:$E$5001,"Em ajustes",$A$2:$A$5001,"&lt;"&amp;I4538)&gt;0,1,0),0))</f>
        <v/>
      </c>
      <c r="L4538" s="16" t="str">
        <f aca="false">IF(B4538="","",IF(A4538=_xlfn.MAXIFS($A$2:$A$5001,$B$2:$B$5001,B4538,$I$2:$I$5001,I4538),1,0))</f>
        <v/>
      </c>
    </row>
    <row r="4539" customFormat="false" ht="15" hidden="false" customHeight="false" outlineLevel="0" collapsed="false">
      <c r="I4539" s="15" t="str">
        <f aca="false">IF(A4539="","",INT(A4539))</f>
        <v/>
      </c>
      <c r="J4539" s="16" t="str">
        <f aca="false">IF(B4539="","",IF(A4539=_xlfn.MINIFS($A$2:$A$5001,$B$2:$B$5001,B4539),1,0))</f>
        <v/>
      </c>
      <c r="K4539" s="16" t="str">
        <f aca="false">IF(B4539="","",IF(AND(D4539="Formalização",E4539="Concluído"),IF(COUNTIFS($B$2:$B$5001,B4539,$E$2:$E$5001,"Em ajustes",$A$2:$A$5001,"&lt;"&amp;I4539)&gt;0,1,0),0))</f>
        <v/>
      </c>
      <c r="L4539" s="16" t="str">
        <f aca="false">IF(B4539="","",IF(A4539=_xlfn.MAXIFS($A$2:$A$5001,$B$2:$B$5001,B4539,$I$2:$I$5001,I4539),1,0))</f>
        <v/>
      </c>
    </row>
    <row r="4540" customFormat="false" ht="15" hidden="false" customHeight="false" outlineLevel="0" collapsed="false">
      <c r="I4540" s="15" t="str">
        <f aca="false">IF(A4540="","",INT(A4540))</f>
        <v/>
      </c>
      <c r="J4540" s="16" t="str">
        <f aca="false">IF(B4540="","",IF(A4540=_xlfn.MINIFS($A$2:$A$5001,$B$2:$B$5001,B4540),1,0))</f>
        <v/>
      </c>
      <c r="K4540" s="16" t="str">
        <f aca="false">IF(B4540="","",IF(AND(D4540="Formalização",E4540="Concluído"),IF(COUNTIFS($B$2:$B$5001,B4540,$E$2:$E$5001,"Em ajustes",$A$2:$A$5001,"&lt;"&amp;I4540)&gt;0,1,0),0))</f>
        <v/>
      </c>
      <c r="L4540" s="16" t="str">
        <f aca="false">IF(B4540="","",IF(A4540=_xlfn.MAXIFS($A$2:$A$5001,$B$2:$B$5001,B4540,$I$2:$I$5001,I4540),1,0))</f>
        <v/>
      </c>
    </row>
    <row r="4541" customFormat="false" ht="15" hidden="false" customHeight="false" outlineLevel="0" collapsed="false">
      <c r="I4541" s="15" t="str">
        <f aca="false">IF(A4541="","",INT(A4541))</f>
        <v/>
      </c>
      <c r="J4541" s="16" t="str">
        <f aca="false">IF(B4541="","",IF(A4541=_xlfn.MINIFS($A$2:$A$5001,$B$2:$B$5001,B4541),1,0))</f>
        <v/>
      </c>
      <c r="K4541" s="16" t="str">
        <f aca="false">IF(B4541="","",IF(AND(D4541="Formalização",E4541="Concluído"),IF(COUNTIFS($B$2:$B$5001,B4541,$E$2:$E$5001,"Em ajustes",$A$2:$A$5001,"&lt;"&amp;I4541)&gt;0,1,0),0))</f>
        <v/>
      </c>
      <c r="L4541" s="16" t="str">
        <f aca="false">IF(B4541="","",IF(A4541=_xlfn.MAXIFS($A$2:$A$5001,$B$2:$B$5001,B4541,$I$2:$I$5001,I4541),1,0))</f>
        <v/>
      </c>
    </row>
    <row r="4542" customFormat="false" ht="15" hidden="false" customHeight="false" outlineLevel="0" collapsed="false">
      <c r="I4542" s="15" t="str">
        <f aca="false">IF(A4542="","",INT(A4542))</f>
        <v/>
      </c>
      <c r="J4542" s="16" t="str">
        <f aca="false">IF(B4542="","",IF(A4542=_xlfn.MINIFS($A$2:$A$5001,$B$2:$B$5001,B4542),1,0))</f>
        <v/>
      </c>
      <c r="K4542" s="16" t="str">
        <f aca="false">IF(B4542="","",IF(AND(D4542="Formalização",E4542="Concluído"),IF(COUNTIFS($B$2:$B$5001,B4542,$E$2:$E$5001,"Em ajustes",$A$2:$A$5001,"&lt;"&amp;I4542)&gt;0,1,0),0))</f>
        <v/>
      </c>
      <c r="L4542" s="16" t="str">
        <f aca="false">IF(B4542="","",IF(A4542=_xlfn.MAXIFS($A$2:$A$5001,$B$2:$B$5001,B4542,$I$2:$I$5001,I4542),1,0))</f>
        <v/>
      </c>
    </row>
    <row r="4543" customFormat="false" ht="15" hidden="false" customHeight="false" outlineLevel="0" collapsed="false">
      <c r="I4543" s="15" t="str">
        <f aca="false">IF(A4543="","",INT(A4543))</f>
        <v/>
      </c>
      <c r="J4543" s="16" t="str">
        <f aca="false">IF(B4543="","",IF(A4543=_xlfn.MINIFS($A$2:$A$5001,$B$2:$B$5001,B4543),1,0))</f>
        <v/>
      </c>
      <c r="K4543" s="16" t="str">
        <f aca="false">IF(B4543="","",IF(AND(D4543="Formalização",E4543="Concluído"),IF(COUNTIFS($B$2:$B$5001,B4543,$E$2:$E$5001,"Em ajustes",$A$2:$A$5001,"&lt;"&amp;I4543)&gt;0,1,0),0))</f>
        <v/>
      </c>
      <c r="L4543" s="16" t="str">
        <f aca="false">IF(B4543="","",IF(A4543=_xlfn.MAXIFS($A$2:$A$5001,$B$2:$B$5001,B4543,$I$2:$I$5001,I4543),1,0))</f>
        <v/>
      </c>
    </row>
    <row r="4544" customFormat="false" ht="15" hidden="false" customHeight="false" outlineLevel="0" collapsed="false">
      <c r="I4544" s="15" t="str">
        <f aca="false">IF(A4544="","",INT(A4544))</f>
        <v/>
      </c>
      <c r="J4544" s="16" t="str">
        <f aca="false">IF(B4544="","",IF(A4544=_xlfn.MINIFS($A$2:$A$5001,$B$2:$B$5001,B4544),1,0))</f>
        <v/>
      </c>
      <c r="K4544" s="16" t="str">
        <f aca="false">IF(B4544="","",IF(AND(D4544="Formalização",E4544="Concluído"),IF(COUNTIFS($B$2:$B$5001,B4544,$E$2:$E$5001,"Em ajustes",$A$2:$A$5001,"&lt;"&amp;I4544)&gt;0,1,0),0))</f>
        <v/>
      </c>
      <c r="L4544" s="16" t="str">
        <f aca="false">IF(B4544="","",IF(A4544=_xlfn.MAXIFS($A$2:$A$5001,$B$2:$B$5001,B4544,$I$2:$I$5001,I4544),1,0))</f>
        <v/>
      </c>
    </row>
    <row r="4545" customFormat="false" ht="15" hidden="false" customHeight="false" outlineLevel="0" collapsed="false">
      <c r="I4545" s="15" t="str">
        <f aca="false">IF(A4545="","",INT(A4545))</f>
        <v/>
      </c>
      <c r="J4545" s="16" t="str">
        <f aca="false">IF(B4545="","",IF(A4545=_xlfn.MINIFS($A$2:$A$5001,$B$2:$B$5001,B4545),1,0))</f>
        <v/>
      </c>
      <c r="K4545" s="16" t="str">
        <f aca="false">IF(B4545="","",IF(AND(D4545="Formalização",E4545="Concluído"),IF(COUNTIFS($B$2:$B$5001,B4545,$E$2:$E$5001,"Em ajustes",$A$2:$A$5001,"&lt;"&amp;I4545)&gt;0,1,0),0))</f>
        <v/>
      </c>
      <c r="L4545" s="16" t="str">
        <f aca="false">IF(B4545="","",IF(A4545=_xlfn.MAXIFS($A$2:$A$5001,$B$2:$B$5001,B4545,$I$2:$I$5001,I4545),1,0))</f>
        <v/>
      </c>
    </row>
    <row r="4546" customFormat="false" ht="15" hidden="false" customHeight="false" outlineLevel="0" collapsed="false">
      <c r="I4546" s="15" t="str">
        <f aca="false">IF(A4546="","",INT(A4546))</f>
        <v/>
      </c>
      <c r="J4546" s="16" t="str">
        <f aca="false">IF(B4546="","",IF(A4546=_xlfn.MINIFS($A$2:$A$5001,$B$2:$B$5001,B4546),1,0))</f>
        <v/>
      </c>
      <c r="K4546" s="16" t="str">
        <f aca="false">IF(B4546="","",IF(AND(D4546="Formalização",E4546="Concluído"),IF(COUNTIFS($B$2:$B$5001,B4546,$E$2:$E$5001,"Em ajustes",$A$2:$A$5001,"&lt;"&amp;I4546)&gt;0,1,0),0))</f>
        <v/>
      </c>
      <c r="L4546" s="16" t="str">
        <f aca="false">IF(B4546="","",IF(A4546=_xlfn.MAXIFS($A$2:$A$5001,$B$2:$B$5001,B4546,$I$2:$I$5001,I4546),1,0))</f>
        <v/>
      </c>
    </row>
    <row r="4547" customFormat="false" ht="15" hidden="false" customHeight="false" outlineLevel="0" collapsed="false">
      <c r="I4547" s="15" t="str">
        <f aca="false">IF(A4547="","",INT(A4547))</f>
        <v/>
      </c>
      <c r="J4547" s="16" t="str">
        <f aca="false">IF(B4547="","",IF(A4547=_xlfn.MINIFS($A$2:$A$5001,$B$2:$B$5001,B4547),1,0))</f>
        <v/>
      </c>
      <c r="K4547" s="16" t="str">
        <f aca="false">IF(B4547="","",IF(AND(D4547="Formalização",E4547="Concluído"),IF(COUNTIFS($B$2:$B$5001,B4547,$E$2:$E$5001,"Em ajustes",$A$2:$A$5001,"&lt;"&amp;I4547)&gt;0,1,0),0))</f>
        <v/>
      </c>
      <c r="L4547" s="16" t="str">
        <f aca="false">IF(B4547="","",IF(A4547=_xlfn.MAXIFS($A$2:$A$5001,$B$2:$B$5001,B4547,$I$2:$I$5001,I4547),1,0))</f>
        <v/>
      </c>
    </row>
    <row r="4548" customFormat="false" ht="15" hidden="false" customHeight="false" outlineLevel="0" collapsed="false">
      <c r="I4548" s="15" t="str">
        <f aca="false">IF(A4548="","",INT(A4548))</f>
        <v/>
      </c>
      <c r="J4548" s="16" t="str">
        <f aca="false">IF(B4548="","",IF(A4548=_xlfn.MINIFS($A$2:$A$5001,$B$2:$B$5001,B4548),1,0))</f>
        <v/>
      </c>
      <c r="K4548" s="16" t="str">
        <f aca="false">IF(B4548="","",IF(AND(D4548="Formalização",E4548="Concluído"),IF(COUNTIFS($B$2:$B$5001,B4548,$E$2:$E$5001,"Em ajustes",$A$2:$A$5001,"&lt;"&amp;I4548)&gt;0,1,0),0))</f>
        <v/>
      </c>
      <c r="L4548" s="16" t="str">
        <f aca="false">IF(B4548="","",IF(A4548=_xlfn.MAXIFS($A$2:$A$5001,$B$2:$B$5001,B4548,$I$2:$I$5001,I4548),1,0))</f>
        <v/>
      </c>
    </row>
    <row r="4549" customFormat="false" ht="15" hidden="false" customHeight="false" outlineLevel="0" collapsed="false">
      <c r="I4549" s="15" t="str">
        <f aca="false">IF(A4549="","",INT(A4549))</f>
        <v/>
      </c>
      <c r="J4549" s="16" t="str">
        <f aca="false">IF(B4549="","",IF(A4549=_xlfn.MINIFS($A$2:$A$5001,$B$2:$B$5001,B4549),1,0))</f>
        <v/>
      </c>
      <c r="K4549" s="16" t="str">
        <f aca="false">IF(B4549="","",IF(AND(D4549="Formalização",E4549="Concluído"),IF(COUNTIFS($B$2:$B$5001,B4549,$E$2:$E$5001,"Em ajustes",$A$2:$A$5001,"&lt;"&amp;I4549)&gt;0,1,0),0))</f>
        <v/>
      </c>
      <c r="L4549" s="16" t="str">
        <f aca="false">IF(B4549="","",IF(A4549=_xlfn.MAXIFS($A$2:$A$5001,$B$2:$B$5001,B4549,$I$2:$I$5001,I4549),1,0))</f>
        <v/>
      </c>
    </row>
    <row r="4550" customFormat="false" ht="15" hidden="false" customHeight="false" outlineLevel="0" collapsed="false">
      <c r="I4550" s="15" t="str">
        <f aca="false">IF(A4550="","",INT(A4550))</f>
        <v/>
      </c>
      <c r="J4550" s="16" t="str">
        <f aca="false">IF(B4550="","",IF(A4550=_xlfn.MINIFS($A$2:$A$5001,$B$2:$B$5001,B4550),1,0))</f>
        <v/>
      </c>
      <c r="K4550" s="16" t="str">
        <f aca="false">IF(B4550="","",IF(AND(D4550="Formalização",E4550="Concluído"),IF(COUNTIFS($B$2:$B$5001,B4550,$E$2:$E$5001,"Em ajustes",$A$2:$A$5001,"&lt;"&amp;I4550)&gt;0,1,0),0))</f>
        <v/>
      </c>
      <c r="L4550" s="16" t="str">
        <f aca="false">IF(B4550="","",IF(A4550=_xlfn.MAXIFS($A$2:$A$5001,$B$2:$B$5001,B4550,$I$2:$I$5001,I4550),1,0))</f>
        <v/>
      </c>
    </row>
    <row r="4551" customFormat="false" ht="15" hidden="false" customHeight="false" outlineLevel="0" collapsed="false">
      <c r="I4551" s="15" t="str">
        <f aca="false">IF(A4551="","",INT(A4551))</f>
        <v/>
      </c>
      <c r="J4551" s="16" t="str">
        <f aca="false">IF(B4551="","",IF(A4551=_xlfn.MINIFS($A$2:$A$5001,$B$2:$B$5001,B4551),1,0))</f>
        <v/>
      </c>
      <c r="K4551" s="16" t="str">
        <f aca="false">IF(B4551="","",IF(AND(D4551="Formalização",E4551="Concluído"),IF(COUNTIFS($B$2:$B$5001,B4551,$E$2:$E$5001,"Em ajustes",$A$2:$A$5001,"&lt;"&amp;I4551)&gt;0,1,0),0))</f>
        <v/>
      </c>
      <c r="L4551" s="16" t="str">
        <f aca="false">IF(B4551="","",IF(A4551=_xlfn.MAXIFS($A$2:$A$5001,$B$2:$B$5001,B4551,$I$2:$I$5001,I4551),1,0))</f>
        <v/>
      </c>
    </row>
    <row r="4552" customFormat="false" ht="15" hidden="false" customHeight="false" outlineLevel="0" collapsed="false">
      <c r="I4552" s="15" t="str">
        <f aca="false">IF(A4552="","",INT(A4552))</f>
        <v/>
      </c>
      <c r="J4552" s="16" t="str">
        <f aca="false">IF(B4552="","",IF(A4552=_xlfn.MINIFS($A$2:$A$5001,$B$2:$B$5001,B4552),1,0))</f>
        <v/>
      </c>
      <c r="K4552" s="16" t="str">
        <f aca="false">IF(B4552="","",IF(AND(D4552="Formalização",E4552="Concluído"),IF(COUNTIFS($B$2:$B$5001,B4552,$E$2:$E$5001,"Em ajustes",$A$2:$A$5001,"&lt;"&amp;I4552)&gt;0,1,0),0))</f>
        <v/>
      </c>
      <c r="L4552" s="16" t="str">
        <f aca="false">IF(B4552="","",IF(A4552=_xlfn.MAXIFS($A$2:$A$5001,$B$2:$B$5001,B4552,$I$2:$I$5001,I4552),1,0))</f>
        <v/>
      </c>
    </row>
    <row r="4553" customFormat="false" ht="15" hidden="false" customHeight="false" outlineLevel="0" collapsed="false">
      <c r="I4553" s="15" t="str">
        <f aca="false">IF(A4553="","",INT(A4553))</f>
        <v/>
      </c>
      <c r="J4553" s="16" t="str">
        <f aca="false">IF(B4553="","",IF(A4553=_xlfn.MINIFS($A$2:$A$5001,$B$2:$B$5001,B4553),1,0))</f>
        <v/>
      </c>
      <c r="K4553" s="16" t="str">
        <f aca="false">IF(B4553="","",IF(AND(D4553="Formalização",E4553="Concluído"),IF(COUNTIFS($B$2:$B$5001,B4553,$E$2:$E$5001,"Em ajustes",$A$2:$A$5001,"&lt;"&amp;I4553)&gt;0,1,0),0))</f>
        <v/>
      </c>
      <c r="L4553" s="16" t="str">
        <f aca="false">IF(B4553="","",IF(A4553=_xlfn.MAXIFS($A$2:$A$5001,$B$2:$B$5001,B4553,$I$2:$I$5001,I4553),1,0))</f>
        <v/>
      </c>
    </row>
    <row r="4554" customFormat="false" ht="15" hidden="false" customHeight="false" outlineLevel="0" collapsed="false">
      <c r="I4554" s="15" t="str">
        <f aca="false">IF(A4554="","",INT(A4554))</f>
        <v/>
      </c>
      <c r="J4554" s="16" t="str">
        <f aca="false">IF(B4554="","",IF(A4554=_xlfn.MINIFS($A$2:$A$5001,$B$2:$B$5001,B4554),1,0))</f>
        <v/>
      </c>
      <c r="K4554" s="16" t="str">
        <f aca="false">IF(B4554="","",IF(AND(D4554="Formalização",E4554="Concluído"),IF(COUNTIFS($B$2:$B$5001,B4554,$E$2:$E$5001,"Em ajustes",$A$2:$A$5001,"&lt;"&amp;I4554)&gt;0,1,0),0))</f>
        <v/>
      </c>
      <c r="L4554" s="16" t="str">
        <f aca="false">IF(B4554="","",IF(A4554=_xlfn.MAXIFS($A$2:$A$5001,$B$2:$B$5001,B4554,$I$2:$I$5001,I4554),1,0))</f>
        <v/>
      </c>
    </row>
    <row r="4555" customFormat="false" ht="15" hidden="false" customHeight="false" outlineLevel="0" collapsed="false">
      <c r="I4555" s="15" t="str">
        <f aca="false">IF(A4555="","",INT(A4555))</f>
        <v/>
      </c>
      <c r="J4555" s="16" t="str">
        <f aca="false">IF(B4555="","",IF(A4555=_xlfn.MINIFS($A$2:$A$5001,$B$2:$B$5001,B4555),1,0))</f>
        <v/>
      </c>
      <c r="K4555" s="16" t="str">
        <f aca="false">IF(B4555="","",IF(AND(D4555="Formalização",E4555="Concluído"),IF(COUNTIFS($B$2:$B$5001,B4555,$E$2:$E$5001,"Em ajustes",$A$2:$A$5001,"&lt;"&amp;I4555)&gt;0,1,0),0))</f>
        <v/>
      </c>
      <c r="L4555" s="16" t="str">
        <f aca="false">IF(B4555="","",IF(A4555=_xlfn.MAXIFS($A$2:$A$5001,$B$2:$B$5001,B4555,$I$2:$I$5001,I4555),1,0))</f>
        <v/>
      </c>
    </row>
    <row r="4556" customFormat="false" ht="15" hidden="false" customHeight="false" outlineLevel="0" collapsed="false">
      <c r="I4556" s="15" t="str">
        <f aca="false">IF(A4556="","",INT(A4556))</f>
        <v/>
      </c>
      <c r="J4556" s="16" t="str">
        <f aca="false">IF(B4556="","",IF(A4556=_xlfn.MINIFS($A$2:$A$5001,$B$2:$B$5001,B4556),1,0))</f>
        <v/>
      </c>
      <c r="K4556" s="16" t="str">
        <f aca="false">IF(B4556="","",IF(AND(D4556="Formalização",E4556="Concluído"),IF(COUNTIFS($B$2:$B$5001,B4556,$E$2:$E$5001,"Em ajustes",$A$2:$A$5001,"&lt;"&amp;I4556)&gt;0,1,0),0))</f>
        <v/>
      </c>
      <c r="L4556" s="16" t="str">
        <f aca="false">IF(B4556="","",IF(A4556=_xlfn.MAXIFS($A$2:$A$5001,$B$2:$B$5001,B4556,$I$2:$I$5001,I4556),1,0))</f>
        <v/>
      </c>
    </row>
    <row r="4557" customFormat="false" ht="15" hidden="false" customHeight="false" outlineLevel="0" collapsed="false">
      <c r="I4557" s="15" t="str">
        <f aca="false">IF(A4557="","",INT(A4557))</f>
        <v/>
      </c>
      <c r="J4557" s="16" t="str">
        <f aca="false">IF(B4557="","",IF(A4557=_xlfn.MINIFS($A$2:$A$5001,$B$2:$B$5001,B4557),1,0))</f>
        <v/>
      </c>
      <c r="K4557" s="16" t="str">
        <f aca="false">IF(B4557="","",IF(AND(D4557="Formalização",E4557="Concluído"),IF(COUNTIFS($B$2:$B$5001,B4557,$E$2:$E$5001,"Em ajustes",$A$2:$A$5001,"&lt;"&amp;I4557)&gt;0,1,0),0))</f>
        <v/>
      </c>
      <c r="L4557" s="16" t="str">
        <f aca="false">IF(B4557="","",IF(A4557=_xlfn.MAXIFS($A$2:$A$5001,$B$2:$B$5001,B4557,$I$2:$I$5001,I4557),1,0))</f>
        <v/>
      </c>
    </row>
    <row r="4558" customFormat="false" ht="15" hidden="false" customHeight="false" outlineLevel="0" collapsed="false">
      <c r="I4558" s="15" t="str">
        <f aca="false">IF(A4558="","",INT(A4558))</f>
        <v/>
      </c>
      <c r="J4558" s="16" t="str">
        <f aca="false">IF(B4558="","",IF(A4558=_xlfn.MINIFS($A$2:$A$5001,$B$2:$B$5001,B4558),1,0))</f>
        <v/>
      </c>
      <c r="K4558" s="16" t="str">
        <f aca="false">IF(B4558="","",IF(AND(D4558="Formalização",E4558="Concluído"),IF(COUNTIFS($B$2:$B$5001,B4558,$E$2:$E$5001,"Em ajustes",$A$2:$A$5001,"&lt;"&amp;I4558)&gt;0,1,0),0))</f>
        <v/>
      </c>
      <c r="L4558" s="16" t="str">
        <f aca="false">IF(B4558="","",IF(A4558=_xlfn.MAXIFS($A$2:$A$5001,$B$2:$B$5001,B4558,$I$2:$I$5001,I4558),1,0))</f>
        <v/>
      </c>
    </row>
    <row r="4559" customFormat="false" ht="15" hidden="false" customHeight="false" outlineLevel="0" collapsed="false">
      <c r="I4559" s="15" t="str">
        <f aca="false">IF(A4559="","",INT(A4559))</f>
        <v/>
      </c>
      <c r="J4559" s="16" t="str">
        <f aca="false">IF(B4559="","",IF(A4559=_xlfn.MINIFS($A$2:$A$5001,$B$2:$B$5001,B4559),1,0))</f>
        <v/>
      </c>
      <c r="K4559" s="16" t="str">
        <f aca="false">IF(B4559="","",IF(AND(D4559="Formalização",E4559="Concluído"),IF(COUNTIFS($B$2:$B$5001,B4559,$E$2:$E$5001,"Em ajustes",$A$2:$A$5001,"&lt;"&amp;I4559)&gt;0,1,0),0))</f>
        <v/>
      </c>
      <c r="L4559" s="16" t="str">
        <f aca="false">IF(B4559="","",IF(A4559=_xlfn.MAXIFS($A$2:$A$5001,$B$2:$B$5001,B4559,$I$2:$I$5001,I4559),1,0))</f>
        <v/>
      </c>
    </row>
    <row r="4560" customFormat="false" ht="15" hidden="false" customHeight="false" outlineLevel="0" collapsed="false">
      <c r="I4560" s="15" t="str">
        <f aca="false">IF(A4560="","",INT(A4560))</f>
        <v/>
      </c>
      <c r="J4560" s="16" t="str">
        <f aca="false">IF(B4560="","",IF(A4560=_xlfn.MINIFS($A$2:$A$5001,$B$2:$B$5001,B4560),1,0))</f>
        <v/>
      </c>
      <c r="K4560" s="16" t="str">
        <f aca="false">IF(B4560="","",IF(AND(D4560="Formalização",E4560="Concluído"),IF(COUNTIFS($B$2:$B$5001,B4560,$E$2:$E$5001,"Em ajustes",$A$2:$A$5001,"&lt;"&amp;I4560)&gt;0,1,0),0))</f>
        <v/>
      </c>
      <c r="L4560" s="16" t="str">
        <f aca="false">IF(B4560="","",IF(A4560=_xlfn.MAXIFS($A$2:$A$5001,$B$2:$B$5001,B4560,$I$2:$I$5001,I4560),1,0))</f>
        <v/>
      </c>
    </row>
    <row r="4561" customFormat="false" ht="15" hidden="false" customHeight="false" outlineLevel="0" collapsed="false">
      <c r="I4561" s="15" t="str">
        <f aca="false">IF(A4561="","",INT(A4561))</f>
        <v/>
      </c>
      <c r="J4561" s="16" t="str">
        <f aca="false">IF(B4561="","",IF(A4561=_xlfn.MINIFS($A$2:$A$5001,$B$2:$B$5001,B4561),1,0))</f>
        <v/>
      </c>
      <c r="K4561" s="16" t="str">
        <f aca="false">IF(B4561="","",IF(AND(D4561="Formalização",E4561="Concluído"),IF(COUNTIFS($B$2:$B$5001,B4561,$E$2:$E$5001,"Em ajustes",$A$2:$A$5001,"&lt;"&amp;I4561)&gt;0,1,0),0))</f>
        <v/>
      </c>
      <c r="L4561" s="16" t="str">
        <f aca="false">IF(B4561="","",IF(A4561=_xlfn.MAXIFS($A$2:$A$5001,$B$2:$B$5001,B4561,$I$2:$I$5001,I4561),1,0))</f>
        <v/>
      </c>
    </row>
    <row r="4562" customFormat="false" ht="15" hidden="false" customHeight="false" outlineLevel="0" collapsed="false">
      <c r="I4562" s="15" t="str">
        <f aca="false">IF(A4562="","",INT(A4562))</f>
        <v/>
      </c>
      <c r="J4562" s="16" t="str">
        <f aca="false">IF(B4562="","",IF(A4562=_xlfn.MINIFS($A$2:$A$5001,$B$2:$B$5001,B4562),1,0))</f>
        <v/>
      </c>
      <c r="K4562" s="16" t="str">
        <f aca="false">IF(B4562="","",IF(AND(D4562="Formalização",E4562="Concluído"),IF(COUNTIFS($B$2:$B$5001,B4562,$E$2:$E$5001,"Em ajustes",$A$2:$A$5001,"&lt;"&amp;I4562)&gt;0,1,0),0))</f>
        <v/>
      </c>
      <c r="L4562" s="16" t="str">
        <f aca="false">IF(B4562="","",IF(A4562=_xlfn.MAXIFS($A$2:$A$5001,$B$2:$B$5001,B4562,$I$2:$I$5001,I4562),1,0))</f>
        <v/>
      </c>
    </row>
    <row r="4563" customFormat="false" ht="15" hidden="false" customHeight="false" outlineLevel="0" collapsed="false">
      <c r="I4563" s="15" t="str">
        <f aca="false">IF(A4563="","",INT(A4563))</f>
        <v/>
      </c>
      <c r="J4563" s="16" t="str">
        <f aca="false">IF(B4563="","",IF(A4563=_xlfn.MINIFS($A$2:$A$5001,$B$2:$B$5001,B4563),1,0))</f>
        <v/>
      </c>
      <c r="K4563" s="16" t="str">
        <f aca="false">IF(B4563="","",IF(AND(D4563="Formalização",E4563="Concluído"),IF(COUNTIFS($B$2:$B$5001,B4563,$E$2:$E$5001,"Em ajustes",$A$2:$A$5001,"&lt;"&amp;I4563)&gt;0,1,0),0))</f>
        <v/>
      </c>
      <c r="L4563" s="16" t="str">
        <f aca="false">IF(B4563="","",IF(A4563=_xlfn.MAXIFS($A$2:$A$5001,$B$2:$B$5001,B4563,$I$2:$I$5001,I4563),1,0))</f>
        <v/>
      </c>
    </row>
    <row r="4564" customFormat="false" ht="15" hidden="false" customHeight="false" outlineLevel="0" collapsed="false">
      <c r="I4564" s="15" t="str">
        <f aca="false">IF(A4564="","",INT(A4564))</f>
        <v/>
      </c>
      <c r="J4564" s="16" t="str">
        <f aca="false">IF(B4564="","",IF(A4564=_xlfn.MINIFS($A$2:$A$5001,$B$2:$B$5001,B4564),1,0))</f>
        <v/>
      </c>
      <c r="K4564" s="16" t="str">
        <f aca="false">IF(B4564="","",IF(AND(D4564="Formalização",E4564="Concluído"),IF(COUNTIFS($B$2:$B$5001,B4564,$E$2:$E$5001,"Em ajustes",$A$2:$A$5001,"&lt;"&amp;I4564)&gt;0,1,0),0))</f>
        <v/>
      </c>
      <c r="L4564" s="16" t="str">
        <f aca="false">IF(B4564="","",IF(A4564=_xlfn.MAXIFS($A$2:$A$5001,$B$2:$B$5001,B4564,$I$2:$I$5001,I4564),1,0))</f>
        <v/>
      </c>
    </row>
    <row r="4565" customFormat="false" ht="15" hidden="false" customHeight="false" outlineLevel="0" collapsed="false">
      <c r="I4565" s="15" t="str">
        <f aca="false">IF(A4565="","",INT(A4565))</f>
        <v/>
      </c>
      <c r="J4565" s="16" t="str">
        <f aca="false">IF(B4565="","",IF(A4565=_xlfn.MINIFS($A$2:$A$5001,$B$2:$B$5001,B4565),1,0))</f>
        <v/>
      </c>
      <c r="K4565" s="16" t="str">
        <f aca="false">IF(B4565="","",IF(AND(D4565="Formalização",E4565="Concluído"),IF(COUNTIFS($B$2:$B$5001,B4565,$E$2:$E$5001,"Em ajustes",$A$2:$A$5001,"&lt;"&amp;I4565)&gt;0,1,0),0))</f>
        <v/>
      </c>
      <c r="L4565" s="16" t="str">
        <f aca="false">IF(B4565="","",IF(A4565=_xlfn.MAXIFS($A$2:$A$5001,$B$2:$B$5001,B4565,$I$2:$I$5001,I4565),1,0))</f>
        <v/>
      </c>
    </row>
    <row r="4566" customFormat="false" ht="15" hidden="false" customHeight="false" outlineLevel="0" collapsed="false">
      <c r="I4566" s="15" t="str">
        <f aca="false">IF(A4566="","",INT(A4566))</f>
        <v/>
      </c>
      <c r="J4566" s="16" t="str">
        <f aca="false">IF(B4566="","",IF(A4566=_xlfn.MINIFS($A$2:$A$5001,$B$2:$B$5001,B4566),1,0))</f>
        <v/>
      </c>
      <c r="K4566" s="16" t="str">
        <f aca="false">IF(B4566="","",IF(AND(D4566="Formalização",E4566="Concluído"),IF(COUNTIFS($B$2:$B$5001,B4566,$E$2:$E$5001,"Em ajustes",$A$2:$A$5001,"&lt;"&amp;I4566)&gt;0,1,0),0))</f>
        <v/>
      </c>
      <c r="L4566" s="16" t="str">
        <f aca="false">IF(B4566="","",IF(A4566=_xlfn.MAXIFS($A$2:$A$5001,$B$2:$B$5001,B4566,$I$2:$I$5001,I4566),1,0))</f>
        <v/>
      </c>
    </row>
    <row r="4567" customFormat="false" ht="15" hidden="false" customHeight="false" outlineLevel="0" collapsed="false">
      <c r="I4567" s="15" t="str">
        <f aca="false">IF(A4567="","",INT(A4567))</f>
        <v/>
      </c>
      <c r="J4567" s="16" t="str">
        <f aca="false">IF(B4567="","",IF(A4567=_xlfn.MINIFS($A$2:$A$5001,$B$2:$B$5001,B4567),1,0))</f>
        <v/>
      </c>
      <c r="K4567" s="16" t="str">
        <f aca="false">IF(B4567="","",IF(AND(D4567="Formalização",E4567="Concluído"),IF(COUNTIFS($B$2:$B$5001,B4567,$E$2:$E$5001,"Em ajustes",$A$2:$A$5001,"&lt;"&amp;I4567)&gt;0,1,0),0))</f>
        <v/>
      </c>
      <c r="L4567" s="16" t="str">
        <f aca="false">IF(B4567="","",IF(A4567=_xlfn.MAXIFS($A$2:$A$5001,$B$2:$B$5001,B4567,$I$2:$I$5001,I4567),1,0))</f>
        <v/>
      </c>
    </row>
    <row r="4568" customFormat="false" ht="15" hidden="false" customHeight="false" outlineLevel="0" collapsed="false">
      <c r="I4568" s="15" t="str">
        <f aca="false">IF(A4568="","",INT(A4568))</f>
        <v/>
      </c>
      <c r="J4568" s="16" t="str">
        <f aca="false">IF(B4568="","",IF(A4568=_xlfn.MINIFS($A$2:$A$5001,$B$2:$B$5001,B4568),1,0))</f>
        <v/>
      </c>
      <c r="K4568" s="16" t="str">
        <f aca="false">IF(B4568="","",IF(AND(D4568="Formalização",E4568="Concluído"),IF(COUNTIFS($B$2:$B$5001,B4568,$E$2:$E$5001,"Em ajustes",$A$2:$A$5001,"&lt;"&amp;I4568)&gt;0,1,0),0))</f>
        <v/>
      </c>
      <c r="L4568" s="16" t="str">
        <f aca="false">IF(B4568="","",IF(A4568=_xlfn.MAXIFS($A$2:$A$5001,$B$2:$B$5001,B4568,$I$2:$I$5001,I4568),1,0))</f>
        <v/>
      </c>
    </row>
    <row r="4569" customFormat="false" ht="15" hidden="false" customHeight="false" outlineLevel="0" collapsed="false">
      <c r="I4569" s="15" t="str">
        <f aca="false">IF(A4569="","",INT(A4569))</f>
        <v/>
      </c>
      <c r="J4569" s="16" t="str">
        <f aca="false">IF(B4569="","",IF(A4569=_xlfn.MINIFS($A$2:$A$5001,$B$2:$B$5001,B4569),1,0))</f>
        <v/>
      </c>
      <c r="K4569" s="16" t="str">
        <f aca="false">IF(B4569="","",IF(AND(D4569="Formalização",E4569="Concluído"),IF(COUNTIFS($B$2:$B$5001,B4569,$E$2:$E$5001,"Em ajustes",$A$2:$A$5001,"&lt;"&amp;I4569)&gt;0,1,0),0))</f>
        <v/>
      </c>
      <c r="L4569" s="16" t="str">
        <f aca="false">IF(B4569="","",IF(A4569=_xlfn.MAXIFS($A$2:$A$5001,$B$2:$B$5001,B4569,$I$2:$I$5001,I4569),1,0))</f>
        <v/>
      </c>
    </row>
    <row r="4570" customFormat="false" ht="15" hidden="false" customHeight="false" outlineLevel="0" collapsed="false">
      <c r="I4570" s="15" t="str">
        <f aca="false">IF(A4570="","",INT(A4570))</f>
        <v/>
      </c>
      <c r="J4570" s="16" t="str">
        <f aca="false">IF(B4570="","",IF(A4570=_xlfn.MINIFS($A$2:$A$5001,$B$2:$B$5001,B4570),1,0))</f>
        <v/>
      </c>
      <c r="K4570" s="16" t="str">
        <f aca="false">IF(B4570="","",IF(AND(D4570="Formalização",E4570="Concluído"),IF(COUNTIFS($B$2:$B$5001,B4570,$E$2:$E$5001,"Em ajustes",$A$2:$A$5001,"&lt;"&amp;I4570)&gt;0,1,0),0))</f>
        <v/>
      </c>
      <c r="L4570" s="16" t="str">
        <f aca="false">IF(B4570="","",IF(A4570=_xlfn.MAXIFS($A$2:$A$5001,$B$2:$B$5001,B4570,$I$2:$I$5001,I4570),1,0))</f>
        <v/>
      </c>
    </row>
    <row r="4571" customFormat="false" ht="15" hidden="false" customHeight="false" outlineLevel="0" collapsed="false">
      <c r="I4571" s="15" t="str">
        <f aca="false">IF(A4571="","",INT(A4571))</f>
        <v/>
      </c>
      <c r="J4571" s="16" t="str">
        <f aca="false">IF(B4571="","",IF(A4571=_xlfn.MINIFS($A$2:$A$5001,$B$2:$B$5001,B4571),1,0))</f>
        <v/>
      </c>
      <c r="K4571" s="16" t="str">
        <f aca="false">IF(B4571="","",IF(AND(D4571="Formalização",E4571="Concluído"),IF(COUNTIFS($B$2:$B$5001,B4571,$E$2:$E$5001,"Em ajustes",$A$2:$A$5001,"&lt;"&amp;I4571)&gt;0,1,0),0))</f>
        <v/>
      </c>
      <c r="L4571" s="16" t="str">
        <f aca="false">IF(B4571="","",IF(A4571=_xlfn.MAXIFS($A$2:$A$5001,$B$2:$B$5001,B4571,$I$2:$I$5001,I4571),1,0))</f>
        <v/>
      </c>
    </row>
    <row r="4572" customFormat="false" ht="15" hidden="false" customHeight="false" outlineLevel="0" collapsed="false">
      <c r="I4572" s="15" t="str">
        <f aca="false">IF(A4572="","",INT(A4572))</f>
        <v/>
      </c>
      <c r="J4572" s="16" t="str">
        <f aca="false">IF(B4572="","",IF(A4572=_xlfn.MINIFS($A$2:$A$5001,$B$2:$B$5001,B4572),1,0))</f>
        <v/>
      </c>
      <c r="K4572" s="16" t="str">
        <f aca="false">IF(B4572="","",IF(AND(D4572="Formalização",E4572="Concluído"),IF(COUNTIFS($B$2:$B$5001,B4572,$E$2:$E$5001,"Em ajustes",$A$2:$A$5001,"&lt;"&amp;I4572)&gt;0,1,0),0))</f>
        <v/>
      </c>
      <c r="L4572" s="16" t="str">
        <f aca="false">IF(B4572="","",IF(A4572=_xlfn.MAXIFS($A$2:$A$5001,$B$2:$B$5001,B4572,$I$2:$I$5001,I4572),1,0))</f>
        <v/>
      </c>
    </row>
    <row r="4573" customFormat="false" ht="15" hidden="false" customHeight="false" outlineLevel="0" collapsed="false">
      <c r="I4573" s="15" t="str">
        <f aca="false">IF(A4573="","",INT(A4573))</f>
        <v/>
      </c>
      <c r="J4573" s="16" t="str">
        <f aca="false">IF(B4573="","",IF(A4573=_xlfn.MINIFS($A$2:$A$5001,$B$2:$B$5001,B4573),1,0))</f>
        <v/>
      </c>
      <c r="K4573" s="16" t="str">
        <f aca="false">IF(B4573="","",IF(AND(D4573="Formalização",E4573="Concluído"),IF(COUNTIFS($B$2:$B$5001,B4573,$E$2:$E$5001,"Em ajustes",$A$2:$A$5001,"&lt;"&amp;I4573)&gt;0,1,0),0))</f>
        <v/>
      </c>
      <c r="L4573" s="16" t="str">
        <f aca="false">IF(B4573="","",IF(A4573=_xlfn.MAXIFS($A$2:$A$5001,$B$2:$B$5001,B4573,$I$2:$I$5001,I4573),1,0))</f>
        <v/>
      </c>
    </row>
    <row r="4574" customFormat="false" ht="15" hidden="false" customHeight="false" outlineLevel="0" collapsed="false">
      <c r="I4574" s="15" t="str">
        <f aca="false">IF(A4574="","",INT(A4574))</f>
        <v/>
      </c>
      <c r="J4574" s="16" t="str">
        <f aca="false">IF(B4574="","",IF(A4574=_xlfn.MINIFS($A$2:$A$5001,$B$2:$B$5001,B4574),1,0))</f>
        <v/>
      </c>
      <c r="K4574" s="16" t="str">
        <f aca="false">IF(B4574="","",IF(AND(D4574="Formalização",E4574="Concluído"),IF(COUNTIFS($B$2:$B$5001,B4574,$E$2:$E$5001,"Em ajustes",$A$2:$A$5001,"&lt;"&amp;I4574)&gt;0,1,0),0))</f>
        <v/>
      </c>
      <c r="L4574" s="16" t="str">
        <f aca="false">IF(B4574="","",IF(A4574=_xlfn.MAXIFS($A$2:$A$5001,$B$2:$B$5001,B4574,$I$2:$I$5001,I4574),1,0))</f>
        <v/>
      </c>
    </row>
    <row r="4575" customFormat="false" ht="15" hidden="false" customHeight="false" outlineLevel="0" collapsed="false">
      <c r="I4575" s="15" t="str">
        <f aca="false">IF(A4575="","",INT(A4575))</f>
        <v/>
      </c>
      <c r="J4575" s="16" t="str">
        <f aca="false">IF(B4575="","",IF(A4575=_xlfn.MINIFS($A$2:$A$5001,$B$2:$B$5001,B4575),1,0))</f>
        <v/>
      </c>
      <c r="K4575" s="16" t="str">
        <f aca="false">IF(B4575="","",IF(AND(D4575="Formalização",E4575="Concluído"),IF(COUNTIFS($B$2:$B$5001,B4575,$E$2:$E$5001,"Em ajustes",$A$2:$A$5001,"&lt;"&amp;I4575)&gt;0,1,0),0))</f>
        <v/>
      </c>
      <c r="L4575" s="16" t="str">
        <f aca="false">IF(B4575="","",IF(A4575=_xlfn.MAXIFS($A$2:$A$5001,$B$2:$B$5001,B4575,$I$2:$I$5001,I4575),1,0))</f>
        <v/>
      </c>
    </row>
    <row r="4576" customFormat="false" ht="15" hidden="false" customHeight="false" outlineLevel="0" collapsed="false">
      <c r="I4576" s="15" t="str">
        <f aca="false">IF(A4576="","",INT(A4576))</f>
        <v/>
      </c>
      <c r="J4576" s="16" t="str">
        <f aca="false">IF(B4576="","",IF(A4576=_xlfn.MINIFS($A$2:$A$5001,$B$2:$B$5001,B4576),1,0))</f>
        <v/>
      </c>
      <c r="K4576" s="16" t="str">
        <f aca="false">IF(B4576="","",IF(AND(D4576="Formalização",E4576="Concluído"),IF(COUNTIFS($B$2:$B$5001,B4576,$E$2:$E$5001,"Em ajustes",$A$2:$A$5001,"&lt;"&amp;I4576)&gt;0,1,0),0))</f>
        <v/>
      </c>
      <c r="L4576" s="16" t="str">
        <f aca="false">IF(B4576="","",IF(A4576=_xlfn.MAXIFS($A$2:$A$5001,$B$2:$B$5001,B4576,$I$2:$I$5001,I4576),1,0))</f>
        <v/>
      </c>
    </row>
    <row r="4577" customFormat="false" ht="15" hidden="false" customHeight="false" outlineLevel="0" collapsed="false">
      <c r="I4577" s="15" t="str">
        <f aca="false">IF(A4577="","",INT(A4577))</f>
        <v/>
      </c>
      <c r="J4577" s="16" t="str">
        <f aca="false">IF(B4577="","",IF(A4577=_xlfn.MINIFS($A$2:$A$5001,$B$2:$B$5001,B4577),1,0))</f>
        <v/>
      </c>
      <c r="K4577" s="16" t="str">
        <f aca="false">IF(B4577="","",IF(AND(D4577="Formalização",E4577="Concluído"),IF(COUNTIFS($B$2:$B$5001,B4577,$E$2:$E$5001,"Em ajustes",$A$2:$A$5001,"&lt;"&amp;I4577)&gt;0,1,0),0))</f>
        <v/>
      </c>
      <c r="L4577" s="16" t="str">
        <f aca="false">IF(B4577="","",IF(A4577=_xlfn.MAXIFS($A$2:$A$5001,$B$2:$B$5001,B4577,$I$2:$I$5001,I4577),1,0))</f>
        <v/>
      </c>
    </row>
    <row r="4578" customFormat="false" ht="15" hidden="false" customHeight="false" outlineLevel="0" collapsed="false">
      <c r="I4578" s="15" t="str">
        <f aca="false">IF(A4578="","",INT(A4578))</f>
        <v/>
      </c>
      <c r="J4578" s="16" t="str">
        <f aca="false">IF(B4578="","",IF(A4578=_xlfn.MINIFS($A$2:$A$5001,$B$2:$B$5001,B4578),1,0))</f>
        <v/>
      </c>
      <c r="K4578" s="16" t="str">
        <f aca="false">IF(B4578="","",IF(AND(D4578="Formalização",E4578="Concluído"),IF(COUNTIFS($B$2:$B$5001,B4578,$E$2:$E$5001,"Em ajustes",$A$2:$A$5001,"&lt;"&amp;I4578)&gt;0,1,0),0))</f>
        <v/>
      </c>
      <c r="L4578" s="16" t="str">
        <f aca="false">IF(B4578="","",IF(A4578=_xlfn.MAXIFS($A$2:$A$5001,$B$2:$B$5001,B4578,$I$2:$I$5001,I4578),1,0))</f>
        <v/>
      </c>
    </row>
    <row r="4579" customFormat="false" ht="15" hidden="false" customHeight="false" outlineLevel="0" collapsed="false">
      <c r="I4579" s="15" t="str">
        <f aca="false">IF(A4579="","",INT(A4579))</f>
        <v/>
      </c>
      <c r="J4579" s="16" t="str">
        <f aca="false">IF(B4579="","",IF(A4579=_xlfn.MINIFS($A$2:$A$5001,$B$2:$B$5001,B4579),1,0))</f>
        <v/>
      </c>
      <c r="K4579" s="16" t="str">
        <f aca="false">IF(B4579="","",IF(AND(D4579="Formalização",E4579="Concluído"),IF(COUNTIFS($B$2:$B$5001,B4579,$E$2:$E$5001,"Em ajustes",$A$2:$A$5001,"&lt;"&amp;I4579)&gt;0,1,0),0))</f>
        <v/>
      </c>
      <c r="L4579" s="16" t="str">
        <f aca="false">IF(B4579="","",IF(A4579=_xlfn.MAXIFS($A$2:$A$5001,$B$2:$B$5001,B4579,$I$2:$I$5001,I4579),1,0))</f>
        <v/>
      </c>
    </row>
    <row r="4580" customFormat="false" ht="15" hidden="false" customHeight="false" outlineLevel="0" collapsed="false">
      <c r="I4580" s="15" t="str">
        <f aca="false">IF(A4580="","",INT(A4580))</f>
        <v/>
      </c>
      <c r="J4580" s="16" t="str">
        <f aca="false">IF(B4580="","",IF(A4580=_xlfn.MINIFS($A$2:$A$5001,$B$2:$B$5001,B4580),1,0))</f>
        <v/>
      </c>
      <c r="K4580" s="16" t="str">
        <f aca="false">IF(B4580="","",IF(AND(D4580="Formalização",E4580="Concluído"),IF(COUNTIFS($B$2:$B$5001,B4580,$E$2:$E$5001,"Em ajustes",$A$2:$A$5001,"&lt;"&amp;I4580)&gt;0,1,0),0))</f>
        <v/>
      </c>
      <c r="L4580" s="16" t="str">
        <f aca="false">IF(B4580="","",IF(A4580=_xlfn.MAXIFS($A$2:$A$5001,$B$2:$B$5001,B4580,$I$2:$I$5001,I4580),1,0))</f>
        <v/>
      </c>
    </row>
    <row r="4581" customFormat="false" ht="15" hidden="false" customHeight="false" outlineLevel="0" collapsed="false">
      <c r="I4581" s="15" t="str">
        <f aca="false">IF(A4581="","",INT(A4581))</f>
        <v/>
      </c>
      <c r="J4581" s="16" t="str">
        <f aca="false">IF(B4581="","",IF(A4581=_xlfn.MINIFS($A$2:$A$5001,$B$2:$B$5001,B4581),1,0))</f>
        <v/>
      </c>
      <c r="K4581" s="16" t="str">
        <f aca="false">IF(B4581="","",IF(AND(D4581="Formalização",E4581="Concluído"),IF(COUNTIFS($B$2:$B$5001,B4581,$E$2:$E$5001,"Em ajustes",$A$2:$A$5001,"&lt;"&amp;I4581)&gt;0,1,0),0))</f>
        <v/>
      </c>
      <c r="L4581" s="16" t="str">
        <f aca="false">IF(B4581="","",IF(A4581=_xlfn.MAXIFS($A$2:$A$5001,$B$2:$B$5001,B4581,$I$2:$I$5001,I4581),1,0))</f>
        <v/>
      </c>
    </row>
    <row r="4582" customFormat="false" ht="15" hidden="false" customHeight="false" outlineLevel="0" collapsed="false">
      <c r="I4582" s="15" t="str">
        <f aca="false">IF(A4582="","",INT(A4582))</f>
        <v/>
      </c>
      <c r="J4582" s="16" t="str">
        <f aca="false">IF(B4582="","",IF(A4582=_xlfn.MINIFS($A$2:$A$5001,$B$2:$B$5001,B4582),1,0))</f>
        <v/>
      </c>
      <c r="K4582" s="16" t="str">
        <f aca="false">IF(B4582="","",IF(AND(D4582="Formalização",E4582="Concluído"),IF(COUNTIFS($B$2:$B$5001,B4582,$E$2:$E$5001,"Em ajustes",$A$2:$A$5001,"&lt;"&amp;I4582)&gt;0,1,0),0))</f>
        <v/>
      </c>
      <c r="L4582" s="16" t="str">
        <f aca="false">IF(B4582="","",IF(A4582=_xlfn.MAXIFS($A$2:$A$5001,$B$2:$B$5001,B4582,$I$2:$I$5001,I4582),1,0))</f>
        <v/>
      </c>
    </row>
    <row r="4583" customFormat="false" ht="15" hidden="false" customHeight="false" outlineLevel="0" collapsed="false">
      <c r="I4583" s="15" t="str">
        <f aca="false">IF(A4583="","",INT(A4583))</f>
        <v/>
      </c>
      <c r="J4583" s="16" t="str">
        <f aca="false">IF(B4583="","",IF(A4583=_xlfn.MINIFS($A$2:$A$5001,$B$2:$B$5001,B4583),1,0))</f>
        <v/>
      </c>
      <c r="K4583" s="16" t="str">
        <f aca="false">IF(B4583="","",IF(AND(D4583="Formalização",E4583="Concluído"),IF(COUNTIFS($B$2:$B$5001,B4583,$E$2:$E$5001,"Em ajustes",$A$2:$A$5001,"&lt;"&amp;I4583)&gt;0,1,0),0))</f>
        <v/>
      </c>
      <c r="L4583" s="16" t="str">
        <f aca="false">IF(B4583="","",IF(A4583=_xlfn.MAXIFS($A$2:$A$5001,$B$2:$B$5001,B4583,$I$2:$I$5001,I4583),1,0))</f>
        <v/>
      </c>
    </row>
    <row r="4584" customFormat="false" ht="15" hidden="false" customHeight="false" outlineLevel="0" collapsed="false">
      <c r="I4584" s="15" t="str">
        <f aca="false">IF(A4584="","",INT(A4584))</f>
        <v/>
      </c>
      <c r="J4584" s="16" t="str">
        <f aca="false">IF(B4584="","",IF(A4584=_xlfn.MINIFS($A$2:$A$5001,$B$2:$B$5001,B4584),1,0))</f>
        <v/>
      </c>
      <c r="K4584" s="16" t="str">
        <f aca="false">IF(B4584="","",IF(AND(D4584="Formalização",E4584="Concluído"),IF(COUNTIFS($B$2:$B$5001,B4584,$E$2:$E$5001,"Em ajustes",$A$2:$A$5001,"&lt;"&amp;I4584)&gt;0,1,0),0))</f>
        <v/>
      </c>
      <c r="L4584" s="16" t="str">
        <f aca="false">IF(B4584="","",IF(A4584=_xlfn.MAXIFS($A$2:$A$5001,$B$2:$B$5001,B4584,$I$2:$I$5001,I4584),1,0))</f>
        <v/>
      </c>
    </row>
    <row r="4585" customFormat="false" ht="15" hidden="false" customHeight="false" outlineLevel="0" collapsed="false">
      <c r="I4585" s="15" t="str">
        <f aca="false">IF(A4585="","",INT(A4585))</f>
        <v/>
      </c>
      <c r="J4585" s="16" t="str">
        <f aca="false">IF(B4585="","",IF(A4585=_xlfn.MINIFS($A$2:$A$5001,$B$2:$B$5001,B4585),1,0))</f>
        <v/>
      </c>
      <c r="K4585" s="16" t="str">
        <f aca="false">IF(B4585="","",IF(AND(D4585="Formalização",E4585="Concluído"),IF(COUNTIFS($B$2:$B$5001,B4585,$E$2:$E$5001,"Em ajustes",$A$2:$A$5001,"&lt;"&amp;I4585)&gt;0,1,0),0))</f>
        <v/>
      </c>
      <c r="L4585" s="16" t="str">
        <f aca="false">IF(B4585="","",IF(A4585=_xlfn.MAXIFS($A$2:$A$5001,$B$2:$B$5001,B4585,$I$2:$I$5001,I4585),1,0))</f>
        <v/>
      </c>
    </row>
    <row r="4586" customFormat="false" ht="15" hidden="false" customHeight="false" outlineLevel="0" collapsed="false">
      <c r="I4586" s="15" t="str">
        <f aca="false">IF(A4586="","",INT(A4586))</f>
        <v/>
      </c>
      <c r="J4586" s="16" t="str">
        <f aca="false">IF(B4586="","",IF(A4586=_xlfn.MINIFS($A$2:$A$5001,$B$2:$B$5001,B4586),1,0))</f>
        <v/>
      </c>
      <c r="K4586" s="16" t="str">
        <f aca="false">IF(B4586="","",IF(AND(D4586="Formalização",E4586="Concluído"),IF(COUNTIFS($B$2:$B$5001,B4586,$E$2:$E$5001,"Em ajustes",$A$2:$A$5001,"&lt;"&amp;I4586)&gt;0,1,0),0))</f>
        <v/>
      </c>
      <c r="L4586" s="16" t="str">
        <f aca="false">IF(B4586="","",IF(A4586=_xlfn.MAXIFS($A$2:$A$5001,$B$2:$B$5001,B4586,$I$2:$I$5001,I4586),1,0))</f>
        <v/>
      </c>
    </row>
    <row r="4587" customFormat="false" ht="15" hidden="false" customHeight="false" outlineLevel="0" collapsed="false">
      <c r="I4587" s="15" t="str">
        <f aca="false">IF(A4587="","",INT(A4587))</f>
        <v/>
      </c>
      <c r="J4587" s="16" t="str">
        <f aca="false">IF(B4587="","",IF(A4587=_xlfn.MINIFS($A$2:$A$5001,$B$2:$B$5001,B4587),1,0))</f>
        <v/>
      </c>
      <c r="K4587" s="16" t="str">
        <f aca="false">IF(B4587="","",IF(AND(D4587="Formalização",E4587="Concluído"),IF(COUNTIFS($B$2:$B$5001,B4587,$E$2:$E$5001,"Em ajustes",$A$2:$A$5001,"&lt;"&amp;I4587)&gt;0,1,0),0))</f>
        <v/>
      </c>
      <c r="L4587" s="16" t="str">
        <f aca="false">IF(B4587="","",IF(A4587=_xlfn.MAXIFS($A$2:$A$5001,$B$2:$B$5001,B4587,$I$2:$I$5001,I4587),1,0))</f>
        <v/>
      </c>
    </row>
    <row r="4588" customFormat="false" ht="15" hidden="false" customHeight="false" outlineLevel="0" collapsed="false">
      <c r="I4588" s="15" t="str">
        <f aca="false">IF(A4588="","",INT(A4588))</f>
        <v/>
      </c>
      <c r="J4588" s="16" t="str">
        <f aca="false">IF(B4588="","",IF(A4588=_xlfn.MINIFS($A$2:$A$5001,$B$2:$B$5001,B4588),1,0))</f>
        <v/>
      </c>
      <c r="K4588" s="16" t="str">
        <f aca="false">IF(B4588="","",IF(AND(D4588="Formalização",E4588="Concluído"),IF(COUNTIFS($B$2:$B$5001,B4588,$E$2:$E$5001,"Em ajustes",$A$2:$A$5001,"&lt;"&amp;I4588)&gt;0,1,0),0))</f>
        <v/>
      </c>
      <c r="L4588" s="16" t="str">
        <f aca="false">IF(B4588="","",IF(A4588=_xlfn.MAXIFS($A$2:$A$5001,$B$2:$B$5001,B4588,$I$2:$I$5001,I4588),1,0))</f>
        <v/>
      </c>
    </row>
    <row r="4589" customFormat="false" ht="15" hidden="false" customHeight="false" outlineLevel="0" collapsed="false">
      <c r="I4589" s="15" t="str">
        <f aca="false">IF(A4589="","",INT(A4589))</f>
        <v/>
      </c>
      <c r="J4589" s="16" t="str">
        <f aca="false">IF(B4589="","",IF(A4589=_xlfn.MINIFS($A$2:$A$5001,$B$2:$B$5001,B4589),1,0))</f>
        <v/>
      </c>
      <c r="K4589" s="16" t="str">
        <f aca="false">IF(B4589="","",IF(AND(D4589="Formalização",E4589="Concluído"),IF(COUNTIFS($B$2:$B$5001,B4589,$E$2:$E$5001,"Em ajustes",$A$2:$A$5001,"&lt;"&amp;I4589)&gt;0,1,0),0))</f>
        <v/>
      </c>
      <c r="L4589" s="16" t="str">
        <f aca="false">IF(B4589="","",IF(A4589=_xlfn.MAXIFS($A$2:$A$5001,$B$2:$B$5001,B4589,$I$2:$I$5001,I4589),1,0))</f>
        <v/>
      </c>
    </row>
    <row r="4590" customFormat="false" ht="15" hidden="false" customHeight="false" outlineLevel="0" collapsed="false">
      <c r="I4590" s="15" t="str">
        <f aca="false">IF(A4590="","",INT(A4590))</f>
        <v/>
      </c>
      <c r="J4590" s="16" t="str">
        <f aca="false">IF(B4590="","",IF(A4590=_xlfn.MINIFS($A$2:$A$5001,$B$2:$B$5001,B4590),1,0))</f>
        <v/>
      </c>
      <c r="K4590" s="16" t="str">
        <f aca="false">IF(B4590="","",IF(AND(D4590="Formalização",E4590="Concluído"),IF(COUNTIFS($B$2:$B$5001,B4590,$E$2:$E$5001,"Em ajustes",$A$2:$A$5001,"&lt;"&amp;I4590)&gt;0,1,0),0))</f>
        <v/>
      </c>
      <c r="L4590" s="16" t="str">
        <f aca="false">IF(B4590="","",IF(A4590=_xlfn.MAXIFS($A$2:$A$5001,$B$2:$B$5001,B4590,$I$2:$I$5001,I4590),1,0))</f>
        <v/>
      </c>
    </row>
    <row r="4591" customFormat="false" ht="15" hidden="false" customHeight="false" outlineLevel="0" collapsed="false">
      <c r="I4591" s="15" t="str">
        <f aca="false">IF(A4591="","",INT(A4591))</f>
        <v/>
      </c>
      <c r="J4591" s="16" t="str">
        <f aca="false">IF(B4591="","",IF(A4591=_xlfn.MINIFS($A$2:$A$5001,$B$2:$B$5001,B4591),1,0))</f>
        <v/>
      </c>
      <c r="K4591" s="16" t="str">
        <f aca="false">IF(B4591="","",IF(AND(D4591="Formalização",E4591="Concluído"),IF(COUNTIFS($B$2:$B$5001,B4591,$E$2:$E$5001,"Em ajustes",$A$2:$A$5001,"&lt;"&amp;I4591)&gt;0,1,0),0))</f>
        <v/>
      </c>
      <c r="L4591" s="16" t="str">
        <f aca="false">IF(B4591="","",IF(A4591=_xlfn.MAXIFS($A$2:$A$5001,$B$2:$B$5001,B4591,$I$2:$I$5001,I4591),1,0))</f>
        <v/>
      </c>
    </row>
    <row r="4592" customFormat="false" ht="15" hidden="false" customHeight="false" outlineLevel="0" collapsed="false">
      <c r="I4592" s="15" t="str">
        <f aca="false">IF(A4592="","",INT(A4592))</f>
        <v/>
      </c>
      <c r="J4592" s="16" t="str">
        <f aca="false">IF(B4592="","",IF(A4592=_xlfn.MINIFS($A$2:$A$5001,$B$2:$B$5001,B4592),1,0))</f>
        <v/>
      </c>
      <c r="K4592" s="16" t="str">
        <f aca="false">IF(B4592="","",IF(AND(D4592="Formalização",E4592="Concluído"),IF(COUNTIFS($B$2:$B$5001,B4592,$E$2:$E$5001,"Em ajustes",$A$2:$A$5001,"&lt;"&amp;I4592)&gt;0,1,0),0))</f>
        <v/>
      </c>
      <c r="L4592" s="16" t="str">
        <f aca="false">IF(B4592="","",IF(A4592=_xlfn.MAXIFS($A$2:$A$5001,$B$2:$B$5001,B4592,$I$2:$I$5001,I4592),1,0))</f>
        <v/>
      </c>
    </row>
    <row r="4593" customFormat="false" ht="15" hidden="false" customHeight="false" outlineLevel="0" collapsed="false">
      <c r="I4593" s="15" t="str">
        <f aca="false">IF(A4593="","",INT(A4593))</f>
        <v/>
      </c>
      <c r="J4593" s="16" t="str">
        <f aca="false">IF(B4593="","",IF(A4593=_xlfn.MINIFS($A$2:$A$5001,$B$2:$B$5001,B4593),1,0))</f>
        <v/>
      </c>
      <c r="K4593" s="16" t="str">
        <f aca="false">IF(B4593="","",IF(AND(D4593="Formalização",E4593="Concluído"),IF(COUNTIFS($B$2:$B$5001,B4593,$E$2:$E$5001,"Em ajustes",$A$2:$A$5001,"&lt;"&amp;I4593)&gt;0,1,0),0))</f>
        <v/>
      </c>
      <c r="L4593" s="16" t="str">
        <f aca="false">IF(B4593="","",IF(A4593=_xlfn.MAXIFS($A$2:$A$5001,$B$2:$B$5001,B4593,$I$2:$I$5001,I4593),1,0))</f>
        <v/>
      </c>
    </row>
    <row r="4594" customFormat="false" ht="15" hidden="false" customHeight="false" outlineLevel="0" collapsed="false">
      <c r="I4594" s="15" t="str">
        <f aca="false">IF(A4594="","",INT(A4594))</f>
        <v/>
      </c>
      <c r="J4594" s="16" t="str">
        <f aca="false">IF(B4594="","",IF(A4594=_xlfn.MINIFS($A$2:$A$5001,$B$2:$B$5001,B4594),1,0))</f>
        <v/>
      </c>
      <c r="K4594" s="16" t="str">
        <f aca="false">IF(B4594="","",IF(AND(D4594="Formalização",E4594="Concluído"),IF(COUNTIFS($B$2:$B$5001,B4594,$E$2:$E$5001,"Em ajustes",$A$2:$A$5001,"&lt;"&amp;I4594)&gt;0,1,0),0))</f>
        <v/>
      </c>
      <c r="L4594" s="16" t="str">
        <f aca="false">IF(B4594="","",IF(A4594=_xlfn.MAXIFS($A$2:$A$5001,$B$2:$B$5001,B4594,$I$2:$I$5001,I4594),1,0))</f>
        <v/>
      </c>
    </row>
    <row r="4595" customFormat="false" ht="15" hidden="false" customHeight="false" outlineLevel="0" collapsed="false">
      <c r="I4595" s="15" t="str">
        <f aca="false">IF(A4595="","",INT(A4595))</f>
        <v/>
      </c>
      <c r="J4595" s="16" t="str">
        <f aca="false">IF(B4595="","",IF(A4595=_xlfn.MINIFS($A$2:$A$5001,$B$2:$B$5001,B4595),1,0))</f>
        <v/>
      </c>
      <c r="K4595" s="16" t="str">
        <f aca="false">IF(B4595="","",IF(AND(D4595="Formalização",E4595="Concluído"),IF(COUNTIFS($B$2:$B$5001,B4595,$E$2:$E$5001,"Em ajustes",$A$2:$A$5001,"&lt;"&amp;I4595)&gt;0,1,0),0))</f>
        <v/>
      </c>
      <c r="L4595" s="16" t="str">
        <f aca="false">IF(B4595="","",IF(A4595=_xlfn.MAXIFS($A$2:$A$5001,$B$2:$B$5001,B4595,$I$2:$I$5001,I4595),1,0))</f>
        <v/>
      </c>
    </row>
    <row r="4596" customFormat="false" ht="15" hidden="false" customHeight="false" outlineLevel="0" collapsed="false">
      <c r="I4596" s="15" t="str">
        <f aca="false">IF(A4596="","",INT(A4596))</f>
        <v/>
      </c>
      <c r="J4596" s="16" t="str">
        <f aca="false">IF(B4596="","",IF(A4596=_xlfn.MINIFS($A$2:$A$5001,$B$2:$B$5001,B4596),1,0))</f>
        <v/>
      </c>
      <c r="K4596" s="16" t="str">
        <f aca="false">IF(B4596="","",IF(AND(D4596="Formalização",E4596="Concluído"),IF(COUNTIFS($B$2:$B$5001,B4596,$E$2:$E$5001,"Em ajustes",$A$2:$A$5001,"&lt;"&amp;I4596)&gt;0,1,0),0))</f>
        <v/>
      </c>
      <c r="L4596" s="16" t="str">
        <f aca="false">IF(B4596="","",IF(A4596=_xlfn.MAXIFS($A$2:$A$5001,$B$2:$B$5001,B4596,$I$2:$I$5001,I4596),1,0))</f>
        <v/>
      </c>
    </row>
    <row r="4597" customFormat="false" ht="15" hidden="false" customHeight="false" outlineLevel="0" collapsed="false">
      <c r="I4597" s="15" t="str">
        <f aca="false">IF(A4597="","",INT(A4597))</f>
        <v/>
      </c>
      <c r="J4597" s="16" t="str">
        <f aca="false">IF(B4597="","",IF(A4597=_xlfn.MINIFS($A$2:$A$5001,$B$2:$B$5001,B4597),1,0))</f>
        <v/>
      </c>
      <c r="K4597" s="16" t="str">
        <f aca="false">IF(B4597="","",IF(AND(D4597="Formalização",E4597="Concluído"),IF(COUNTIFS($B$2:$B$5001,B4597,$E$2:$E$5001,"Em ajustes",$A$2:$A$5001,"&lt;"&amp;I4597)&gt;0,1,0),0))</f>
        <v/>
      </c>
      <c r="L4597" s="16" t="str">
        <f aca="false">IF(B4597="","",IF(A4597=_xlfn.MAXIFS($A$2:$A$5001,$B$2:$B$5001,B4597,$I$2:$I$5001,I4597),1,0))</f>
        <v/>
      </c>
    </row>
    <row r="4598" customFormat="false" ht="15" hidden="false" customHeight="false" outlineLevel="0" collapsed="false">
      <c r="I4598" s="15" t="str">
        <f aca="false">IF(A4598="","",INT(A4598))</f>
        <v/>
      </c>
      <c r="J4598" s="16" t="str">
        <f aca="false">IF(B4598="","",IF(A4598=_xlfn.MINIFS($A$2:$A$5001,$B$2:$B$5001,B4598),1,0))</f>
        <v/>
      </c>
      <c r="K4598" s="16" t="str">
        <f aca="false">IF(B4598="","",IF(AND(D4598="Formalização",E4598="Concluído"),IF(COUNTIFS($B$2:$B$5001,B4598,$E$2:$E$5001,"Em ajustes",$A$2:$A$5001,"&lt;"&amp;I4598)&gt;0,1,0),0))</f>
        <v/>
      </c>
      <c r="L4598" s="16" t="str">
        <f aca="false">IF(B4598="","",IF(A4598=_xlfn.MAXIFS($A$2:$A$5001,$B$2:$B$5001,B4598,$I$2:$I$5001,I4598),1,0))</f>
        <v/>
      </c>
    </row>
    <row r="4599" customFormat="false" ht="15" hidden="false" customHeight="false" outlineLevel="0" collapsed="false">
      <c r="I4599" s="15" t="str">
        <f aca="false">IF(A4599="","",INT(A4599))</f>
        <v/>
      </c>
      <c r="J4599" s="16" t="str">
        <f aca="false">IF(B4599="","",IF(A4599=_xlfn.MINIFS($A$2:$A$5001,$B$2:$B$5001,B4599),1,0))</f>
        <v/>
      </c>
      <c r="K4599" s="16" t="str">
        <f aca="false">IF(B4599="","",IF(AND(D4599="Formalização",E4599="Concluído"),IF(COUNTIFS($B$2:$B$5001,B4599,$E$2:$E$5001,"Em ajustes",$A$2:$A$5001,"&lt;"&amp;I4599)&gt;0,1,0),0))</f>
        <v/>
      </c>
      <c r="L4599" s="16" t="str">
        <f aca="false">IF(B4599="","",IF(A4599=_xlfn.MAXIFS($A$2:$A$5001,$B$2:$B$5001,B4599,$I$2:$I$5001,I4599),1,0))</f>
        <v/>
      </c>
    </row>
    <row r="4600" customFormat="false" ht="15" hidden="false" customHeight="false" outlineLevel="0" collapsed="false">
      <c r="I4600" s="15" t="str">
        <f aca="false">IF(A4600="","",INT(A4600))</f>
        <v/>
      </c>
      <c r="J4600" s="16" t="str">
        <f aca="false">IF(B4600="","",IF(A4600=_xlfn.MINIFS($A$2:$A$5001,$B$2:$B$5001,B4600),1,0))</f>
        <v/>
      </c>
      <c r="K4600" s="16" t="str">
        <f aca="false">IF(B4600="","",IF(AND(D4600="Formalização",E4600="Concluído"),IF(COUNTIFS($B$2:$B$5001,B4600,$E$2:$E$5001,"Em ajustes",$A$2:$A$5001,"&lt;"&amp;I4600)&gt;0,1,0),0))</f>
        <v/>
      </c>
      <c r="L4600" s="16" t="str">
        <f aca="false">IF(B4600="","",IF(A4600=_xlfn.MAXIFS($A$2:$A$5001,$B$2:$B$5001,B4600,$I$2:$I$5001,I4600),1,0))</f>
        <v/>
      </c>
    </row>
    <row r="4601" customFormat="false" ht="15" hidden="false" customHeight="false" outlineLevel="0" collapsed="false">
      <c r="I4601" s="15" t="str">
        <f aca="false">IF(A4601="","",INT(A4601))</f>
        <v/>
      </c>
      <c r="J4601" s="16" t="str">
        <f aca="false">IF(B4601="","",IF(A4601=_xlfn.MINIFS($A$2:$A$5001,$B$2:$B$5001,B4601),1,0))</f>
        <v/>
      </c>
      <c r="K4601" s="16" t="str">
        <f aca="false">IF(B4601="","",IF(AND(D4601="Formalização",E4601="Concluído"),IF(COUNTIFS($B$2:$B$5001,B4601,$E$2:$E$5001,"Em ajustes",$A$2:$A$5001,"&lt;"&amp;I4601)&gt;0,1,0),0))</f>
        <v/>
      </c>
      <c r="L4601" s="16" t="str">
        <f aca="false">IF(B4601="","",IF(A4601=_xlfn.MAXIFS($A$2:$A$5001,$B$2:$B$5001,B4601,$I$2:$I$5001,I4601),1,0))</f>
        <v/>
      </c>
    </row>
    <row r="4602" customFormat="false" ht="15" hidden="false" customHeight="false" outlineLevel="0" collapsed="false">
      <c r="I4602" s="15" t="str">
        <f aca="false">IF(A4602="","",INT(A4602))</f>
        <v/>
      </c>
      <c r="J4602" s="16" t="str">
        <f aca="false">IF(B4602="","",IF(A4602=_xlfn.MINIFS($A$2:$A$5001,$B$2:$B$5001,B4602),1,0))</f>
        <v/>
      </c>
      <c r="K4602" s="16" t="str">
        <f aca="false">IF(B4602="","",IF(AND(D4602="Formalização",E4602="Concluído"),IF(COUNTIFS($B$2:$B$5001,B4602,$E$2:$E$5001,"Em ajustes",$A$2:$A$5001,"&lt;"&amp;I4602)&gt;0,1,0),0))</f>
        <v/>
      </c>
      <c r="L4602" s="16" t="str">
        <f aca="false">IF(B4602="","",IF(A4602=_xlfn.MAXIFS($A$2:$A$5001,$B$2:$B$5001,B4602,$I$2:$I$5001,I4602),1,0))</f>
        <v/>
      </c>
    </row>
    <row r="4603" customFormat="false" ht="15" hidden="false" customHeight="false" outlineLevel="0" collapsed="false">
      <c r="I4603" s="15" t="str">
        <f aca="false">IF(A4603="","",INT(A4603))</f>
        <v/>
      </c>
      <c r="J4603" s="16" t="str">
        <f aca="false">IF(B4603="","",IF(A4603=_xlfn.MINIFS($A$2:$A$5001,$B$2:$B$5001,B4603),1,0))</f>
        <v/>
      </c>
      <c r="K4603" s="16" t="str">
        <f aca="false">IF(B4603="","",IF(AND(D4603="Formalização",E4603="Concluído"),IF(COUNTIFS($B$2:$B$5001,B4603,$E$2:$E$5001,"Em ajustes",$A$2:$A$5001,"&lt;"&amp;I4603)&gt;0,1,0),0))</f>
        <v/>
      </c>
      <c r="L4603" s="16" t="str">
        <f aca="false">IF(B4603="","",IF(A4603=_xlfn.MAXIFS($A$2:$A$5001,$B$2:$B$5001,B4603,$I$2:$I$5001,I4603),1,0))</f>
        <v/>
      </c>
    </row>
    <row r="4604" customFormat="false" ht="15" hidden="false" customHeight="false" outlineLevel="0" collapsed="false">
      <c r="I4604" s="15" t="str">
        <f aca="false">IF(A4604="","",INT(A4604))</f>
        <v/>
      </c>
      <c r="J4604" s="16" t="str">
        <f aca="false">IF(B4604="","",IF(A4604=_xlfn.MINIFS($A$2:$A$5001,$B$2:$B$5001,B4604),1,0))</f>
        <v/>
      </c>
      <c r="K4604" s="16" t="str">
        <f aca="false">IF(B4604="","",IF(AND(D4604="Formalização",E4604="Concluído"),IF(COUNTIFS($B$2:$B$5001,B4604,$E$2:$E$5001,"Em ajustes",$A$2:$A$5001,"&lt;"&amp;I4604)&gt;0,1,0),0))</f>
        <v/>
      </c>
      <c r="L4604" s="16" t="str">
        <f aca="false">IF(B4604="","",IF(A4604=_xlfn.MAXIFS($A$2:$A$5001,$B$2:$B$5001,B4604,$I$2:$I$5001,I4604),1,0))</f>
        <v/>
      </c>
    </row>
    <row r="4605" customFormat="false" ht="15" hidden="false" customHeight="false" outlineLevel="0" collapsed="false">
      <c r="I4605" s="15" t="str">
        <f aca="false">IF(A4605="","",INT(A4605))</f>
        <v/>
      </c>
      <c r="J4605" s="16" t="str">
        <f aca="false">IF(B4605="","",IF(A4605=_xlfn.MINIFS($A$2:$A$5001,$B$2:$B$5001,B4605),1,0))</f>
        <v/>
      </c>
      <c r="K4605" s="16" t="str">
        <f aca="false">IF(B4605="","",IF(AND(D4605="Formalização",E4605="Concluído"),IF(COUNTIFS($B$2:$B$5001,B4605,$E$2:$E$5001,"Em ajustes",$A$2:$A$5001,"&lt;"&amp;I4605)&gt;0,1,0),0))</f>
        <v/>
      </c>
      <c r="L4605" s="16" t="str">
        <f aca="false">IF(B4605="","",IF(A4605=_xlfn.MAXIFS($A$2:$A$5001,$B$2:$B$5001,B4605,$I$2:$I$5001,I4605),1,0))</f>
        <v/>
      </c>
    </row>
    <row r="4606" customFormat="false" ht="15" hidden="false" customHeight="false" outlineLevel="0" collapsed="false">
      <c r="I4606" s="15" t="str">
        <f aca="false">IF(A4606="","",INT(A4606))</f>
        <v/>
      </c>
      <c r="J4606" s="16" t="str">
        <f aca="false">IF(B4606="","",IF(A4606=_xlfn.MINIFS($A$2:$A$5001,$B$2:$B$5001,B4606),1,0))</f>
        <v/>
      </c>
      <c r="K4606" s="16" t="str">
        <f aca="false">IF(B4606="","",IF(AND(D4606="Formalização",E4606="Concluído"),IF(COUNTIFS($B$2:$B$5001,B4606,$E$2:$E$5001,"Em ajustes",$A$2:$A$5001,"&lt;"&amp;I4606)&gt;0,1,0),0))</f>
        <v/>
      </c>
      <c r="L4606" s="16" t="str">
        <f aca="false">IF(B4606="","",IF(A4606=_xlfn.MAXIFS($A$2:$A$5001,$B$2:$B$5001,B4606,$I$2:$I$5001,I4606),1,0))</f>
        <v/>
      </c>
    </row>
    <row r="4607" customFormat="false" ht="15" hidden="false" customHeight="false" outlineLevel="0" collapsed="false">
      <c r="I4607" s="15" t="str">
        <f aca="false">IF(A4607="","",INT(A4607))</f>
        <v/>
      </c>
      <c r="J4607" s="16" t="str">
        <f aca="false">IF(B4607="","",IF(A4607=_xlfn.MINIFS($A$2:$A$5001,$B$2:$B$5001,B4607),1,0))</f>
        <v/>
      </c>
      <c r="K4607" s="16" t="str">
        <f aca="false">IF(B4607="","",IF(AND(D4607="Formalização",E4607="Concluído"),IF(COUNTIFS($B$2:$B$5001,B4607,$E$2:$E$5001,"Em ajustes",$A$2:$A$5001,"&lt;"&amp;I4607)&gt;0,1,0),0))</f>
        <v/>
      </c>
      <c r="L4607" s="16" t="str">
        <f aca="false">IF(B4607="","",IF(A4607=_xlfn.MAXIFS($A$2:$A$5001,$B$2:$B$5001,B4607,$I$2:$I$5001,I4607),1,0))</f>
        <v/>
      </c>
    </row>
    <row r="4608" customFormat="false" ht="15" hidden="false" customHeight="false" outlineLevel="0" collapsed="false">
      <c r="I4608" s="15" t="str">
        <f aca="false">IF(A4608="","",INT(A4608))</f>
        <v/>
      </c>
      <c r="J4608" s="16" t="str">
        <f aca="false">IF(B4608="","",IF(A4608=_xlfn.MINIFS($A$2:$A$5001,$B$2:$B$5001,B4608),1,0))</f>
        <v/>
      </c>
      <c r="K4608" s="16" t="str">
        <f aca="false">IF(B4608="","",IF(AND(D4608="Formalização",E4608="Concluído"),IF(COUNTIFS($B$2:$B$5001,B4608,$E$2:$E$5001,"Em ajustes",$A$2:$A$5001,"&lt;"&amp;I4608)&gt;0,1,0),0))</f>
        <v/>
      </c>
      <c r="L4608" s="16" t="str">
        <f aca="false">IF(B4608="","",IF(A4608=_xlfn.MAXIFS($A$2:$A$5001,$B$2:$B$5001,B4608,$I$2:$I$5001,I4608),1,0))</f>
        <v/>
      </c>
    </row>
    <row r="4609" customFormat="false" ht="15" hidden="false" customHeight="false" outlineLevel="0" collapsed="false">
      <c r="I4609" s="15" t="str">
        <f aca="false">IF(A4609="","",INT(A4609))</f>
        <v/>
      </c>
      <c r="J4609" s="16" t="str">
        <f aca="false">IF(B4609="","",IF(A4609=_xlfn.MINIFS($A$2:$A$5001,$B$2:$B$5001,B4609),1,0))</f>
        <v/>
      </c>
      <c r="K4609" s="16" t="str">
        <f aca="false">IF(B4609="","",IF(AND(D4609="Formalização",E4609="Concluído"),IF(COUNTIFS($B$2:$B$5001,B4609,$E$2:$E$5001,"Em ajustes",$A$2:$A$5001,"&lt;"&amp;I4609)&gt;0,1,0),0))</f>
        <v/>
      </c>
      <c r="L4609" s="16" t="str">
        <f aca="false">IF(B4609="","",IF(A4609=_xlfn.MAXIFS($A$2:$A$5001,$B$2:$B$5001,B4609,$I$2:$I$5001,I4609),1,0))</f>
        <v/>
      </c>
    </row>
    <row r="4610" customFormat="false" ht="15" hidden="false" customHeight="false" outlineLevel="0" collapsed="false">
      <c r="I4610" s="15" t="str">
        <f aca="false">IF(A4610="","",INT(A4610))</f>
        <v/>
      </c>
      <c r="J4610" s="16" t="str">
        <f aca="false">IF(B4610="","",IF(A4610=_xlfn.MINIFS($A$2:$A$5001,$B$2:$B$5001,B4610),1,0))</f>
        <v/>
      </c>
      <c r="K4610" s="16" t="str">
        <f aca="false">IF(B4610="","",IF(AND(D4610="Formalização",E4610="Concluído"),IF(COUNTIFS($B$2:$B$5001,B4610,$E$2:$E$5001,"Em ajustes",$A$2:$A$5001,"&lt;"&amp;I4610)&gt;0,1,0),0))</f>
        <v/>
      </c>
      <c r="L4610" s="16" t="str">
        <f aca="false">IF(B4610="","",IF(A4610=_xlfn.MAXIFS($A$2:$A$5001,$B$2:$B$5001,B4610,$I$2:$I$5001,I4610),1,0))</f>
        <v/>
      </c>
    </row>
    <row r="4611" customFormat="false" ht="15" hidden="false" customHeight="false" outlineLevel="0" collapsed="false">
      <c r="I4611" s="15" t="str">
        <f aca="false">IF(A4611="","",INT(A4611))</f>
        <v/>
      </c>
      <c r="J4611" s="16" t="str">
        <f aca="false">IF(B4611="","",IF(A4611=_xlfn.MINIFS($A$2:$A$5001,$B$2:$B$5001,B4611),1,0))</f>
        <v/>
      </c>
      <c r="K4611" s="16" t="str">
        <f aca="false">IF(B4611="","",IF(AND(D4611="Formalização",E4611="Concluído"),IF(COUNTIFS($B$2:$B$5001,B4611,$E$2:$E$5001,"Em ajustes",$A$2:$A$5001,"&lt;"&amp;I4611)&gt;0,1,0),0))</f>
        <v/>
      </c>
      <c r="L4611" s="16" t="str">
        <f aca="false">IF(B4611="","",IF(A4611=_xlfn.MAXIFS($A$2:$A$5001,$B$2:$B$5001,B4611,$I$2:$I$5001,I4611),1,0))</f>
        <v/>
      </c>
    </row>
    <row r="4612" customFormat="false" ht="15" hidden="false" customHeight="false" outlineLevel="0" collapsed="false">
      <c r="I4612" s="15" t="str">
        <f aca="false">IF(A4612="","",INT(A4612))</f>
        <v/>
      </c>
      <c r="J4612" s="16" t="str">
        <f aca="false">IF(B4612="","",IF(A4612=_xlfn.MINIFS($A$2:$A$5001,$B$2:$B$5001,B4612),1,0))</f>
        <v/>
      </c>
      <c r="K4612" s="16" t="str">
        <f aca="false">IF(B4612="","",IF(AND(D4612="Formalização",E4612="Concluído"),IF(COUNTIFS($B$2:$B$5001,B4612,$E$2:$E$5001,"Em ajustes",$A$2:$A$5001,"&lt;"&amp;I4612)&gt;0,1,0),0))</f>
        <v/>
      </c>
      <c r="L4612" s="16" t="str">
        <f aca="false">IF(B4612="","",IF(A4612=_xlfn.MAXIFS($A$2:$A$5001,$B$2:$B$5001,B4612,$I$2:$I$5001,I4612),1,0))</f>
        <v/>
      </c>
    </row>
    <row r="4613" customFormat="false" ht="15" hidden="false" customHeight="false" outlineLevel="0" collapsed="false">
      <c r="I4613" s="15" t="str">
        <f aca="false">IF(A4613="","",INT(A4613))</f>
        <v/>
      </c>
      <c r="J4613" s="16" t="str">
        <f aca="false">IF(B4613="","",IF(A4613=_xlfn.MINIFS($A$2:$A$5001,$B$2:$B$5001,B4613),1,0))</f>
        <v/>
      </c>
      <c r="K4613" s="16" t="str">
        <f aca="false">IF(B4613="","",IF(AND(D4613="Formalização",E4613="Concluído"),IF(COUNTIFS($B$2:$B$5001,B4613,$E$2:$E$5001,"Em ajustes",$A$2:$A$5001,"&lt;"&amp;I4613)&gt;0,1,0),0))</f>
        <v/>
      </c>
      <c r="L4613" s="16" t="str">
        <f aca="false">IF(B4613="","",IF(A4613=_xlfn.MAXIFS($A$2:$A$5001,$B$2:$B$5001,B4613,$I$2:$I$5001,I4613),1,0))</f>
        <v/>
      </c>
    </row>
    <row r="4614" customFormat="false" ht="15" hidden="false" customHeight="false" outlineLevel="0" collapsed="false">
      <c r="I4614" s="15" t="str">
        <f aca="false">IF(A4614="","",INT(A4614))</f>
        <v/>
      </c>
      <c r="J4614" s="16" t="str">
        <f aca="false">IF(B4614="","",IF(A4614=_xlfn.MINIFS($A$2:$A$5001,$B$2:$B$5001,B4614),1,0))</f>
        <v/>
      </c>
      <c r="K4614" s="16" t="str">
        <f aca="false">IF(B4614="","",IF(AND(D4614="Formalização",E4614="Concluído"),IF(COUNTIFS($B$2:$B$5001,B4614,$E$2:$E$5001,"Em ajustes",$A$2:$A$5001,"&lt;"&amp;I4614)&gt;0,1,0),0))</f>
        <v/>
      </c>
      <c r="L4614" s="16" t="str">
        <f aca="false">IF(B4614="","",IF(A4614=_xlfn.MAXIFS($A$2:$A$5001,$B$2:$B$5001,B4614,$I$2:$I$5001,I4614),1,0))</f>
        <v/>
      </c>
    </row>
    <row r="4615" customFormat="false" ht="15" hidden="false" customHeight="false" outlineLevel="0" collapsed="false">
      <c r="I4615" s="15" t="str">
        <f aca="false">IF(A4615="","",INT(A4615))</f>
        <v/>
      </c>
      <c r="J4615" s="16" t="str">
        <f aca="false">IF(B4615="","",IF(A4615=_xlfn.MINIFS($A$2:$A$5001,$B$2:$B$5001,B4615),1,0))</f>
        <v/>
      </c>
      <c r="K4615" s="16" t="str">
        <f aca="false">IF(B4615="","",IF(AND(D4615="Formalização",E4615="Concluído"),IF(COUNTIFS($B$2:$B$5001,B4615,$E$2:$E$5001,"Em ajustes",$A$2:$A$5001,"&lt;"&amp;I4615)&gt;0,1,0),0))</f>
        <v/>
      </c>
      <c r="L4615" s="16" t="str">
        <f aca="false">IF(B4615="","",IF(A4615=_xlfn.MAXIFS($A$2:$A$5001,$B$2:$B$5001,B4615,$I$2:$I$5001,I4615),1,0))</f>
        <v/>
      </c>
    </row>
    <row r="4616" customFormat="false" ht="15" hidden="false" customHeight="false" outlineLevel="0" collapsed="false">
      <c r="I4616" s="15" t="str">
        <f aca="false">IF(A4616="","",INT(A4616))</f>
        <v/>
      </c>
      <c r="J4616" s="16" t="str">
        <f aca="false">IF(B4616="","",IF(A4616=_xlfn.MINIFS($A$2:$A$5001,$B$2:$B$5001,B4616),1,0))</f>
        <v/>
      </c>
      <c r="K4616" s="16" t="str">
        <f aca="false">IF(B4616="","",IF(AND(D4616="Formalização",E4616="Concluído"),IF(COUNTIFS($B$2:$B$5001,B4616,$E$2:$E$5001,"Em ajustes",$A$2:$A$5001,"&lt;"&amp;I4616)&gt;0,1,0),0))</f>
        <v/>
      </c>
      <c r="L4616" s="16" t="str">
        <f aca="false">IF(B4616="","",IF(A4616=_xlfn.MAXIFS($A$2:$A$5001,$B$2:$B$5001,B4616,$I$2:$I$5001,I4616),1,0))</f>
        <v/>
      </c>
    </row>
    <row r="4617" customFormat="false" ht="15" hidden="false" customHeight="false" outlineLevel="0" collapsed="false">
      <c r="I4617" s="15" t="str">
        <f aca="false">IF(A4617="","",INT(A4617))</f>
        <v/>
      </c>
      <c r="J4617" s="16" t="str">
        <f aca="false">IF(B4617="","",IF(A4617=_xlfn.MINIFS($A$2:$A$5001,$B$2:$B$5001,B4617),1,0))</f>
        <v/>
      </c>
      <c r="K4617" s="16" t="str">
        <f aca="false">IF(B4617="","",IF(AND(D4617="Formalização",E4617="Concluído"),IF(COUNTIFS($B$2:$B$5001,B4617,$E$2:$E$5001,"Em ajustes",$A$2:$A$5001,"&lt;"&amp;I4617)&gt;0,1,0),0))</f>
        <v/>
      </c>
      <c r="L4617" s="16" t="str">
        <f aca="false">IF(B4617="","",IF(A4617=_xlfn.MAXIFS($A$2:$A$5001,$B$2:$B$5001,B4617,$I$2:$I$5001,I4617),1,0))</f>
        <v/>
      </c>
    </row>
    <row r="4618" customFormat="false" ht="15" hidden="false" customHeight="false" outlineLevel="0" collapsed="false">
      <c r="I4618" s="15" t="str">
        <f aca="false">IF(A4618="","",INT(A4618))</f>
        <v/>
      </c>
      <c r="J4618" s="16" t="str">
        <f aca="false">IF(B4618="","",IF(A4618=_xlfn.MINIFS($A$2:$A$5001,$B$2:$B$5001,B4618),1,0))</f>
        <v/>
      </c>
      <c r="K4618" s="16" t="str">
        <f aca="false">IF(B4618="","",IF(AND(D4618="Formalização",E4618="Concluído"),IF(COUNTIFS($B$2:$B$5001,B4618,$E$2:$E$5001,"Em ajustes",$A$2:$A$5001,"&lt;"&amp;I4618)&gt;0,1,0),0))</f>
        <v/>
      </c>
      <c r="L4618" s="16" t="str">
        <f aca="false">IF(B4618="","",IF(A4618=_xlfn.MAXIFS($A$2:$A$5001,$B$2:$B$5001,B4618,$I$2:$I$5001,I4618),1,0))</f>
        <v/>
      </c>
    </row>
    <row r="4619" customFormat="false" ht="15" hidden="false" customHeight="false" outlineLevel="0" collapsed="false">
      <c r="I4619" s="15" t="str">
        <f aca="false">IF(A4619="","",INT(A4619))</f>
        <v/>
      </c>
      <c r="J4619" s="16" t="str">
        <f aca="false">IF(B4619="","",IF(A4619=_xlfn.MINIFS($A$2:$A$5001,$B$2:$B$5001,B4619),1,0))</f>
        <v/>
      </c>
      <c r="K4619" s="16" t="str">
        <f aca="false">IF(B4619="","",IF(AND(D4619="Formalização",E4619="Concluído"),IF(COUNTIFS($B$2:$B$5001,B4619,$E$2:$E$5001,"Em ajustes",$A$2:$A$5001,"&lt;"&amp;I4619)&gt;0,1,0),0))</f>
        <v/>
      </c>
      <c r="L4619" s="16" t="str">
        <f aca="false">IF(B4619="","",IF(A4619=_xlfn.MAXIFS($A$2:$A$5001,$B$2:$B$5001,B4619,$I$2:$I$5001,I4619),1,0))</f>
        <v/>
      </c>
    </row>
    <row r="4620" customFormat="false" ht="15" hidden="false" customHeight="false" outlineLevel="0" collapsed="false">
      <c r="I4620" s="15" t="str">
        <f aca="false">IF(A4620="","",INT(A4620))</f>
        <v/>
      </c>
      <c r="J4620" s="16" t="str">
        <f aca="false">IF(B4620="","",IF(A4620=_xlfn.MINIFS($A$2:$A$5001,$B$2:$B$5001,B4620),1,0))</f>
        <v/>
      </c>
      <c r="K4620" s="16" t="str">
        <f aca="false">IF(B4620="","",IF(AND(D4620="Formalização",E4620="Concluído"),IF(COUNTIFS($B$2:$B$5001,B4620,$E$2:$E$5001,"Em ajustes",$A$2:$A$5001,"&lt;"&amp;I4620)&gt;0,1,0),0))</f>
        <v/>
      </c>
      <c r="L4620" s="16" t="str">
        <f aca="false">IF(B4620="","",IF(A4620=_xlfn.MAXIFS($A$2:$A$5001,$B$2:$B$5001,B4620,$I$2:$I$5001,I4620),1,0))</f>
        <v/>
      </c>
    </row>
    <row r="4621" customFormat="false" ht="15" hidden="false" customHeight="false" outlineLevel="0" collapsed="false">
      <c r="I4621" s="15" t="str">
        <f aca="false">IF(A4621="","",INT(A4621))</f>
        <v/>
      </c>
      <c r="J4621" s="16" t="str">
        <f aca="false">IF(B4621="","",IF(A4621=_xlfn.MINIFS($A$2:$A$5001,$B$2:$B$5001,B4621),1,0))</f>
        <v/>
      </c>
      <c r="K4621" s="16" t="str">
        <f aca="false">IF(B4621="","",IF(AND(D4621="Formalização",E4621="Concluído"),IF(COUNTIFS($B$2:$B$5001,B4621,$E$2:$E$5001,"Em ajustes",$A$2:$A$5001,"&lt;"&amp;I4621)&gt;0,1,0),0))</f>
        <v/>
      </c>
      <c r="L4621" s="16" t="str">
        <f aca="false">IF(B4621="","",IF(A4621=_xlfn.MAXIFS($A$2:$A$5001,$B$2:$B$5001,B4621,$I$2:$I$5001,I4621),1,0))</f>
        <v/>
      </c>
    </row>
    <row r="4622" customFormat="false" ht="15" hidden="false" customHeight="false" outlineLevel="0" collapsed="false">
      <c r="I4622" s="15" t="str">
        <f aca="false">IF(A4622="","",INT(A4622))</f>
        <v/>
      </c>
      <c r="J4622" s="16" t="str">
        <f aca="false">IF(B4622="","",IF(A4622=_xlfn.MINIFS($A$2:$A$5001,$B$2:$B$5001,B4622),1,0))</f>
        <v/>
      </c>
      <c r="K4622" s="16" t="str">
        <f aca="false">IF(B4622="","",IF(AND(D4622="Formalização",E4622="Concluído"),IF(COUNTIFS($B$2:$B$5001,B4622,$E$2:$E$5001,"Em ajustes",$A$2:$A$5001,"&lt;"&amp;I4622)&gt;0,1,0),0))</f>
        <v/>
      </c>
      <c r="L4622" s="16" t="str">
        <f aca="false">IF(B4622="","",IF(A4622=_xlfn.MAXIFS($A$2:$A$5001,$B$2:$B$5001,B4622,$I$2:$I$5001,I4622),1,0))</f>
        <v/>
      </c>
    </row>
    <row r="4623" customFormat="false" ht="15" hidden="false" customHeight="false" outlineLevel="0" collapsed="false">
      <c r="I4623" s="15" t="str">
        <f aca="false">IF(A4623="","",INT(A4623))</f>
        <v/>
      </c>
      <c r="J4623" s="16" t="str">
        <f aca="false">IF(B4623="","",IF(A4623=_xlfn.MINIFS($A$2:$A$5001,$B$2:$B$5001,B4623),1,0))</f>
        <v/>
      </c>
      <c r="K4623" s="16" t="str">
        <f aca="false">IF(B4623="","",IF(AND(D4623="Formalização",E4623="Concluído"),IF(COUNTIFS($B$2:$B$5001,B4623,$E$2:$E$5001,"Em ajustes",$A$2:$A$5001,"&lt;"&amp;I4623)&gt;0,1,0),0))</f>
        <v/>
      </c>
      <c r="L4623" s="16" t="str">
        <f aca="false">IF(B4623="","",IF(A4623=_xlfn.MAXIFS($A$2:$A$5001,$B$2:$B$5001,B4623,$I$2:$I$5001,I4623),1,0))</f>
        <v/>
      </c>
    </row>
    <row r="4624" customFormat="false" ht="15" hidden="false" customHeight="false" outlineLevel="0" collapsed="false">
      <c r="I4624" s="15" t="str">
        <f aca="false">IF(A4624="","",INT(A4624))</f>
        <v/>
      </c>
      <c r="J4624" s="16" t="str">
        <f aca="false">IF(B4624="","",IF(A4624=_xlfn.MINIFS($A$2:$A$5001,$B$2:$B$5001,B4624),1,0))</f>
        <v/>
      </c>
      <c r="K4624" s="16" t="str">
        <f aca="false">IF(B4624="","",IF(AND(D4624="Formalização",E4624="Concluído"),IF(COUNTIFS($B$2:$B$5001,B4624,$E$2:$E$5001,"Em ajustes",$A$2:$A$5001,"&lt;"&amp;I4624)&gt;0,1,0),0))</f>
        <v/>
      </c>
      <c r="L4624" s="16" t="str">
        <f aca="false">IF(B4624="","",IF(A4624=_xlfn.MAXIFS($A$2:$A$5001,$B$2:$B$5001,B4624,$I$2:$I$5001,I4624),1,0))</f>
        <v/>
      </c>
    </row>
    <row r="4625" customFormat="false" ht="15" hidden="false" customHeight="false" outlineLevel="0" collapsed="false">
      <c r="I4625" s="15" t="str">
        <f aca="false">IF(A4625="","",INT(A4625))</f>
        <v/>
      </c>
      <c r="J4625" s="16" t="str">
        <f aca="false">IF(B4625="","",IF(A4625=_xlfn.MINIFS($A$2:$A$5001,$B$2:$B$5001,B4625),1,0))</f>
        <v/>
      </c>
      <c r="K4625" s="16" t="str">
        <f aca="false">IF(B4625="","",IF(AND(D4625="Formalização",E4625="Concluído"),IF(COUNTIFS($B$2:$B$5001,B4625,$E$2:$E$5001,"Em ajustes",$A$2:$A$5001,"&lt;"&amp;I4625)&gt;0,1,0),0))</f>
        <v/>
      </c>
      <c r="L4625" s="16" t="str">
        <f aca="false">IF(B4625="","",IF(A4625=_xlfn.MAXIFS($A$2:$A$5001,$B$2:$B$5001,B4625,$I$2:$I$5001,I4625),1,0))</f>
        <v/>
      </c>
    </row>
    <row r="4626" customFormat="false" ht="15" hidden="false" customHeight="false" outlineLevel="0" collapsed="false">
      <c r="I4626" s="15" t="str">
        <f aca="false">IF(A4626="","",INT(A4626))</f>
        <v/>
      </c>
      <c r="J4626" s="16" t="str">
        <f aca="false">IF(B4626="","",IF(A4626=_xlfn.MINIFS($A$2:$A$5001,$B$2:$B$5001,B4626),1,0))</f>
        <v/>
      </c>
      <c r="K4626" s="16" t="str">
        <f aca="false">IF(B4626="","",IF(AND(D4626="Formalização",E4626="Concluído"),IF(COUNTIFS($B$2:$B$5001,B4626,$E$2:$E$5001,"Em ajustes",$A$2:$A$5001,"&lt;"&amp;I4626)&gt;0,1,0),0))</f>
        <v/>
      </c>
      <c r="L4626" s="16" t="str">
        <f aca="false">IF(B4626="","",IF(A4626=_xlfn.MAXIFS($A$2:$A$5001,$B$2:$B$5001,B4626,$I$2:$I$5001,I4626),1,0))</f>
        <v/>
      </c>
    </row>
    <row r="4627" customFormat="false" ht="15" hidden="false" customHeight="false" outlineLevel="0" collapsed="false">
      <c r="I4627" s="15" t="str">
        <f aca="false">IF(A4627="","",INT(A4627))</f>
        <v/>
      </c>
      <c r="J4627" s="16" t="str">
        <f aca="false">IF(B4627="","",IF(A4627=_xlfn.MINIFS($A$2:$A$5001,$B$2:$B$5001,B4627),1,0))</f>
        <v/>
      </c>
      <c r="K4627" s="16" t="str">
        <f aca="false">IF(B4627="","",IF(AND(D4627="Formalização",E4627="Concluído"),IF(COUNTIFS($B$2:$B$5001,B4627,$E$2:$E$5001,"Em ajustes",$A$2:$A$5001,"&lt;"&amp;I4627)&gt;0,1,0),0))</f>
        <v/>
      </c>
      <c r="L4627" s="16" t="str">
        <f aca="false">IF(B4627="","",IF(A4627=_xlfn.MAXIFS($A$2:$A$5001,$B$2:$B$5001,B4627,$I$2:$I$5001,I4627),1,0))</f>
        <v/>
      </c>
    </row>
    <row r="4628" customFormat="false" ht="15" hidden="false" customHeight="false" outlineLevel="0" collapsed="false">
      <c r="I4628" s="15" t="str">
        <f aca="false">IF(A4628="","",INT(A4628))</f>
        <v/>
      </c>
      <c r="J4628" s="16" t="str">
        <f aca="false">IF(B4628="","",IF(A4628=_xlfn.MINIFS($A$2:$A$5001,$B$2:$B$5001,B4628),1,0))</f>
        <v/>
      </c>
      <c r="K4628" s="16" t="str">
        <f aca="false">IF(B4628="","",IF(AND(D4628="Formalização",E4628="Concluído"),IF(COUNTIFS($B$2:$B$5001,B4628,$E$2:$E$5001,"Em ajustes",$A$2:$A$5001,"&lt;"&amp;I4628)&gt;0,1,0),0))</f>
        <v/>
      </c>
      <c r="L4628" s="16" t="str">
        <f aca="false">IF(B4628="","",IF(A4628=_xlfn.MAXIFS($A$2:$A$5001,$B$2:$B$5001,B4628,$I$2:$I$5001,I4628),1,0))</f>
        <v/>
      </c>
    </row>
    <row r="4629" customFormat="false" ht="15" hidden="false" customHeight="false" outlineLevel="0" collapsed="false">
      <c r="I4629" s="15" t="str">
        <f aca="false">IF(A4629="","",INT(A4629))</f>
        <v/>
      </c>
      <c r="J4629" s="16" t="str">
        <f aca="false">IF(B4629="","",IF(A4629=_xlfn.MINIFS($A$2:$A$5001,$B$2:$B$5001,B4629),1,0))</f>
        <v/>
      </c>
      <c r="K4629" s="16" t="str">
        <f aca="false">IF(B4629="","",IF(AND(D4629="Formalização",E4629="Concluído"),IF(COUNTIFS($B$2:$B$5001,B4629,$E$2:$E$5001,"Em ajustes",$A$2:$A$5001,"&lt;"&amp;I4629)&gt;0,1,0),0))</f>
        <v/>
      </c>
      <c r="L4629" s="16" t="str">
        <f aca="false">IF(B4629="","",IF(A4629=_xlfn.MAXIFS($A$2:$A$5001,$B$2:$B$5001,B4629,$I$2:$I$5001,I4629),1,0))</f>
        <v/>
      </c>
    </row>
    <row r="4630" customFormat="false" ht="15" hidden="false" customHeight="false" outlineLevel="0" collapsed="false">
      <c r="I4630" s="15" t="str">
        <f aca="false">IF(A4630="","",INT(A4630))</f>
        <v/>
      </c>
      <c r="J4630" s="16" t="str">
        <f aca="false">IF(B4630="","",IF(A4630=_xlfn.MINIFS($A$2:$A$5001,$B$2:$B$5001,B4630),1,0))</f>
        <v/>
      </c>
      <c r="K4630" s="16" t="str">
        <f aca="false">IF(B4630="","",IF(AND(D4630="Formalização",E4630="Concluído"),IF(COUNTIFS($B$2:$B$5001,B4630,$E$2:$E$5001,"Em ajustes",$A$2:$A$5001,"&lt;"&amp;I4630)&gt;0,1,0),0))</f>
        <v/>
      </c>
      <c r="L4630" s="16" t="str">
        <f aca="false">IF(B4630="","",IF(A4630=_xlfn.MAXIFS($A$2:$A$5001,$B$2:$B$5001,B4630,$I$2:$I$5001,I4630),1,0))</f>
        <v/>
      </c>
    </row>
    <row r="4631" customFormat="false" ht="15" hidden="false" customHeight="false" outlineLevel="0" collapsed="false">
      <c r="I4631" s="15" t="str">
        <f aca="false">IF(A4631="","",INT(A4631))</f>
        <v/>
      </c>
      <c r="J4631" s="16" t="str">
        <f aca="false">IF(B4631="","",IF(A4631=_xlfn.MINIFS($A$2:$A$5001,$B$2:$B$5001,B4631),1,0))</f>
        <v/>
      </c>
      <c r="K4631" s="16" t="str">
        <f aca="false">IF(B4631="","",IF(AND(D4631="Formalização",E4631="Concluído"),IF(COUNTIFS($B$2:$B$5001,B4631,$E$2:$E$5001,"Em ajustes",$A$2:$A$5001,"&lt;"&amp;I4631)&gt;0,1,0),0))</f>
        <v/>
      </c>
      <c r="L4631" s="16" t="str">
        <f aca="false">IF(B4631="","",IF(A4631=_xlfn.MAXIFS($A$2:$A$5001,$B$2:$B$5001,B4631,$I$2:$I$5001,I4631),1,0))</f>
        <v/>
      </c>
    </row>
    <row r="4632" customFormat="false" ht="15" hidden="false" customHeight="false" outlineLevel="0" collapsed="false">
      <c r="I4632" s="15" t="str">
        <f aca="false">IF(A4632="","",INT(A4632))</f>
        <v/>
      </c>
      <c r="J4632" s="16" t="str">
        <f aca="false">IF(B4632="","",IF(A4632=_xlfn.MINIFS($A$2:$A$5001,$B$2:$B$5001,B4632),1,0))</f>
        <v/>
      </c>
      <c r="K4632" s="16" t="str">
        <f aca="false">IF(B4632="","",IF(AND(D4632="Formalização",E4632="Concluído"),IF(COUNTIFS($B$2:$B$5001,B4632,$E$2:$E$5001,"Em ajustes",$A$2:$A$5001,"&lt;"&amp;I4632)&gt;0,1,0),0))</f>
        <v/>
      </c>
      <c r="L4632" s="16" t="str">
        <f aca="false">IF(B4632="","",IF(A4632=_xlfn.MAXIFS($A$2:$A$5001,$B$2:$B$5001,B4632,$I$2:$I$5001,I4632),1,0))</f>
        <v/>
      </c>
    </row>
    <row r="4633" customFormat="false" ht="15" hidden="false" customHeight="false" outlineLevel="0" collapsed="false">
      <c r="I4633" s="15" t="str">
        <f aca="false">IF(A4633="","",INT(A4633))</f>
        <v/>
      </c>
      <c r="J4633" s="16" t="str">
        <f aca="false">IF(B4633="","",IF(A4633=_xlfn.MINIFS($A$2:$A$5001,$B$2:$B$5001,B4633),1,0))</f>
        <v/>
      </c>
      <c r="K4633" s="16" t="str">
        <f aca="false">IF(B4633="","",IF(AND(D4633="Formalização",E4633="Concluído"),IF(COUNTIFS($B$2:$B$5001,B4633,$E$2:$E$5001,"Em ajustes",$A$2:$A$5001,"&lt;"&amp;I4633)&gt;0,1,0),0))</f>
        <v/>
      </c>
      <c r="L4633" s="16" t="str">
        <f aca="false">IF(B4633="","",IF(A4633=_xlfn.MAXIFS($A$2:$A$5001,$B$2:$B$5001,B4633,$I$2:$I$5001,I4633),1,0))</f>
        <v/>
      </c>
    </row>
    <row r="4634" customFormat="false" ht="15" hidden="false" customHeight="false" outlineLevel="0" collapsed="false">
      <c r="I4634" s="15" t="str">
        <f aca="false">IF(A4634="","",INT(A4634))</f>
        <v/>
      </c>
      <c r="J4634" s="16" t="str">
        <f aca="false">IF(B4634="","",IF(A4634=_xlfn.MINIFS($A$2:$A$5001,$B$2:$B$5001,B4634),1,0))</f>
        <v/>
      </c>
      <c r="K4634" s="16" t="str">
        <f aca="false">IF(B4634="","",IF(AND(D4634="Formalização",E4634="Concluído"),IF(COUNTIFS($B$2:$B$5001,B4634,$E$2:$E$5001,"Em ajustes",$A$2:$A$5001,"&lt;"&amp;I4634)&gt;0,1,0),0))</f>
        <v/>
      </c>
      <c r="L4634" s="16" t="str">
        <f aca="false">IF(B4634="","",IF(A4634=_xlfn.MAXIFS($A$2:$A$5001,$B$2:$B$5001,B4634,$I$2:$I$5001,I4634),1,0))</f>
        <v/>
      </c>
    </row>
    <row r="4635" customFormat="false" ht="15" hidden="false" customHeight="false" outlineLevel="0" collapsed="false">
      <c r="I4635" s="15" t="str">
        <f aca="false">IF(A4635="","",INT(A4635))</f>
        <v/>
      </c>
      <c r="J4635" s="16" t="str">
        <f aca="false">IF(B4635="","",IF(A4635=_xlfn.MINIFS($A$2:$A$5001,$B$2:$B$5001,B4635),1,0))</f>
        <v/>
      </c>
      <c r="K4635" s="16" t="str">
        <f aca="false">IF(B4635="","",IF(AND(D4635="Formalização",E4635="Concluído"),IF(COUNTIFS($B$2:$B$5001,B4635,$E$2:$E$5001,"Em ajustes",$A$2:$A$5001,"&lt;"&amp;I4635)&gt;0,1,0),0))</f>
        <v/>
      </c>
      <c r="L4635" s="16" t="str">
        <f aca="false">IF(B4635="","",IF(A4635=_xlfn.MAXIFS($A$2:$A$5001,$B$2:$B$5001,B4635,$I$2:$I$5001,I4635),1,0))</f>
        <v/>
      </c>
    </row>
    <row r="4636" customFormat="false" ht="15" hidden="false" customHeight="false" outlineLevel="0" collapsed="false">
      <c r="I4636" s="15" t="str">
        <f aca="false">IF(A4636="","",INT(A4636))</f>
        <v/>
      </c>
      <c r="J4636" s="16" t="str">
        <f aca="false">IF(B4636="","",IF(A4636=_xlfn.MINIFS($A$2:$A$5001,$B$2:$B$5001,B4636),1,0))</f>
        <v/>
      </c>
      <c r="K4636" s="16" t="str">
        <f aca="false">IF(B4636="","",IF(AND(D4636="Formalização",E4636="Concluído"),IF(COUNTIFS($B$2:$B$5001,B4636,$E$2:$E$5001,"Em ajustes",$A$2:$A$5001,"&lt;"&amp;I4636)&gt;0,1,0),0))</f>
        <v/>
      </c>
      <c r="L4636" s="16" t="str">
        <f aca="false">IF(B4636="","",IF(A4636=_xlfn.MAXIFS($A$2:$A$5001,$B$2:$B$5001,B4636,$I$2:$I$5001,I4636),1,0))</f>
        <v/>
      </c>
    </row>
    <row r="4637" customFormat="false" ht="15" hidden="false" customHeight="false" outlineLevel="0" collapsed="false">
      <c r="I4637" s="15" t="str">
        <f aca="false">IF(A4637="","",INT(A4637))</f>
        <v/>
      </c>
      <c r="J4637" s="16" t="str">
        <f aca="false">IF(B4637="","",IF(A4637=_xlfn.MINIFS($A$2:$A$5001,$B$2:$B$5001,B4637),1,0))</f>
        <v/>
      </c>
      <c r="K4637" s="16" t="str">
        <f aca="false">IF(B4637="","",IF(AND(D4637="Formalização",E4637="Concluído"),IF(COUNTIFS($B$2:$B$5001,B4637,$E$2:$E$5001,"Em ajustes",$A$2:$A$5001,"&lt;"&amp;I4637)&gt;0,1,0),0))</f>
        <v/>
      </c>
      <c r="L4637" s="16" t="str">
        <f aca="false">IF(B4637="","",IF(A4637=_xlfn.MAXIFS($A$2:$A$5001,$B$2:$B$5001,B4637,$I$2:$I$5001,I4637),1,0))</f>
        <v/>
      </c>
    </row>
    <row r="4638" customFormat="false" ht="15" hidden="false" customHeight="false" outlineLevel="0" collapsed="false">
      <c r="I4638" s="15" t="str">
        <f aca="false">IF(A4638="","",INT(A4638))</f>
        <v/>
      </c>
      <c r="J4638" s="16" t="str">
        <f aca="false">IF(B4638="","",IF(A4638=_xlfn.MINIFS($A$2:$A$5001,$B$2:$B$5001,B4638),1,0))</f>
        <v/>
      </c>
      <c r="K4638" s="16" t="str">
        <f aca="false">IF(B4638="","",IF(AND(D4638="Formalização",E4638="Concluído"),IF(COUNTIFS($B$2:$B$5001,B4638,$E$2:$E$5001,"Em ajustes",$A$2:$A$5001,"&lt;"&amp;I4638)&gt;0,1,0),0))</f>
        <v/>
      </c>
      <c r="L4638" s="16" t="str">
        <f aca="false">IF(B4638="","",IF(A4638=_xlfn.MAXIFS($A$2:$A$5001,$B$2:$B$5001,B4638,$I$2:$I$5001,I4638),1,0))</f>
        <v/>
      </c>
    </row>
    <row r="4639" customFormat="false" ht="15" hidden="false" customHeight="false" outlineLevel="0" collapsed="false">
      <c r="I4639" s="15" t="str">
        <f aca="false">IF(A4639="","",INT(A4639))</f>
        <v/>
      </c>
      <c r="J4639" s="16" t="str">
        <f aca="false">IF(B4639="","",IF(A4639=_xlfn.MINIFS($A$2:$A$5001,$B$2:$B$5001,B4639),1,0))</f>
        <v/>
      </c>
      <c r="K4639" s="16" t="str">
        <f aca="false">IF(B4639="","",IF(AND(D4639="Formalização",E4639="Concluído"),IF(COUNTIFS($B$2:$B$5001,B4639,$E$2:$E$5001,"Em ajustes",$A$2:$A$5001,"&lt;"&amp;I4639)&gt;0,1,0),0))</f>
        <v/>
      </c>
      <c r="L4639" s="16" t="str">
        <f aca="false">IF(B4639="","",IF(A4639=_xlfn.MAXIFS($A$2:$A$5001,$B$2:$B$5001,B4639,$I$2:$I$5001,I4639),1,0))</f>
        <v/>
      </c>
    </row>
    <row r="4640" customFormat="false" ht="15" hidden="false" customHeight="false" outlineLevel="0" collapsed="false">
      <c r="I4640" s="15" t="str">
        <f aca="false">IF(A4640="","",INT(A4640))</f>
        <v/>
      </c>
      <c r="J4640" s="16" t="str">
        <f aca="false">IF(B4640="","",IF(A4640=_xlfn.MINIFS($A$2:$A$5001,$B$2:$B$5001,B4640),1,0))</f>
        <v/>
      </c>
      <c r="K4640" s="16" t="str">
        <f aca="false">IF(B4640="","",IF(AND(D4640="Formalização",E4640="Concluído"),IF(COUNTIFS($B$2:$B$5001,B4640,$E$2:$E$5001,"Em ajustes",$A$2:$A$5001,"&lt;"&amp;I4640)&gt;0,1,0),0))</f>
        <v/>
      </c>
      <c r="L4640" s="16" t="str">
        <f aca="false">IF(B4640="","",IF(A4640=_xlfn.MAXIFS($A$2:$A$5001,$B$2:$B$5001,B4640,$I$2:$I$5001,I4640),1,0))</f>
        <v/>
      </c>
    </row>
    <row r="4641" customFormat="false" ht="15" hidden="false" customHeight="false" outlineLevel="0" collapsed="false">
      <c r="I4641" s="15" t="str">
        <f aca="false">IF(A4641="","",INT(A4641))</f>
        <v/>
      </c>
      <c r="J4641" s="16" t="str">
        <f aca="false">IF(B4641="","",IF(A4641=_xlfn.MINIFS($A$2:$A$5001,$B$2:$B$5001,B4641),1,0))</f>
        <v/>
      </c>
      <c r="K4641" s="16" t="str">
        <f aca="false">IF(B4641="","",IF(AND(D4641="Formalização",E4641="Concluído"),IF(COUNTIFS($B$2:$B$5001,B4641,$E$2:$E$5001,"Em ajustes",$A$2:$A$5001,"&lt;"&amp;I4641)&gt;0,1,0),0))</f>
        <v/>
      </c>
      <c r="L4641" s="16" t="str">
        <f aca="false">IF(B4641="","",IF(A4641=_xlfn.MAXIFS($A$2:$A$5001,$B$2:$B$5001,B4641,$I$2:$I$5001,I4641),1,0))</f>
        <v/>
      </c>
    </row>
    <row r="4642" customFormat="false" ht="15" hidden="false" customHeight="false" outlineLevel="0" collapsed="false">
      <c r="I4642" s="15" t="str">
        <f aca="false">IF(A4642="","",INT(A4642))</f>
        <v/>
      </c>
      <c r="J4642" s="16" t="str">
        <f aca="false">IF(B4642="","",IF(A4642=_xlfn.MINIFS($A$2:$A$5001,$B$2:$B$5001,B4642),1,0))</f>
        <v/>
      </c>
      <c r="K4642" s="16" t="str">
        <f aca="false">IF(B4642="","",IF(AND(D4642="Formalização",E4642="Concluído"),IF(COUNTIFS($B$2:$B$5001,B4642,$E$2:$E$5001,"Em ajustes",$A$2:$A$5001,"&lt;"&amp;I4642)&gt;0,1,0),0))</f>
        <v/>
      </c>
      <c r="L4642" s="16" t="str">
        <f aca="false">IF(B4642="","",IF(A4642=_xlfn.MAXIFS($A$2:$A$5001,$B$2:$B$5001,B4642,$I$2:$I$5001,I4642),1,0))</f>
        <v/>
      </c>
    </row>
    <row r="4643" customFormat="false" ht="15" hidden="false" customHeight="false" outlineLevel="0" collapsed="false">
      <c r="I4643" s="15" t="str">
        <f aca="false">IF(A4643="","",INT(A4643))</f>
        <v/>
      </c>
      <c r="J4643" s="16" t="str">
        <f aca="false">IF(B4643="","",IF(A4643=_xlfn.MINIFS($A$2:$A$5001,$B$2:$B$5001,B4643),1,0))</f>
        <v/>
      </c>
      <c r="K4643" s="16" t="str">
        <f aca="false">IF(B4643="","",IF(AND(D4643="Formalização",E4643="Concluído"),IF(COUNTIFS($B$2:$B$5001,B4643,$E$2:$E$5001,"Em ajustes",$A$2:$A$5001,"&lt;"&amp;I4643)&gt;0,1,0),0))</f>
        <v/>
      </c>
      <c r="L4643" s="16" t="str">
        <f aca="false">IF(B4643="","",IF(A4643=_xlfn.MAXIFS($A$2:$A$5001,$B$2:$B$5001,B4643,$I$2:$I$5001,I4643),1,0))</f>
        <v/>
      </c>
    </row>
    <row r="4644" customFormat="false" ht="15" hidden="false" customHeight="false" outlineLevel="0" collapsed="false">
      <c r="I4644" s="15" t="str">
        <f aca="false">IF(A4644="","",INT(A4644))</f>
        <v/>
      </c>
      <c r="J4644" s="16" t="str">
        <f aca="false">IF(B4644="","",IF(A4644=_xlfn.MINIFS($A$2:$A$5001,$B$2:$B$5001,B4644),1,0))</f>
        <v/>
      </c>
      <c r="K4644" s="16" t="str">
        <f aca="false">IF(B4644="","",IF(AND(D4644="Formalização",E4644="Concluído"),IF(COUNTIFS($B$2:$B$5001,B4644,$E$2:$E$5001,"Em ajustes",$A$2:$A$5001,"&lt;"&amp;I4644)&gt;0,1,0),0))</f>
        <v/>
      </c>
      <c r="L4644" s="16" t="str">
        <f aca="false">IF(B4644="","",IF(A4644=_xlfn.MAXIFS($A$2:$A$5001,$B$2:$B$5001,B4644,$I$2:$I$5001,I4644),1,0))</f>
        <v/>
      </c>
    </row>
    <row r="4645" customFormat="false" ht="15" hidden="false" customHeight="false" outlineLevel="0" collapsed="false">
      <c r="I4645" s="15" t="str">
        <f aca="false">IF(A4645="","",INT(A4645))</f>
        <v/>
      </c>
      <c r="J4645" s="16" t="str">
        <f aca="false">IF(B4645="","",IF(A4645=_xlfn.MINIFS($A$2:$A$5001,$B$2:$B$5001,B4645),1,0))</f>
        <v/>
      </c>
      <c r="K4645" s="16" t="str">
        <f aca="false">IF(B4645="","",IF(AND(D4645="Formalização",E4645="Concluído"),IF(COUNTIFS($B$2:$B$5001,B4645,$E$2:$E$5001,"Em ajustes",$A$2:$A$5001,"&lt;"&amp;I4645)&gt;0,1,0),0))</f>
        <v/>
      </c>
      <c r="L4645" s="16" t="str">
        <f aca="false">IF(B4645="","",IF(A4645=_xlfn.MAXIFS($A$2:$A$5001,$B$2:$B$5001,B4645,$I$2:$I$5001,I4645),1,0))</f>
        <v/>
      </c>
    </row>
    <row r="4646" customFormat="false" ht="15" hidden="false" customHeight="false" outlineLevel="0" collapsed="false">
      <c r="I4646" s="15" t="str">
        <f aca="false">IF(A4646="","",INT(A4646))</f>
        <v/>
      </c>
      <c r="J4646" s="16" t="str">
        <f aca="false">IF(B4646="","",IF(A4646=_xlfn.MINIFS($A$2:$A$5001,$B$2:$B$5001,B4646),1,0))</f>
        <v/>
      </c>
      <c r="K4646" s="16" t="str">
        <f aca="false">IF(B4646="","",IF(AND(D4646="Formalização",E4646="Concluído"),IF(COUNTIFS($B$2:$B$5001,B4646,$E$2:$E$5001,"Em ajustes",$A$2:$A$5001,"&lt;"&amp;I4646)&gt;0,1,0),0))</f>
        <v/>
      </c>
      <c r="L4646" s="16" t="str">
        <f aca="false">IF(B4646="","",IF(A4646=_xlfn.MAXIFS($A$2:$A$5001,$B$2:$B$5001,B4646,$I$2:$I$5001,I4646),1,0))</f>
        <v/>
      </c>
    </row>
    <row r="4647" customFormat="false" ht="15" hidden="false" customHeight="false" outlineLevel="0" collapsed="false">
      <c r="I4647" s="15" t="str">
        <f aca="false">IF(A4647="","",INT(A4647))</f>
        <v/>
      </c>
      <c r="J4647" s="16" t="str">
        <f aca="false">IF(B4647="","",IF(A4647=_xlfn.MINIFS($A$2:$A$5001,$B$2:$B$5001,B4647),1,0))</f>
        <v/>
      </c>
      <c r="K4647" s="16" t="str">
        <f aca="false">IF(B4647="","",IF(AND(D4647="Formalização",E4647="Concluído"),IF(COUNTIFS($B$2:$B$5001,B4647,$E$2:$E$5001,"Em ajustes",$A$2:$A$5001,"&lt;"&amp;I4647)&gt;0,1,0),0))</f>
        <v/>
      </c>
      <c r="L4647" s="16" t="str">
        <f aca="false">IF(B4647="","",IF(A4647=_xlfn.MAXIFS($A$2:$A$5001,$B$2:$B$5001,B4647,$I$2:$I$5001,I4647),1,0))</f>
        <v/>
      </c>
    </row>
    <row r="4648" customFormat="false" ht="15" hidden="false" customHeight="false" outlineLevel="0" collapsed="false">
      <c r="I4648" s="15" t="str">
        <f aca="false">IF(A4648="","",INT(A4648))</f>
        <v/>
      </c>
      <c r="J4648" s="16" t="str">
        <f aca="false">IF(B4648="","",IF(A4648=_xlfn.MINIFS($A$2:$A$5001,$B$2:$B$5001,B4648),1,0))</f>
        <v/>
      </c>
      <c r="K4648" s="16" t="str">
        <f aca="false">IF(B4648="","",IF(AND(D4648="Formalização",E4648="Concluído"),IF(COUNTIFS($B$2:$B$5001,B4648,$E$2:$E$5001,"Em ajustes",$A$2:$A$5001,"&lt;"&amp;I4648)&gt;0,1,0),0))</f>
        <v/>
      </c>
      <c r="L4648" s="16" t="str">
        <f aca="false">IF(B4648="","",IF(A4648=_xlfn.MAXIFS($A$2:$A$5001,$B$2:$B$5001,B4648,$I$2:$I$5001,I4648),1,0))</f>
        <v/>
      </c>
    </row>
    <row r="4649" customFormat="false" ht="15" hidden="false" customHeight="false" outlineLevel="0" collapsed="false">
      <c r="I4649" s="15" t="str">
        <f aca="false">IF(A4649="","",INT(A4649))</f>
        <v/>
      </c>
      <c r="J4649" s="16" t="str">
        <f aca="false">IF(B4649="","",IF(A4649=_xlfn.MINIFS($A$2:$A$5001,$B$2:$B$5001,B4649),1,0))</f>
        <v/>
      </c>
      <c r="K4649" s="16" t="str">
        <f aca="false">IF(B4649="","",IF(AND(D4649="Formalização",E4649="Concluído"),IF(COUNTIFS($B$2:$B$5001,B4649,$E$2:$E$5001,"Em ajustes",$A$2:$A$5001,"&lt;"&amp;I4649)&gt;0,1,0),0))</f>
        <v/>
      </c>
      <c r="L4649" s="16" t="str">
        <f aca="false">IF(B4649="","",IF(A4649=_xlfn.MAXIFS($A$2:$A$5001,$B$2:$B$5001,B4649,$I$2:$I$5001,I4649),1,0))</f>
        <v/>
      </c>
    </row>
    <row r="4650" customFormat="false" ht="15" hidden="false" customHeight="false" outlineLevel="0" collapsed="false">
      <c r="I4650" s="15" t="str">
        <f aca="false">IF(A4650="","",INT(A4650))</f>
        <v/>
      </c>
      <c r="J4650" s="16" t="str">
        <f aca="false">IF(B4650="","",IF(A4650=_xlfn.MINIFS($A$2:$A$5001,$B$2:$B$5001,B4650),1,0))</f>
        <v/>
      </c>
      <c r="K4650" s="16" t="str">
        <f aca="false">IF(B4650="","",IF(AND(D4650="Formalização",E4650="Concluído"),IF(COUNTIFS($B$2:$B$5001,B4650,$E$2:$E$5001,"Em ajustes",$A$2:$A$5001,"&lt;"&amp;I4650)&gt;0,1,0),0))</f>
        <v/>
      </c>
      <c r="L4650" s="16" t="str">
        <f aca="false">IF(B4650="","",IF(A4650=_xlfn.MAXIFS($A$2:$A$5001,$B$2:$B$5001,B4650,$I$2:$I$5001,I4650),1,0))</f>
        <v/>
      </c>
    </row>
    <row r="4651" customFormat="false" ht="15" hidden="false" customHeight="false" outlineLevel="0" collapsed="false">
      <c r="I4651" s="15" t="str">
        <f aca="false">IF(A4651="","",INT(A4651))</f>
        <v/>
      </c>
      <c r="J4651" s="16" t="str">
        <f aca="false">IF(B4651="","",IF(A4651=_xlfn.MINIFS($A$2:$A$5001,$B$2:$B$5001,B4651),1,0))</f>
        <v/>
      </c>
      <c r="K4651" s="16" t="str">
        <f aca="false">IF(B4651="","",IF(AND(D4651="Formalização",E4651="Concluído"),IF(COUNTIFS($B$2:$B$5001,B4651,$E$2:$E$5001,"Em ajustes",$A$2:$A$5001,"&lt;"&amp;I4651)&gt;0,1,0),0))</f>
        <v/>
      </c>
      <c r="L4651" s="16" t="str">
        <f aca="false">IF(B4651="","",IF(A4651=_xlfn.MAXIFS($A$2:$A$5001,$B$2:$B$5001,B4651,$I$2:$I$5001,I4651),1,0))</f>
        <v/>
      </c>
    </row>
    <row r="4652" customFormat="false" ht="15" hidden="false" customHeight="false" outlineLevel="0" collapsed="false">
      <c r="I4652" s="15" t="str">
        <f aca="false">IF(A4652="","",INT(A4652))</f>
        <v/>
      </c>
      <c r="J4652" s="16" t="str">
        <f aca="false">IF(B4652="","",IF(A4652=_xlfn.MINIFS($A$2:$A$5001,$B$2:$B$5001,B4652),1,0))</f>
        <v/>
      </c>
      <c r="K4652" s="16" t="str">
        <f aca="false">IF(B4652="","",IF(AND(D4652="Formalização",E4652="Concluído"),IF(COUNTIFS($B$2:$B$5001,B4652,$E$2:$E$5001,"Em ajustes",$A$2:$A$5001,"&lt;"&amp;I4652)&gt;0,1,0),0))</f>
        <v/>
      </c>
      <c r="L4652" s="16" t="str">
        <f aca="false">IF(B4652="","",IF(A4652=_xlfn.MAXIFS($A$2:$A$5001,$B$2:$B$5001,B4652,$I$2:$I$5001,I4652),1,0))</f>
        <v/>
      </c>
    </row>
    <row r="4653" customFormat="false" ht="15" hidden="false" customHeight="false" outlineLevel="0" collapsed="false">
      <c r="I4653" s="15" t="str">
        <f aca="false">IF(A4653="","",INT(A4653))</f>
        <v/>
      </c>
      <c r="J4653" s="16" t="str">
        <f aca="false">IF(B4653="","",IF(A4653=_xlfn.MINIFS($A$2:$A$5001,$B$2:$B$5001,B4653),1,0))</f>
        <v/>
      </c>
      <c r="K4653" s="16" t="str">
        <f aca="false">IF(B4653="","",IF(AND(D4653="Formalização",E4653="Concluído"),IF(COUNTIFS($B$2:$B$5001,B4653,$E$2:$E$5001,"Em ajustes",$A$2:$A$5001,"&lt;"&amp;I4653)&gt;0,1,0),0))</f>
        <v/>
      </c>
      <c r="L4653" s="16" t="str">
        <f aca="false">IF(B4653="","",IF(A4653=_xlfn.MAXIFS($A$2:$A$5001,$B$2:$B$5001,B4653,$I$2:$I$5001,I4653),1,0))</f>
        <v/>
      </c>
    </row>
    <row r="4654" customFormat="false" ht="15" hidden="false" customHeight="false" outlineLevel="0" collapsed="false">
      <c r="I4654" s="15" t="str">
        <f aca="false">IF(A4654="","",INT(A4654))</f>
        <v/>
      </c>
      <c r="J4654" s="16" t="str">
        <f aca="false">IF(B4654="","",IF(A4654=_xlfn.MINIFS($A$2:$A$5001,$B$2:$B$5001,B4654),1,0))</f>
        <v/>
      </c>
      <c r="K4654" s="16" t="str">
        <f aca="false">IF(B4654="","",IF(AND(D4654="Formalização",E4654="Concluído"),IF(COUNTIFS($B$2:$B$5001,B4654,$E$2:$E$5001,"Em ajustes",$A$2:$A$5001,"&lt;"&amp;I4654)&gt;0,1,0),0))</f>
        <v/>
      </c>
      <c r="L4654" s="16" t="str">
        <f aca="false">IF(B4654="","",IF(A4654=_xlfn.MAXIFS($A$2:$A$5001,$B$2:$B$5001,B4654,$I$2:$I$5001,I4654),1,0))</f>
        <v/>
      </c>
    </row>
    <row r="4655" customFormat="false" ht="15" hidden="false" customHeight="false" outlineLevel="0" collapsed="false">
      <c r="I4655" s="15" t="str">
        <f aca="false">IF(A4655="","",INT(A4655))</f>
        <v/>
      </c>
      <c r="J4655" s="16" t="str">
        <f aca="false">IF(B4655="","",IF(A4655=_xlfn.MINIFS($A$2:$A$5001,$B$2:$B$5001,B4655),1,0))</f>
        <v/>
      </c>
      <c r="K4655" s="16" t="str">
        <f aca="false">IF(B4655="","",IF(AND(D4655="Formalização",E4655="Concluído"),IF(COUNTIFS($B$2:$B$5001,B4655,$E$2:$E$5001,"Em ajustes",$A$2:$A$5001,"&lt;"&amp;I4655)&gt;0,1,0),0))</f>
        <v/>
      </c>
      <c r="L4655" s="16" t="str">
        <f aca="false">IF(B4655="","",IF(A4655=_xlfn.MAXIFS($A$2:$A$5001,$B$2:$B$5001,B4655,$I$2:$I$5001,I4655),1,0))</f>
        <v/>
      </c>
    </row>
    <row r="4656" customFormat="false" ht="15" hidden="false" customHeight="false" outlineLevel="0" collapsed="false">
      <c r="I4656" s="15" t="str">
        <f aca="false">IF(A4656="","",INT(A4656))</f>
        <v/>
      </c>
      <c r="J4656" s="16" t="str">
        <f aca="false">IF(B4656="","",IF(A4656=_xlfn.MINIFS($A$2:$A$5001,$B$2:$B$5001,B4656),1,0))</f>
        <v/>
      </c>
      <c r="K4656" s="16" t="str">
        <f aca="false">IF(B4656="","",IF(AND(D4656="Formalização",E4656="Concluído"),IF(COUNTIFS($B$2:$B$5001,B4656,$E$2:$E$5001,"Em ajustes",$A$2:$A$5001,"&lt;"&amp;I4656)&gt;0,1,0),0))</f>
        <v/>
      </c>
      <c r="L4656" s="16" t="str">
        <f aca="false">IF(B4656="","",IF(A4656=_xlfn.MAXIFS($A$2:$A$5001,$B$2:$B$5001,B4656,$I$2:$I$5001,I4656),1,0))</f>
        <v/>
      </c>
    </row>
    <row r="4657" customFormat="false" ht="15" hidden="false" customHeight="false" outlineLevel="0" collapsed="false">
      <c r="I4657" s="15" t="str">
        <f aca="false">IF(A4657="","",INT(A4657))</f>
        <v/>
      </c>
      <c r="J4657" s="16" t="str">
        <f aca="false">IF(B4657="","",IF(A4657=_xlfn.MINIFS($A$2:$A$5001,$B$2:$B$5001,B4657),1,0))</f>
        <v/>
      </c>
      <c r="K4657" s="16" t="str">
        <f aca="false">IF(B4657="","",IF(AND(D4657="Formalização",E4657="Concluído"),IF(COUNTIFS($B$2:$B$5001,B4657,$E$2:$E$5001,"Em ajustes",$A$2:$A$5001,"&lt;"&amp;I4657)&gt;0,1,0),0))</f>
        <v/>
      </c>
      <c r="L4657" s="16" t="str">
        <f aca="false">IF(B4657="","",IF(A4657=_xlfn.MAXIFS($A$2:$A$5001,$B$2:$B$5001,B4657,$I$2:$I$5001,I4657),1,0))</f>
        <v/>
      </c>
    </row>
    <row r="4658" customFormat="false" ht="15" hidden="false" customHeight="false" outlineLevel="0" collapsed="false">
      <c r="I4658" s="15" t="str">
        <f aca="false">IF(A4658="","",INT(A4658))</f>
        <v/>
      </c>
      <c r="J4658" s="16" t="str">
        <f aca="false">IF(B4658="","",IF(A4658=_xlfn.MINIFS($A$2:$A$5001,$B$2:$B$5001,B4658),1,0))</f>
        <v/>
      </c>
      <c r="K4658" s="16" t="str">
        <f aca="false">IF(B4658="","",IF(AND(D4658="Formalização",E4658="Concluído"),IF(COUNTIFS($B$2:$B$5001,B4658,$E$2:$E$5001,"Em ajustes",$A$2:$A$5001,"&lt;"&amp;I4658)&gt;0,1,0),0))</f>
        <v/>
      </c>
      <c r="L4658" s="16" t="str">
        <f aca="false">IF(B4658="","",IF(A4658=_xlfn.MAXIFS($A$2:$A$5001,$B$2:$B$5001,B4658,$I$2:$I$5001,I4658),1,0))</f>
        <v/>
      </c>
    </row>
    <row r="4659" customFormat="false" ht="15" hidden="false" customHeight="false" outlineLevel="0" collapsed="false">
      <c r="I4659" s="15" t="str">
        <f aca="false">IF(A4659="","",INT(A4659))</f>
        <v/>
      </c>
      <c r="J4659" s="16" t="str">
        <f aca="false">IF(B4659="","",IF(A4659=_xlfn.MINIFS($A$2:$A$5001,$B$2:$B$5001,B4659),1,0))</f>
        <v/>
      </c>
      <c r="K4659" s="16" t="str">
        <f aca="false">IF(B4659="","",IF(AND(D4659="Formalização",E4659="Concluído"),IF(COUNTIFS($B$2:$B$5001,B4659,$E$2:$E$5001,"Em ajustes",$A$2:$A$5001,"&lt;"&amp;I4659)&gt;0,1,0),0))</f>
        <v/>
      </c>
      <c r="L4659" s="16" t="str">
        <f aca="false">IF(B4659="","",IF(A4659=_xlfn.MAXIFS($A$2:$A$5001,$B$2:$B$5001,B4659,$I$2:$I$5001,I4659),1,0))</f>
        <v/>
      </c>
    </row>
    <row r="4660" customFormat="false" ht="15" hidden="false" customHeight="false" outlineLevel="0" collapsed="false">
      <c r="I4660" s="15" t="str">
        <f aca="false">IF(A4660="","",INT(A4660))</f>
        <v/>
      </c>
      <c r="J4660" s="16" t="str">
        <f aca="false">IF(B4660="","",IF(A4660=_xlfn.MINIFS($A$2:$A$5001,$B$2:$B$5001,B4660),1,0))</f>
        <v/>
      </c>
      <c r="K4660" s="16" t="str">
        <f aca="false">IF(B4660="","",IF(AND(D4660="Formalização",E4660="Concluído"),IF(COUNTIFS($B$2:$B$5001,B4660,$E$2:$E$5001,"Em ajustes",$A$2:$A$5001,"&lt;"&amp;I4660)&gt;0,1,0),0))</f>
        <v/>
      </c>
      <c r="L4660" s="16" t="str">
        <f aca="false">IF(B4660="","",IF(A4660=_xlfn.MAXIFS($A$2:$A$5001,$B$2:$B$5001,B4660,$I$2:$I$5001,I4660),1,0))</f>
        <v/>
      </c>
    </row>
    <row r="4661" customFormat="false" ht="15" hidden="false" customHeight="false" outlineLevel="0" collapsed="false">
      <c r="I4661" s="15" t="str">
        <f aca="false">IF(A4661="","",INT(A4661))</f>
        <v/>
      </c>
      <c r="J4661" s="16" t="str">
        <f aca="false">IF(B4661="","",IF(A4661=_xlfn.MINIFS($A$2:$A$5001,$B$2:$B$5001,B4661),1,0))</f>
        <v/>
      </c>
      <c r="K4661" s="16" t="str">
        <f aca="false">IF(B4661="","",IF(AND(D4661="Formalização",E4661="Concluído"),IF(COUNTIFS($B$2:$B$5001,B4661,$E$2:$E$5001,"Em ajustes",$A$2:$A$5001,"&lt;"&amp;I4661)&gt;0,1,0),0))</f>
        <v/>
      </c>
      <c r="L4661" s="16" t="str">
        <f aca="false">IF(B4661="","",IF(A4661=_xlfn.MAXIFS($A$2:$A$5001,$B$2:$B$5001,B4661,$I$2:$I$5001,I4661),1,0))</f>
        <v/>
      </c>
    </row>
    <row r="4662" customFormat="false" ht="15" hidden="false" customHeight="false" outlineLevel="0" collapsed="false">
      <c r="I4662" s="15" t="str">
        <f aca="false">IF(A4662="","",INT(A4662))</f>
        <v/>
      </c>
      <c r="J4662" s="16" t="str">
        <f aca="false">IF(B4662="","",IF(A4662=_xlfn.MINIFS($A$2:$A$5001,$B$2:$B$5001,B4662),1,0))</f>
        <v/>
      </c>
      <c r="K4662" s="16" t="str">
        <f aca="false">IF(B4662="","",IF(AND(D4662="Formalização",E4662="Concluído"),IF(COUNTIFS($B$2:$B$5001,B4662,$E$2:$E$5001,"Em ajustes",$A$2:$A$5001,"&lt;"&amp;I4662)&gt;0,1,0),0))</f>
        <v/>
      </c>
      <c r="L4662" s="16" t="str">
        <f aca="false">IF(B4662="","",IF(A4662=_xlfn.MAXIFS($A$2:$A$5001,$B$2:$B$5001,B4662,$I$2:$I$5001,I4662),1,0))</f>
        <v/>
      </c>
    </row>
    <row r="4663" customFormat="false" ht="15" hidden="false" customHeight="false" outlineLevel="0" collapsed="false">
      <c r="I4663" s="15" t="str">
        <f aca="false">IF(A4663="","",INT(A4663))</f>
        <v/>
      </c>
      <c r="J4663" s="16" t="str">
        <f aca="false">IF(B4663="","",IF(A4663=_xlfn.MINIFS($A$2:$A$5001,$B$2:$B$5001,B4663),1,0))</f>
        <v/>
      </c>
      <c r="K4663" s="16" t="str">
        <f aca="false">IF(B4663="","",IF(AND(D4663="Formalização",E4663="Concluído"),IF(COUNTIFS($B$2:$B$5001,B4663,$E$2:$E$5001,"Em ajustes",$A$2:$A$5001,"&lt;"&amp;I4663)&gt;0,1,0),0))</f>
        <v/>
      </c>
      <c r="L4663" s="16" t="str">
        <f aca="false">IF(B4663="","",IF(A4663=_xlfn.MAXIFS($A$2:$A$5001,$B$2:$B$5001,B4663,$I$2:$I$5001,I4663),1,0))</f>
        <v/>
      </c>
    </row>
    <row r="4664" customFormat="false" ht="15" hidden="false" customHeight="false" outlineLevel="0" collapsed="false">
      <c r="I4664" s="15" t="str">
        <f aca="false">IF(A4664="","",INT(A4664))</f>
        <v/>
      </c>
      <c r="J4664" s="16" t="str">
        <f aca="false">IF(B4664="","",IF(A4664=_xlfn.MINIFS($A$2:$A$5001,$B$2:$B$5001,B4664),1,0))</f>
        <v/>
      </c>
      <c r="K4664" s="16" t="str">
        <f aca="false">IF(B4664="","",IF(AND(D4664="Formalização",E4664="Concluído"),IF(COUNTIFS($B$2:$B$5001,B4664,$E$2:$E$5001,"Em ajustes",$A$2:$A$5001,"&lt;"&amp;I4664)&gt;0,1,0),0))</f>
        <v/>
      </c>
      <c r="L4664" s="16" t="str">
        <f aca="false">IF(B4664="","",IF(A4664=_xlfn.MAXIFS($A$2:$A$5001,$B$2:$B$5001,B4664,$I$2:$I$5001,I4664),1,0))</f>
        <v/>
      </c>
    </row>
    <row r="4665" customFormat="false" ht="15" hidden="false" customHeight="false" outlineLevel="0" collapsed="false">
      <c r="I4665" s="15" t="str">
        <f aca="false">IF(A4665="","",INT(A4665))</f>
        <v/>
      </c>
      <c r="J4665" s="16" t="str">
        <f aca="false">IF(B4665="","",IF(A4665=_xlfn.MINIFS($A$2:$A$5001,$B$2:$B$5001,B4665),1,0))</f>
        <v/>
      </c>
      <c r="K4665" s="16" t="str">
        <f aca="false">IF(B4665="","",IF(AND(D4665="Formalização",E4665="Concluído"),IF(COUNTIFS($B$2:$B$5001,B4665,$E$2:$E$5001,"Em ajustes",$A$2:$A$5001,"&lt;"&amp;I4665)&gt;0,1,0),0))</f>
        <v/>
      </c>
      <c r="L4665" s="16" t="str">
        <f aca="false">IF(B4665="","",IF(A4665=_xlfn.MAXIFS($A$2:$A$5001,$B$2:$B$5001,B4665,$I$2:$I$5001,I4665),1,0))</f>
        <v/>
      </c>
    </row>
    <row r="4666" customFormat="false" ht="15" hidden="false" customHeight="false" outlineLevel="0" collapsed="false">
      <c r="I4666" s="15" t="str">
        <f aca="false">IF(A4666="","",INT(A4666))</f>
        <v/>
      </c>
      <c r="J4666" s="16" t="str">
        <f aca="false">IF(B4666="","",IF(A4666=_xlfn.MINIFS($A$2:$A$5001,$B$2:$B$5001,B4666),1,0))</f>
        <v/>
      </c>
      <c r="K4666" s="16" t="str">
        <f aca="false">IF(B4666="","",IF(AND(D4666="Formalização",E4666="Concluído"),IF(COUNTIFS($B$2:$B$5001,B4666,$E$2:$E$5001,"Em ajustes",$A$2:$A$5001,"&lt;"&amp;I4666)&gt;0,1,0),0))</f>
        <v/>
      </c>
      <c r="L4666" s="16" t="str">
        <f aca="false">IF(B4666="","",IF(A4666=_xlfn.MAXIFS($A$2:$A$5001,$B$2:$B$5001,B4666,$I$2:$I$5001,I4666),1,0))</f>
        <v/>
      </c>
    </row>
    <row r="4667" customFormat="false" ht="15" hidden="false" customHeight="false" outlineLevel="0" collapsed="false">
      <c r="I4667" s="15" t="str">
        <f aca="false">IF(A4667="","",INT(A4667))</f>
        <v/>
      </c>
      <c r="J4667" s="16" t="str">
        <f aca="false">IF(B4667="","",IF(A4667=_xlfn.MINIFS($A$2:$A$5001,$B$2:$B$5001,B4667),1,0))</f>
        <v/>
      </c>
      <c r="K4667" s="16" t="str">
        <f aca="false">IF(B4667="","",IF(AND(D4667="Formalização",E4667="Concluído"),IF(COUNTIFS($B$2:$B$5001,B4667,$E$2:$E$5001,"Em ajustes",$A$2:$A$5001,"&lt;"&amp;I4667)&gt;0,1,0),0))</f>
        <v/>
      </c>
      <c r="L4667" s="16" t="str">
        <f aca="false">IF(B4667="","",IF(A4667=_xlfn.MAXIFS($A$2:$A$5001,$B$2:$B$5001,B4667,$I$2:$I$5001,I4667),1,0))</f>
        <v/>
      </c>
    </row>
    <row r="4668" customFormat="false" ht="15" hidden="false" customHeight="false" outlineLevel="0" collapsed="false">
      <c r="I4668" s="15" t="str">
        <f aca="false">IF(A4668="","",INT(A4668))</f>
        <v/>
      </c>
      <c r="J4668" s="16" t="str">
        <f aca="false">IF(B4668="","",IF(A4668=_xlfn.MINIFS($A$2:$A$5001,$B$2:$B$5001,B4668),1,0))</f>
        <v/>
      </c>
      <c r="K4668" s="16" t="str">
        <f aca="false">IF(B4668="","",IF(AND(D4668="Formalização",E4668="Concluído"),IF(COUNTIFS($B$2:$B$5001,B4668,$E$2:$E$5001,"Em ajustes",$A$2:$A$5001,"&lt;"&amp;I4668)&gt;0,1,0),0))</f>
        <v/>
      </c>
      <c r="L4668" s="16" t="str">
        <f aca="false">IF(B4668="","",IF(A4668=_xlfn.MAXIFS($A$2:$A$5001,$B$2:$B$5001,B4668,$I$2:$I$5001,I4668),1,0))</f>
        <v/>
      </c>
    </row>
    <row r="4669" customFormat="false" ht="15" hidden="false" customHeight="false" outlineLevel="0" collapsed="false">
      <c r="I4669" s="15" t="str">
        <f aca="false">IF(A4669="","",INT(A4669))</f>
        <v/>
      </c>
      <c r="J4669" s="16" t="str">
        <f aca="false">IF(B4669="","",IF(A4669=_xlfn.MINIFS($A$2:$A$5001,$B$2:$B$5001,B4669),1,0))</f>
        <v/>
      </c>
      <c r="K4669" s="16" t="str">
        <f aca="false">IF(B4669="","",IF(AND(D4669="Formalização",E4669="Concluído"),IF(COUNTIFS($B$2:$B$5001,B4669,$E$2:$E$5001,"Em ajustes",$A$2:$A$5001,"&lt;"&amp;I4669)&gt;0,1,0),0))</f>
        <v/>
      </c>
      <c r="L4669" s="16" t="str">
        <f aca="false">IF(B4669="","",IF(A4669=_xlfn.MAXIFS($A$2:$A$5001,$B$2:$B$5001,B4669,$I$2:$I$5001,I4669),1,0))</f>
        <v/>
      </c>
    </row>
    <row r="4670" customFormat="false" ht="15" hidden="false" customHeight="false" outlineLevel="0" collapsed="false">
      <c r="I4670" s="15" t="str">
        <f aca="false">IF(A4670="","",INT(A4670))</f>
        <v/>
      </c>
      <c r="J4670" s="16" t="str">
        <f aca="false">IF(B4670="","",IF(A4670=_xlfn.MINIFS($A$2:$A$5001,$B$2:$B$5001,B4670),1,0))</f>
        <v/>
      </c>
      <c r="K4670" s="16" t="str">
        <f aca="false">IF(B4670="","",IF(AND(D4670="Formalização",E4670="Concluído"),IF(COUNTIFS($B$2:$B$5001,B4670,$E$2:$E$5001,"Em ajustes",$A$2:$A$5001,"&lt;"&amp;I4670)&gt;0,1,0),0))</f>
        <v/>
      </c>
      <c r="L4670" s="16" t="str">
        <f aca="false">IF(B4670="","",IF(A4670=_xlfn.MAXIFS($A$2:$A$5001,$B$2:$B$5001,B4670,$I$2:$I$5001,I4670),1,0))</f>
        <v/>
      </c>
    </row>
    <row r="4671" customFormat="false" ht="15" hidden="false" customHeight="false" outlineLevel="0" collapsed="false">
      <c r="I4671" s="15" t="str">
        <f aca="false">IF(A4671="","",INT(A4671))</f>
        <v/>
      </c>
      <c r="J4671" s="16" t="str">
        <f aca="false">IF(B4671="","",IF(A4671=_xlfn.MINIFS($A$2:$A$5001,$B$2:$B$5001,B4671),1,0))</f>
        <v/>
      </c>
      <c r="K4671" s="16" t="str">
        <f aca="false">IF(B4671="","",IF(AND(D4671="Formalização",E4671="Concluído"),IF(COUNTIFS($B$2:$B$5001,B4671,$E$2:$E$5001,"Em ajustes",$A$2:$A$5001,"&lt;"&amp;I4671)&gt;0,1,0),0))</f>
        <v/>
      </c>
      <c r="L4671" s="16" t="str">
        <f aca="false">IF(B4671="","",IF(A4671=_xlfn.MAXIFS($A$2:$A$5001,$B$2:$B$5001,B4671,$I$2:$I$5001,I4671),1,0))</f>
        <v/>
      </c>
    </row>
    <row r="4672" customFormat="false" ht="15" hidden="false" customHeight="false" outlineLevel="0" collapsed="false">
      <c r="I4672" s="15" t="str">
        <f aca="false">IF(A4672="","",INT(A4672))</f>
        <v/>
      </c>
      <c r="J4672" s="16" t="str">
        <f aca="false">IF(B4672="","",IF(A4672=_xlfn.MINIFS($A$2:$A$5001,$B$2:$B$5001,B4672),1,0))</f>
        <v/>
      </c>
      <c r="K4672" s="16" t="str">
        <f aca="false">IF(B4672="","",IF(AND(D4672="Formalização",E4672="Concluído"),IF(COUNTIFS($B$2:$B$5001,B4672,$E$2:$E$5001,"Em ajustes",$A$2:$A$5001,"&lt;"&amp;I4672)&gt;0,1,0),0))</f>
        <v/>
      </c>
      <c r="L4672" s="16" t="str">
        <f aca="false">IF(B4672="","",IF(A4672=_xlfn.MAXIFS($A$2:$A$5001,$B$2:$B$5001,B4672,$I$2:$I$5001,I4672),1,0))</f>
        <v/>
      </c>
    </row>
    <row r="4673" customFormat="false" ht="15" hidden="false" customHeight="false" outlineLevel="0" collapsed="false">
      <c r="I4673" s="15" t="str">
        <f aca="false">IF(A4673="","",INT(A4673))</f>
        <v/>
      </c>
      <c r="J4673" s="16" t="str">
        <f aca="false">IF(B4673="","",IF(A4673=_xlfn.MINIFS($A$2:$A$5001,$B$2:$B$5001,B4673),1,0))</f>
        <v/>
      </c>
      <c r="K4673" s="16" t="str">
        <f aca="false">IF(B4673="","",IF(AND(D4673="Formalização",E4673="Concluído"),IF(COUNTIFS($B$2:$B$5001,B4673,$E$2:$E$5001,"Em ajustes",$A$2:$A$5001,"&lt;"&amp;I4673)&gt;0,1,0),0))</f>
        <v/>
      </c>
      <c r="L4673" s="16" t="str">
        <f aca="false">IF(B4673="","",IF(A4673=_xlfn.MAXIFS($A$2:$A$5001,$B$2:$B$5001,B4673,$I$2:$I$5001,I4673),1,0))</f>
        <v/>
      </c>
    </row>
    <row r="4674" customFormat="false" ht="15" hidden="false" customHeight="false" outlineLevel="0" collapsed="false">
      <c r="I4674" s="15" t="str">
        <f aca="false">IF(A4674="","",INT(A4674))</f>
        <v/>
      </c>
      <c r="J4674" s="16" t="str">
        <f aca="false">IF(B4674="","",IF(A4674=_xlfn.MINIFS($A$2:$A$5001,$B$2:$B$5001,B4674),1,0))</f>
        <v/>
      </c>
      <c r="K4674" s="16" t="str">
        <f aca="false">IF(B4674="","",IF(AND(D4674="Formalização",E4674="Concluído"),IF(COUNTIFS($B$2:$B$5001,B4674,$E$2:$E$5001,"Em ajustes",$A$2:$A$5001,"&lt;"&amp;I4674)&gt;0,1,0),0))</f>
        <v/>
      </c>
      <c r="L4674" s="16" t="str">
        <f aca="false">IF(B4674="","",IF(A4674=_xlfn.MAXIFS($A$2:$A$5001,$B$2:$B$5001,B4674,$I$2:$I$5001,I4674),1,0))</f>
        <v/>
      </c>
    </row>
    <row r="4675" customFormat="false" ht="15" hidden="false" customHeight="false" outlineLevel="0" collapsed="false">
      <c r="I4675" s="15" t="str">
        <f aca="false">IF(A4675="","",INT(A4675))</f>
        <v/>
      </c>
      <c r="J4675" s="16" t="str">
        <f aca="false">IF(B4675="","",IF(A4675=_xlfn.MINIFS($A$2:$A$5001,$B$2:$B$5001,B4675),1,0))</f>
        <v/>
      </c>
      <c r="K4675" s="16" t="str">
        <f aca="false">IF(B4675="","",IF(AND(D4675="Formalização",E4675="Concluído"),IF(COUNTIFS($B$2:$B$5001,B4675,$E$2:$E$5001,"Em ajustes",$A$2:$A$5001,"&lt;"&amp;I4675)&gt;0,1,0),0))</f>
        <v/>
      </c>
      <c r="L4675" s="16" t="str">
        <f aca="false">IF(B4675="","",IF(A4675=_xlfn.MAXIFS($A$2:$A$5001,$B$2:$B$5001,B4675,$I$2:$I$5001,I4675),1,0))</f>
        <v/>
      </c>
    </row>
    <row r="4676" customFormat="false" ht="15" hidden="false" customHeight="false" outlineLevel="0" collapsed="false">
      <c r="I4676" s="15" t="str">
        <f aca="false">IF(A4676="","",INT(A4676))</f>
        <v/>
      </c>
      <c r="J4676" s="16" t="str">
        <f aca="false">IF(B4676="","",IF(A4676=_xlfn.MINIFS($A$2:$A$5001,$B$2:$B$5001,B4676),1,0))</f>
        <v/>
      </c>
      <c r="K4676" s="16" t="str">
        <f aca="false">IF(B4676="","",IF(AND(D4676="Formalização",E4676="Concluído"),IF(COUNTIFS($B$2:$B$5001,B4676,$E$2:$E$5001,"Em ajustes",$A$2:$A$5001,"&lt;"&amp;I4676)&gt;0,1,0),0))</f>
        <v/>
      </c>
      <c r="L4676" s="16" t="str">
        <f aca="false">IF(B4676="","",IF(A4676=_xlfn.MAXIFS($A$2:$A$5001,$B$2:$B$5001,B4676,$I$2:$I$5001,I4676),1,0))</f>
        <v/>
      </c>
    </row>
    <row r="4677" customFormat="false" ht="15" hidden="false" customHeight="false" outlineLevel="0" collapsed="false">
      <c r="I4677" s="15" t="str">
        <f aca="false">IF(A4677="","",INT(A4677))</f>
        <v/>
      </c>
      <c r="J4677" s="16" t="str">
        <f aca="false">IF(B4677="","",IF(A4677=_xlfn.MINIFS($A$2:$A$5001,$B$2:$B$5001,B4677),1,0))</f>
        <v/>
      </c>
      <c r="K4677" s="16" t="str">
        <f aca="false">IF(B4677="","",IF(AND(D4677="Formalização",E4677="Concluído"),IF(COUNTIFS($B$2:$B$5001,B4677,$E$2:$E$5001,"Em ajustes",$A$2:$A$5001,"&lt;"&amp;I4677)&gt;0,1,0),0))</f>
        <v/>
      </c>
      <c r="L4677" s="16" t="str">
        <f aca="false">IF(B4677="","",IF(A4677=_xlfn.MAXIFS($A$2:$A$5001,$B$2:$B$5001,B4677,$I$2:$I$5001,I4677),1,0))</f>
        <v/>
      </c>
    </row>
    <row r="4678" customFormat="false" ht="15" hidden="false" customHeight="false" outlineLevel="0" collapsed="false">
      <c r="I4678" s="15" t="str">
        <f aca="false">IF(A4678="","",INT(A4678))</f>
        <v/>
      </c>
      <c r="J4678" s="16" t="str">
        <f aca="false">IF(B4678="","",IF(A4678=_xlfn.MINIFS($A$2:$A$5001,$B$2:$B$5001,B4678),1,0))</f>
        <v/>
      </c>
      <c r="K4678" s="16" t="str">
        <f aca="false">IF(B4678="","",IF(AND(D4678="Formalização",E4678="Concluído"),IF(COUNTIFS($B$2:$B$5001,B4678,$E$2:$E$5001,"Em ajustes",$A$2:$A$5001,"&lt;"&amp;I4678)&gt;0,1,0),0))</f>
        <v/>
      </c>
      <c r="L4678" s="16" t="str">
        <f aca="false">IF(B4678="","",IF(A4678=_xlfn.MAXIFS($A$2:$A$5001,$B$2:$B$5001,B4678,$I$2:$I$5001,I4678),1,0))</f>
        <v/>
      </c>
    </row>
    <row r="4679" customFormat="false" ht="15" hidden="false" customHeight="false" outlineLevel="0" collapsed="false">
      <c r="I4679" s="15" t="str">
        <f aca="false">IF(A4679="","",INT(A4679))</f>
        <v/>
      </c>
      <c r="J4679" s="16" t="str">
        <f aca="false">IF(B4679="","",IF(A4679=_xlfn.MINIFS($A$2:$A$5001,$B$2:$B$5001,B4679),1,0))</f>
        <v/>
      </c>
      <c r="K4679" s="16" t="str">
        <f aca="false">IF(B4679="","",IF(AND(D4679="Formalização",E4679="Concluído"),IF(COUNTIFS($B$2:$B$5001,B4679,$E$2:$E$5001,"Em ajustes",$A$2:$A$5001,"&lt;"&amp;I4679)&gt;0,1,0),0))</f>
        <v/>
      </c>
      <c r="L4679" s="16" t="str">
        <f aca="false">IF(B4679="","",IF(A4679=_xlfn.MAXIFS($A$2:$A$5001,$B$2:$B$5001,B4679,$I$2:$I$5001,I4679),1,0))</f>
        <v/>
      </c>
    </row>
    <row r="4680" customFormat="false" ht="15" hidden="false" customHeight="false" outlineLevel="0" collapsed="false">
      <c r="I4680" s="15" t="str">
        <f aca="false">IF(A4680="","",INT(A4680))</f>
        <v/>
      </c>
      <c r="J4680" s="16" t="str">
        <f aca="false">IF(B4680="","",IF(A4680=_xlfn.MINIFS($A$2:$A$5001,$B$2:$B$5001,B4680),1,0))</f>
        <v/>
      </c>
      <c r="K4680" s="16" t="str">
        <f aca="false">IF(B4680="","",IF(AND(D4680="Formalização",E4680="Concluído"),IF(COUNTIFS($B$2:$B$5001,B4680,$E$2:$E$5001,"Em ajustes",$A$2:$A$5001,"&lt;"&amp;I4680)&gt;0,1,0),0))</f>
        <v/>
      </c>
      <c r="L4680" s="16" t="str">
        <f aca="false">IF(B4680="","",IF(A4680=_xlfn.MAXIFS($A$2:$A$5001,$B$2:$B$5001,B4680,$I$2:$I$5001,I4680),1,0))</f>
        <v/>
      </c>
    </row>
    <row r="4681" customFormat="false" ht="15" hidden="false" customHeight="false" outlineLevel="0" collapsed="false">
      <c r="I4681" s="15" t="str">
        <f aca="false">IF(A4681="","",INT(A4681))</f>
        <v/>
      </c>
      <c r="J4681" s="16" t="str">
        <f aca="false">IF(B4681="","",IF(A4681=_xlfn.MINIFS($A$2:$A$5001,$B$2:$B$5001,B4681),1,0))</f>
        <v/>
      </c>
      <c r="K4681" s="16" t="str">
        <f aca="false">IF(B4681="","",IF(AND(D4681="Formalização",E4681="Concluído"),IF(COUNTIFS($B$2:$B$5001,B4681,$E$2:$E$5001,"Em ajustes",$A$2:$A$5001,"&lt;"&amp;I4681)&gt;0,1,0),0))</f>
        <v/>
      </c>
      <c r="L4681" s="16" t="str">
        <f aca="false">IF(B4681="","",IF(A4681=_xlfn.MAXIFS($A$2:$A$5001,$B$2:$B$5001,B4681,$I$2:$I$5001,I4681),1,0))</f>
        <v/>
      </c>
    </row>
    <row r="4682" customFormat="false" ht="15" hidden="false" customHeight="false" outlineLevel="0" collapsed="false">
      <c r="I4682" s="15" t="str">
        <f aca="false">IF(A4682="","",INT(A4682))</f>
        <v/>
      </c>
      <c r="J4682" s="16" t="str">
        <f aca="false">IF(B4682="","",IF(A4682=_xlfn.MINIFS($A$2:$A$5001,$B$2:$B$5001,B4682),1,0))</f>
        <v/>
      </c>
      <c r="K4682" s="16" t="str">
        <f aca="false">IF(B4682="","",IF(AND(D4682="Formalização",E4682="Concluído"),IF(COUNTIFS($B$2:$B$5001,B4682,$E$2:$E$5001,"Em ajustes",$A$2:$A$5001,"&lt;"&amp;I4682)&gt;0,1,0),0))</f>
        <v/>
      </c>
      <c r="L4682" s="16" t="str">
        <f aca="false">IF(B4682="","",IF(A4682=_xlfn.MAXIFS($A$2:$A$5001,$B$2:$B$5001,B4682,$I$2:$I$5001,I4682),1,0))</f>
        <v/>
      </c>
    </row>
    <row r="4683" customFormat="false" ht="15" hidden="false" customHeight="false" outlineLevel="0" collapsed="false">
      <c r="I4683" s="15" t="str">
        <f aca="false">IF(A4683="","",INT(A4683))</f>
        <v/>
      </c>
      <c r="J4683" s="16" t="str">
        <f aca="false">IF(B4683="","",IF(A4683=_xlfn.MINIFS($A$2:$A$5001,$B$2:$B$5001,B4683),1,0))</f>
        <v/>
      </c>
      <c r="K4683" s="16" t="str">
        <f aca="false">IF(B4683="","",IF(AND(D4683="Formalização",E4683="Concluído"),IF(COUNTIFS($B$2:$B$5001,B4683,$E$2:$E$5001,"Em ajustes",$A$2:$A$5001,"&lt;"&amp;I4683)&gt;0,1,0),0))</f>
        <v/>
      </c>
      <c r="L4683" s="16" t="str">
        <f aca="false">IF(B4683="","",IF(A4683=_xlfn.MAXIFS($A$2:$A$5001,$B$2:$B$5001,B4683,$I$2:$I$5001,I4683),1,0))</f>
        <v/>
      </c>
    </row>
    <row r="4684" customFormat="false" ht="15" hidden="false" customHeight="false" outlineLevel="0" collapsed="false">
      <c r="I4684" s="15" t="str">
        <f aca="false">IF(A4684="","",INT(A4684))</f>
        <v/>
      </c>
      <c r="J4684" s="16" t="str">
        <f aca="false">IF(B4684="","",IF(A4684=_xlfn.MINIFS($A$2:$A$5001,$B$2:$B$5001,B4684),1,0))</f>
        <v/>
      </c>
      <c r="K4684" s="16" t="str">
        <f aca="false">IF(B4684="","",IF(AND(D4684="Formalização",E4684="Concluído"),IF(COUNTIFS($B$2:$B$5001,B4684,$E$2:$E$5001,"Em ajustes",$A$2:$A$5001,"&lt;"&amp;I4684)&gt;0,1,0),0))</f>
        <v/>
      </c>
      <c r="L4684" s="16" t="str">
        <f aca="false">IF(B4684="","",IF(A4684=_xlfn.MAXIFS($A$2:$A$5001,$B$2:$B$5001,B4684,$I$2:$I$5001,I4684),1,0))</f>
        <v/>
      </c>
    </row>
    <row r="4685" customFormat="false" ht="15" hidden="false" customHeight="false" outlineLevel="0" collapsed="false">
      <c r="I4685" s="15" t="str">
        <f aca="false">IF(A4685="","",INT(A4685))</f>
        <v/>
      </c>
      <c r="J4685" s="16" t="str">
        <f aca="false">IF(B4685="","",IF(A4685=_xlfn.MINIFS($A$2:$A$5001,$B$2:$B$5001,B4685),1,0))</f>
        <v/>
      </c>
      <c r="K4685" s="16" t="str">
        <f aca="false">IF(B4685="","",IF(AND(D4685="Formalização",E4685="Concluído"),IF(COUNTIFS($B$2:$B$5001,B4685,$E$2:$E$5001,"Em ajustes",$A$2:$A$5001,"&lt;"&amp;I4685)&gt;0,1,0),0))</f>
        <v/>
      </c>
      <c r="L4685" s="16" t="str">
        <f aca="false">IF(B4685="","",IF(A4685=_xlfn.MAXIFS($A$2:$A$5001,$B$2:$B$5001,B4685,$I$2:$I$5001,I4685),1,0))</f>
        <v/>
      </c>
    </row>
    <row r="4686" customFormat="false" ht="15" hidden="false" customHeight="false" outlineLevel="0" collapsed="false">
      <c r="I4686" s="15" t="str">
        <f aca="false">IF(A4686="","",INT(A4686))</f>
        <v/>
      </c>
      <c r="J4686" s="16" t="str">
        <f aca="false">IF(B4686="","",IF(A4686=_xlfn.MINIFS($A$2:$A$5001,$B$2:$B$5001,B4686),1,0))</f>
        <v/>
      </c>
      <c r="K4686" s="16" t="str">
        <f aca="false">IF(B4686="","",IF(AND(D4686="Formalização",E4686="Concluído"),IF(COUNTIFS($B$2:$B$5001,B4686,$E$2:$E$5001,"Em ajustes",$A$2:$A$5001,"&lt;"&amp;I4686)&gt;0,1,0),0))</f>
        <v/>
      </c>
      <c r="L4686" s="16" t="str">
        <f aca="false">IF(B4686="","",IF(A4686=_xlfn.MAXIFS($A$2:$A$5001,$B$2:$B$5001,B4686,$I$2:$I$5001,I4686),1,0))</f>
        <v/>
      </c>
    </row>
    <row r="4687" customFormat="false" ht="15" hidden="false" customHeight="false" outlineLevel="0" collapsed="false">
      <c r="I4687" s="15" t="str">
        <f aca="false">IF(A4687="","",INT(A4687))</f>
        <v/>
      </c>
      <c r="J4687" s="16" t="str">
        <f aca="false">IF(B4687="","",IF(A4687=_xlfn.MINIFS($A$2:$A$5001,$B$2:$B$5001,B4687),1,0))</f>
        <v/>
      </c>
      <c r="K4687" s="16" t="str">
        <f aca="false">IF(B4687="","",IF(AND(D4687="Formalização",E4687="Concluído"),IF(COUNTIFS($B$2:$B$5001,B4687,$E$2:$E$5001,"Em ajustes",$A$2:$A$5001,"&lt;"&amp;I4687)&gt;0,1,0),0))</f>
        <v/>
      </c>
      <c r="L4687" s="16" t="str">
        <f aca="false">IF(B4687="","",IF(A4687=_xlfn.MAXIFS($A$2:$A$5001,$B$2:$B$5001,B4687,$I$2:$I$5001,I4687),1,0))</f>
        <v/>
      </c>
    </row>
    <row r="4688" customFormat="false" ht="15" hidden="false" customHeight="false" outlineLevel="0" collapsed="false">
      <c r="I4688" s="15" t="str">
        <f aca="false">IF(A4688="","",INT(A4688))</f>
        <v/>
      </c>
      <c r="J4688" s="16" t="str">
        <f aca="false">IF(B4688="","",IF(A4688=_xlfn.MINIFS($A$2:$A$5001,$B$2:$B$5001,B4688),1,0))</f>
        <v/>
      </c>
      <c r="K4688" s="16" t="str">
        <f aca="false">IF(B4688="","",IF(AND(D4688="Formalização",E4688="Concluído"),IF(COUNTIFS($B$2:$B$5001,B4688,$E$2:$E$5001,"Em ajustes",$A$2:$A$5001,"&lt;"&amp;I4688)&gt;0,1,0),0))</f>
        <v/>
      </c>
      <c r="L4688" s="16" t="str">
        <f aca="false">IF(B4688="","",IF(A4688=_xlfn.MAXIFS($A$2:$A$5001,$B$2:$B$5001,B4688,$I$2:$I$5001,I4688),1,0))</f>
        <v/>
      </c>
    </row>
    <row r="4689" customFormat="false" ht="15" hidden="false" customHeight="false" outlineLevel="0" collapsed="false">
      <c r="I4689" s="15" t="str">
        <f aca="false">IF(A4689="","",INT(A4689))</f>
        <v/>
      </c>
      <c r="J4689" s="16" t="str">
        <f aca="false">IF(B4689="","",IF(A4689=_xlfn.MINIFS($A$2:$A$5001,$B$2:$B$5001,B4689),1,0))</f>
        <v/>
      </c>
      <c r="K4689" s="16" t="str">
        <f aca="false">IF(B4689="","",IF(AND(D4689="Formalização",E4689="Concluído"),IF(COUNTIFS($B$2:$B$5001,B4689,$E$2:$E$5001,"Em ajustes",$A$2:$A$5001,"&lt;"&amp;I4689)&gt;0,1,0),0))</f>
        <v/>
      </c>
      <c r="L4689" s="16" t="str">
        <f aca="false">IF(B4689="","",IF(A4689=_xlfn.MAXIFS($A$2:$A$5001,$B$2:$B$5001,B4689,$I$2:$I$5001,I4689),1,0))</f>
        <v/>
      </c>
    </row>
    <row r="4690" customFormat="false" ht="15" hidden="false" customHeight="false" outlineLevel="0" collapsed="false">
      <c r="I4690" s="15" t="str">
        <f aca="false">IF(A4690="","",INT(A4690))</f>
        <v/>
      </c>
      <c r="J4690" s="16" t="str">
        <f aca="false">IF(B4690="","",IF(A4690=_xlfn.MINIFS($A$2:$A$5001,$B$2:$B$5001,B4690),1,0))</f>
        <v/>
      </c>
      <c r="K4690" s="16" t="str">
        <f aca="false">IF(B4690="","",IF(AND(D4690="Formalização",E4690="Concluído"),IF(COUNTIFS($B$2:$B$5001,B4690,$E$2:$E$5001,"Em ajustes",$A$2:$A$5001,"&lt;"&amp;I4690)&gt;0,1,0),0))</f>
        <v/>
      </c>
      <c r="L4690" s="16" t="str">
        <f aca="false">IF(B4690="","",IF(A4690=_xlfn.MAXIFS($A$2:$A$5001,$B$2:$B$5001,B4690,$I$2:$I$5001,I4690),1,0))</f>
        <v/>
      </c>
    </row>
    <row r="4691" customFormat="false" ht="15" hidden="false" customHeight="false" outlineLevel="0" collapsed="false">
      <c r="I4691" s="15" t="str">
        <f aca="false">IF(A4691="","",INT(A4691))</f>
        <v/>
      </c>
      <c r="J4691" s="16" t="str">
        <f aca="false">IF(B4691="","",IF(A4691=_xlfn.MINIFS($A$2:$A$5001,$B$2:$B$5001,B4691),1,0))</f>
        <v/>
      </c>
      <c r="K4691" s="16" t="str">
        <f aca="false">IF(B4691="","",IF(AND(D4691="Formalização",E4691="Concluído"),IF(COUNTIFS($B$2:$B$5001,B4691,$E$2:$E$5001,"Em ajustes",$A$2:$A$5001,"&lt;"&amp;I4691)&gt;0,1,0),0))</f>
        <v/>
      </c>
      <c r="L4691" s="16" t="str">
        <f aca="false">IF(B4691="","",IF(A4691=_xlfn.MAXIFS($A$2:$A$5001,$B$2:$B$5001,B4691,$I$2:$I$5001,I4691),1,0))</f>
        <v/>
      </c>
    </row>
    <row r="4692" customFormat="false" ht="15" hidden="false" customHeight="false" outlineLevel="0" collapsed="false">
      <c r="I4692" s="15" t="str">
        <f aca="false">IF(A4692="","",INT(A4692))</f>
        <v/>
      </c>
      <c r="J4692" s="16" t="str">
        <f aca="false">IF(B4692="","",IF(A4692=_xlfn.MINIFS($A$2:$A$5001,$B$2:$B$5001,B4692),1,0))</f>
        <v/>
      </c>
      <c r="K4692" s="16" t="str">
        <f aca="false">IF(B4692="","",IF(AND(D4692="Formalização",E4692="Concluído"),IF(COUNTIFS($B$2:$B$5001,B4692,$E$2:$E$5001,"Em ajustes",$A$2:$A$5001,"&lt;"&amp;I4692)&gt;0,1,0),0))</f>
        <v/>
      </c>
      <c r="L4692" s="16" t="str">
        <f aca="false">IF(B4692="","",IF(A4692=_xlfn.MAXIFS($A$2:$A$5001,$B$2:$B$5001,B4692,$I$2:$I$5001,I4692),1,0))</f>
        <v/>
      </c>
    </row>
    <row r="4693" customFormat="false" ht="15" hidden="false" customHeight="false" outlineLevel="0" collapsed="false">
      <c r="I4693" s="15" t="str">
        <f aca="false">IF(A4693="","",INT(A4693))</f>
        <v/>
      </c>
      <c r="J4693" s="16" t="str">
        <f aca="false">IF(B4693="","",IF(A4693=_xlfn.MINIFS($A$2:$A$5001,$B$2:$B$5001,B4693),1,0))</f>
        <v/>
      </c>
      <c r="K4693" s="16" t="str">
        <f aca="false">IF(B4693="","",IF(AND(D4693="Formalização",E4693="Concluído"),IF(COUNTIFS($B$2:$B$5001,B4693,$E$2:$E$5001,"Em ajustes",$A$2:$A$5001,"&lt;"&amp;I4693)&gt;0,1,0),0))</f>
        <v/>
      </c>
      <c r="L4693" s="16" t="str">
        <f aca="false">IF(B4693="","",IF(A4693=_xlfn.MAXIFS($A$2:$A$5001,$B$2:$B$5001,B4693,$I$2:$I$5001,I4693),1,0))</f>
        <v/>
      </c>
    </row>
    <row r="4694" customFormat="false" ht="15" hidden="false" customHeight="false" outlineLevel="0" collapsed="false">
      <c r="I4694" s="15" t="str">
        <f aca="false">IF(A4694="","",INT(A4694))</f>
        <v/>
      </c>
      <c r="J4694" s="16" t="str">
        <f aca="false">IF(B4694="","",IF(A4694=_xlfn.MINIFS($A$2:$A$5001,$B$2:$B$5001,B4694),1,0))</f>
        <v/>
      </c>
      <c r="K4694" s="16" t="str">
        <f aca="false">IF(B4694="","",IF(AND(D4694="Formalização",E4694="Concluído"),IF(COUNTIFS($B$2:$B$5001,B4694,$E$2:$E$5001,"Em ajustes",$A$2:$A$5001,"&lt;"&amp;I4694)&gt;0,1,0),0))</f>
        <v/>
      </c>
      <c r="L4694" s="16" t="str">
        <f aca="false">IF(B4694="","",IF(A4694=_xlfn.MAXIFS($A$2:$A$5001,$B$2:$B$5001,B4694,$I$2:$I$5001,I4694),1,0))</f>
        <v/>
      </c>
    </row>
    <row r="4695" customFormat="false" ht="15" hidden="false" customHeight="false" outlineLevel="0" collapsed="false">
      <c r="I4695" s="15" t="str">
        <f aca="false">IF(A4695="","",INT(A4695))</f>
        <v/>
      </c>
      <c r="J4695" s="16" t="str">
        <f aca="false">IF(B4695="","",IF(A4695=_xlfn.MINIFS($A$2:$A$5001,$B$2:$B$5001,B4695),1,0))</f>
        <v/>
      </c>
      <c r="K4695" s="16" t="str">
        <f aca="false">IF(B4695="","",IF(AND(D4695="Formalização",E4695="Concluído"),IF(COUNTIFS($B$2:$B$5001,B4695,$E$2:$E$5001,"Em ajustes",$A$2:$A$5001,"&lt;"&amp;I4695)&gt;0,1,0),0))</f>
        <v/>
      </c>
      <c r="L4695" s="16" t="str">
        <f aca="false">IF(B4695="","",IF(A4695=_xlfn.MAXIFS($A$2:$A$5001,$B$2:$B$5001,B4695,$I$2:$I$5001,I4695),1,0))</f>
        <v/>
      </c>
    </row>
    <row r="4696" customFormat="false" ht="15" hidden="false" customHeight="false" outlineLevel="0" collapsed="false">
      <c r="I4696" s="15" t="str">
        <f aca="false">IF(A4696="","",INT(A4696))</f>
        <v/>
      </c>
      <c r="J4696" s="16" t="str">
        <f aca="false">IF(B4696="","",IF(A4696=_xlfn.MINIFS($A$2:$A$5001,$B$2:$B$5001,B4696),1,0))</f>
        <v/>
      </c>
      <c r="K4696" s="16" t="str">
        <f aca="false">IF(B4696="","",IF(AND(D4696="Formalização",E4696="Concluído"),IF(COUNTIFS($B$2:$B$5001,B4696,$E$2:$E$5001,"Em ajustes",$A$2:$A$5001,"&lt;"&amp;I4696)&gt;0,1,0),0))</f>
        <v/>
      </c>
      <c r="L4696" s="16" t="str">
        <f aca="false">IF(B4696="","",IF(A4696=_xlfn.MAXIFS($A$2:$A$5001,$B$2:$B$5001,B4696,$I$2:$I$5001,I4696),1,0))</f>
        <v/>
      </c>
    </row>
    <row r="4697" customFormat="false" ht="15" hidden="false" customHeight="false" outlineLevel="0" collapsed="false">
      <c r="I4697" s="15" t="str">
        <f aca="false">IF(A4697="","",INT(A4697))</f>
        <v/>
      </c>
      <c r="J4697" s="16" t="str">
        <f aca="false">IF(B4697="","",IF(A4697=_xlfn.MINIFS($A$2:$A$5001,$B$2:$B$5001,B4697),1,0))</f>
        <v/>
      </c>
      <c r="K4697" s="16" t="str">
        <f aca="false">IF(B4697="","",IF(AND(D4697="Formalização",E4697="Concluído"),IF(COUNTIFS($B$2:$B$5001,B4697,$E$2:$E$5001,"Em ajustes",$A$2:$A$5001,"&lt;"&amp;I4697)&gt;0,1,0),0))</f>
        <v/>
      </c>
      <c r="L4697" s="16" t="str">
        <f aca="false">IF(B4697="","",IF(A4697=_xlfn.MAXIFS($A$2:$A$5001,$B$2:$B$5001,B4697,$I$2:$I$5001,I4697),1,0))</f>
        <v/>
      </c>
    </row>
    <row r="4698" customFormat="false" ht="15" hidden="false" customHeight="false" outlineLevel="0" collapsed="false">
      <c r="I4698" s="15" t="str">
        <f aca="false">IF(A4698="","",INT(A4698))</f>
        <v/>
      </c>
      <c r="J4698" s="16" t="str">
        <f aca="false">IF(B4698="","",IF(A4698=_xlfn.MINIFS($A$2:$A$5001,$B$2:$B$5001,B4698),1,0))</f>
        <v/>
      </c>
      <c r="K4698" s="16" t="str">
        <f aca="false">IF(B4698="","",IF(AND(D4698="Formalização",E4698="Concluído"),IF(COUNTIFS($B$2:$B$5001,B4698,$E$2:$E$5001,"Em ajustes",$A$2:$A$5001,"&lt;"&amp;I4698)&gt;0,1,0),0))</f>
        <v/>
      </c>
      <c r="L4698" s="16" t="str">
        <f aca="false">IF(B4698="","",IF(A4698=_xlfn.MAXIFS($A$2:$A$5001,$B$2:$B$5001,B4698,$I$2:$I$5001,I4698),1,0))</f>
        <v/>
      </c>
    </row>
    <row r="4699" customFormat="false" ht="15" hidden="false" customHeight="false" outlineLevel="0" collapsed="false">
      <c r="I4699" s="15" t="str">
        <f aca="false">IF(A4699="","",INT(A4699))</f>
        <v/>
      </c>
      <c r="J4699" s="16" t="str">
        <f aca="false">IF(B4699="","",IF(A4699=_xlfn.MINIFS($A$2:$A$5001,$B$2:$B$5001,B4699),1,0))</f>
        <v/>
      </c>
      <c r="K4699" s="16" t="str">
        <f aca="false">IF(B4699="","",IF(AND(D4699="Formalização",E4699="Concluído"),IF(COUNTIFS($B$2:$B$5001,B4699,$E$2:$E$5001,"Em ajustes",$A$2:$A$5001,"&lt;"&amp;I4699)&gt;0,1,0),0))</f>
        <v/>
      </c>
      <c r="L4699" s="16" t="str">
        <f aca="false">IF(B4699="","",IF(A4699=_xlfn.MAXIFS($A$2:$A$5001,$B$2:$B$5001,B4699,$I$2:$I$5001,I4699),1,0))</f>
        <v/>
      </c>
    </row>
    <row r="4700" customFormat="false" ht="15" hidden="false" customHeight="false" outlineLevel="0" collapsed="false">
      <c r="I4700" s="15" t="str">
        <f aca="false">IF(A4700="","",INT(A4700))</f>
        <v/>
      </c>
      <c r="J4700" s="16" t="str">
        <f aca="false">IF(B4700="","",IF(A4700=_xlfn.MINIFS($A$2:$A$5001,$B$2:$B$5001,B4700),1,0))</f>
        <v/>
      </c>
      <c r="K4700" s="16" t="str">
        <f aca="false">IF(B4700="","",IF(AND(D4700="Formalização",E4700="Concluído"),IF(COUNTIFS($B$2:$B$5001,B4700,$E$2:$E$5001,"Em ajustes",$A$2:$A$5001,"&lt;"&amp;I4700)&gt;0,1,0),0))</f>
        <v/>
      </c>
      <c r="L4700" s="16" t="str">
        <f aca="false">IF(B4700="","",IF(A4700=_xlfn.MAXIFS($A$2:$A$5001,$B$2:$B$5001,B4700,$I$2:$I$5001,I4700),1,0))</f>
        <v/>
      </c>
    </row>
    <row r="4701" customFormat="false" ht="15" hidden="false" customHeight="false" outlineLevel="0" collapsed="false">
      <c r="I4701" s="15" t="str">
        <f aca="false">IF(A4701="","",INT(A4701))</f>
        <v/>
      </c>
      <c r="J4701" s="16" t="str">
        <f aca="false">IF(B4701="","",IF(A4701=_xlfn.MINIFS($A$2:$A$5001,$B$2:$B$5001,B4701),1,0))</f>
        <v/>
      </c>
      <c r="K4701" s="16" t="str">
        <f aca="false">IF(B4701="","",IF(AND(D4701="Formalização",E4701="Concluído"),IF(COUNTIFS($B$2:$B$5001,B4701,$E$2:$E$5001,"Em ajustes",$A$2:$A$5001,"&lt;"&amp;I4701)&gt;0,1,0),0))</f>
        <v/>
      </c>
      <c r="L4701" s="16" t="str">
        <f aca="false">IF(B4701="","",IF(A4701=_xlfn.MAXIFS($A$2:$A$5001,$B$2:$B$5001,B4701,$I$2:$I$5001,I4701),1,0))</f>
        <v/>
      </c>
    </row>
    <row r="4702" customFormat="false" ht="15" hidden="false" customHeight="false" outlineLevel="0" collapsed="false">
      <c r="I4702" s="15" t="str">
        <f aca="false">IF(A4702="","",INT(A4702))</f>
        <v/>
      </c>
      <c r="J4702" s="16" t="str">
        <f aca="false">IF(B4702="","",IF(A4702=_xlfn.MINIFS($A$2:$A$5001,$B$2:$B$5001,B4702),1,0))</f>
        <v/>
      </c>
      <c r="K4702" s="16" t="str">
        <f aca="false">IF(B4702="","",IF(AND(D4702="Formalização",E4702="Concluído"),IF(COUNTIFS($B$2:$B$5001,B4702,$E$2:$E$5001,"Em ajustes",$A$2:$A$5001,"&lt;"&amp;I4702)&gt;0,1,0),0))</f>
        <v/>
      </c>
      <c r="L4702" s="16" t="str">
        <f aca="false">IF(B4702="","",IF(A4702=_xlfn.MAXIFS($A$2:$A$5001,$B$2:$B$5001,B4702,$I$2:$I$5001,I4702),1,0))</f>
        <v/>
      </c>
    </row>
    <row r="4703" customFormat="false" ht="15" hidden="false" customHeight="false" outlineLevel="0" collapsed="false">
      <c r="I4703" s="15" t="str">
        <f aca="false">IF(A4703="","",INT(A4703))</f>
        <v/>
      </c>
      <c r="J4703" s="16" t="str">
        <f aca="false">IF(B4703="","",IF(A4703=_xlfn.MINIFS($A$2:$A$5001,$B$2:$B$5001,B4703),1,0))</f>
        <v/>
      </c>
      <c r="K4703" s="16" t="str">
        <f aca="false">IF(B4703="","",IF(AND(D4703="Formalização",E4703="Concluído"),IF(COUNTIFS($B$2:$B$5001,B4703,$E$2:$E$5001,"Em ajustes",$A$2:$A$5001,"&lt;"&amp;I4703)&gt;0,1,0),0))</f>
        <v/>
      </c>
      <c r="L4703" s="16" t="str">
        <f aca="false">IF(B4703="","",IF(A4703=_xlfn.MAXIFS($A$2:$A$5001,$B$2:$B$5001,B4703,$I$2:$I$5001,I4703),1,0))</f>
        <v/>
      </c>
    </row>
    <row r="4704" customFormat="false" ht="15" hidden="false" customHeight="false" outlineLevel="0" collapsed="false">
      <c r="I4704" s="15" t="str">
        <f aca="false">IF(A4704="","",INT(A4704))</f>
        <v/>
      </c>
      <c r="J4704" s="16" t="str">
        <f aca="false">IF(B4704="","",IF(A4704=_xlfn.MINIFS($A$2:$A$5001,$B$2:$B$5001,B4704),1,0))</f>
        <v/>
      </c>
      <c r="K4704" s="16" t="str">
        <f aca="false">IF(B4704="","",IF(AND(D4704="Formalização",E4704="Concluído"),IF(COUNTIFS($B$2:$B$5001,B4704,$E$2:$E$5001,"Em ajustes",$A$2:$A$5001,"&lt;"&amp;I4704)&gt;0,1,0),0))</f>
        <v/>
      </c>
      <c r="L4704" s="16" t="str">
        <f aca="false">IF(B4704="","",IF(A4704=_xlfn.MAXIFS($A$2:$A$5001,$B$2:$B$5001,B4704,$I$2:$I$5001,I4704),1,0))</f>
        <v/>
      </c>
    </row>
    <row r="4705" customFormat="false" ht="15" hidden="false" customHeight="false" outlineLevel="0" collapsed="false">
      <c r="I4705" s="15" t="str">
        <f aca="false">IF(A4705="","",INT(A4705))</f>
        <v/>
      </c>
      <c r="J4705" s="16" t="str">
        <f aca="false">IF(B4705="","",IF(A4705=_xlfn.MINIFS($A$2:$A$5001,$B$2:$B$5001,B4705),1,0))</f>
        <v/>
      </c>
      <c r="K4705" s="16" t="str">
        <f aca="false">IF(B4705="","",IF(AND(D4705="Formalização",E4705="Concluído"),IF(COUNTIFS($B$2:$B$5001,B4705,$E$2:$E$5001,"Em ajustes",$A$2:$A$5001,"&lt;"&amp;I4705)&gt;0,1,0),0))</f>
        <v/>
      </c>
      <c r="L4705" s="16" t="str">
        <f aca="false">IF(B4705="","",IF(A4705=_xlfn.MAXIFS($A$2:$A$5001,$B$2:$B$5001,B4705,$I$2:$I$5001,I4705),1,0))</f>
        <v/>
      </c>
    </row>
    <row r="4706" customFormat="false" ht="15" hidden="false" customHeight="false" outlineLevel="0" collapsed="false">
      <c r="I4706" s="15" t="str">
        <f aca="false">IF(A4706="","",INT(A4706))</f>
        <v/>
      </c>
      <c r="J4706" s="16" t="str">
        <f aca="false">IF(B4706="","",IF(A4706=_xlfn.MINIFS($A$2:$A$5001,$B$2:$B$5001,B4706),1,0))</f>
        <v/>
      </c>
      <c r="K4706" s="16" t="str">
        <f aca="false">IF(B4706="","",IF(AND(D4706="Formalização",E4706="Concluído"),IF(COUNTIFS($B$2:$B$5001,B4706,$E$2:$E$5001,"Em ajustes",$A$2:$A$5001,"&lt;"&amp;I4706)&gt;0,1,0),0))</f>
        <v/>
      </c>
      <c r="L4706" s="16" t="str">
        <f aca="false">IF(B4706="","",IF(A4706=_xlfn.MAXIFS($A$2:$A$5001,$B$2:$B$5001,B4706,$I$2:$I$5001,I4706),1,0))</f>
        <v/>
      </c>
    </row>
    <row r="4707" customFormat="false" ht="15" hidden="false" customHeight="false" outlineLevel="0" collapsed="false">
      <c r="I4707" s="15" t="str">
        <f aca="false">IF(A4707="","",INT(A4707))</f>
        <v/>
      </c>
      <c r="J4707" s="16" t="str">
        <f aca="false">IF(B4707="","",IF(A4707=_xlfn.MINIFS($A$2:$A$5001,$B$2:$B$5001,B4707),1,0))</f>
        <v/>
      </c>
      <c r="K4707" s="16" t="str">
        <f aca="false">IF(B4707="","",IF(AND(D4707="Formalização",E4707="Concluído"),IF(COUNTIFS($B$2:$B$5001,B4707,$E$2:$E$5001,"Em ajustes",$A$2:$A$5001,"&lt;"&amp;I4707)&gt;0,1,0),0))</f>
        <v/>
      </c>
      <c r="L4707" s="16" t="str">
        <f aca="false">IF(B4707="","",IF(A4707=_xlfn.MAXIFS($A$2:$A$5001,$B$2:$B$5001,B4707,$I$2:$I$5001,I4707),1,0))</f>
        <v/>
      </c>
    </row>
    <row r="4708" customFormat="false" ht="15" hidden="false" customHeight="false" outlineLevel="0" collapsed="false">
      <c r="I4708" s="15" t="str">
        <f aca="false">IF(A4708="","",INT(A4708))</f>
        <v/>
      </c>
      <c r="J4708" s="16" t="str">
        <f aca="false">IF(B4708="","",IF(A4708=_xlfn.MINIFS($A$2:$A$5001,$B$2:$B$5001,B4708),1,0))</f>
        <v/>
      </c>
      <c r="K4708" s="16" t="str">
        <f aca="false">IF(B4708="","",IF(AND(D4708="Formalização",E4708="Concluído"),IF(COUNTIFS($B$2:$B$5001,B4708,$E$2:$E$5001,"Em ajustes",$A$2:$A$5001,"&lt;"&amp;I4708)&gt;0,1,0),0))</f>
        <v/>
      </c>
      <c r="L4708" s="16" t="str">
        <f aca="false">IF(B4708="","",IF(A4708=_xlfn.MAXIFS($A$2:$A$5001,$B$2:$B$5001,B4708,$I$2:$I$5001,I4708),1,0))</f>
        <v/>
      </c>
    </row>
    <row r="4709" customFormat="false" ht="15" hidden="false" customHeight="false" outlineLevel="0" collapsed="false">
      <c r="I4709" s="15" t="str">
        <f aca="false">IF(A4709="","",INT(A4709))</f>
        <v/>
      </c>
      <c r="J4709" s="16" t="str">
        <f aca="false">IF(B4709="","",IF(A4709=_xlfn.MINIFS($A$2:$A$5001,$B$2:$B$5001,B4709),1,0))</f>
        <v/>
      </c>
      <c r="K4709" s="16" t="str">
        <f aca="false">IF(B4709="","",IF(AND(D4709="Formalização",E4709="Concluído"),IF(COUNTIFS($B$2:$B$5001,B4709,$E$2:$E$5001,"Em ajustes",$A$2:$A$5001,"&lt;"&amp;I4709)&gt;0,1,0),0))</f>
        <v/>
      </c>
      <c r="L4709" s="16" t="str">
        <f aca="false">IF(B4709="","",IF(A4709=_xlfn.MAXIFS($A$2:$A$5001,$B$2:$B$5001,B4709,$I$2:$I$5001,I4709),1,0))</f>
        <v/>
      </c>
    </row>
    <row r="4710" customFormat="false" ht="15" hidden="false" customHeight="false" outlineLevel="0" collapsed="false">
      <c r="I4710" s="15" t="str">
        <f aca="false">IF(A4710="","",INT(A4710))</f>
        <v/>
      </c>
      <c r="J4710" s="16" t="str">
        <f aca="false">IF(B4710="","",IF(A4710=_xlfn.MINIFS($A$2:$A$5001,$B$2:$B$5001,B4710),1,0))</f>
        <v/>
      </c>
      <c r="K4710" s="16" t="str">
        <f aca="false">IF(B4710="","",IF(AND(D4710="Formalização",E4710="Concluído"),IF(COUNTIFS($B$2:$B$5001,B4710,$E$2:$E$5001,"Em ajustes",$A$2:$A$5001,"&lt;"&amp;I4710)&gt;0,1,0),0))</f>
        <v/>
      </c>
      <c r="L4710" s="16" t="str">
        <f aca="false">IF(B4710="","",IF(A4710=_xlfn.MAXIFS($A$2:$A$5001,$B$2:$B$5001,B4710,$I$2:$I$5001,I4710),1,0))</f>
        <v/>
      </c>
    </row>
    <row r="4711" customFormat="false" ht="15" hidden="false" customHeight="false" outlineLevel="0" collapsed="false">
      <c r="I4711" s="15" t="str">
        <f aca="false">IF(A4711="","",INT(A4711))</f>
        <v/>
      </c>
      <c r="J4711" s="16" t="str">
        <f aca="false">IF(B4711="","",IF(A4711=_xlfn.MINIFS($A$2:$A$5001,$B$2:$B$5001,B4711),1,0))</f>
        <v/>
      </c>
      <c r="K4711" s="16" t="str">
        <f aca="false">IF(B4711="","",IF(AND(D4711="Formalização",E4711="Concluído"),IF(COUNTIFS($B$2:$B$5001,B4711,$E$2:$E$5001,"Em ajustes",$A$2:$A$5001,"&lt;"&amp;I4711)&gt;0,1,0),0))</f>
        <v/>
      </c>
      <c r="L4711" s="16" t="str">
        <f aca="false">IF(B4711="","",IF(A4711=_xlfn.MAXIFS($A$2:$A$5001,$B$2:$B$5001,B4711,$I$2:$I$5001,I4711),1,0))</f>
        <v/>
      </c>
    </row>
    <row r="4712" customFormat="false" ht="15" hidden="false" customHeight="false" outlineLevel="0" collapsed="false">
      <c r="I4712" s="15" t="str">
        <f aca="false">IF(A4712="","",INT(A4712))</f>
        <v/>
      </c>
      <c r="J4712" s="16" t="str">
        <f aca="false">IF(B4712="","",IF(A4712=_xlfn.MINIFS($A$2:$A$5001,$B$2:$B$5001,B4712),1,0))</f>
        <v/>
      </c>
      <c r="K4712" s="16" t="str">
        <f aca="false">IF(B4712="","",IF(AND(D4712="Formalização",E4712="Concluído"),IF(COUNTIFS($B$2:$B$5001,B4712,$E$2:$E$5001,"Em ajustes",$A$2:$A$5001,"&lt;"&amp;I4712)&gt;0,1,0),0))</f>
        <v/>
      </c>
      <c r="L4712" s="16" t="str">
        <f aca="false">IF(B4712="","",IF(A4712=_xlfn.MAXIFS($A$2:$A$5001,$B$2:$B$5001,B4712,$I$2:$I$5001,I4712),1,0))</f>
        <v/>
      </c>
    </row>
    <row r="4713" customFormat="false" ht="15" hidden="false" customHeight="false" outlineLevel="0" collapsed="false">
      <c r="I4713" s="15" t="str">
        <f aca="false">IF(A4713="","",INT(A4713))</f>
        <v/>
      </c>
      <c r="J4713" s="16" t="str">
        <f aca="false">IF(B4713="","",IF(A4713=_xlfn.MINIFS($A$2:$A$5001,$B$2:$B$5001,B4713),1,0))</f>
        <v/>
      </c>
      <c r="K4713" s="16" t="str">
        <f aca="false">IF(B4713="","",IF(AND(D4713="Formalização",E4713="Concluído"),IF(COUNTIFS($B$2:$B$5001,B4713,$E$2:$E$5001,"Em ajustes",$A$2:$A$5001,"&lt;"&amp;I4713)&gt;0,1,0),0))</f>
        <v/>
      </c>
      <c r="L4713" s="16" t="str">
        <f aca="false">IF(B4713="","",IF(A4713=_xlfn.MAXIFS($A$2:$A$5001,$B$2:$B$5001,B4713,$I$2:$I$5001,I4713),1,0))</f>
        <v/>
      </c>
    </row>
    <row r="4714" customFormat="false" ht="15" hidden="false" customHeight="false" outlineLevel="0" collapsed="false">
      <c r="I4714" s="15" t="str">
        <f aca="false">IF(A4714="","",INT(A4714))</f>
        <v/>
      </c>
      <c r="J4714" s="16" t="str">
        <f aca="false">IF(B4714="","",IF(A4714=_xlfn.MINIFS($A$2:$A$5001,$B$2:$B$5001,B4714),1,0))</f>
        <v/>
      </c>
      <c r="K4714" s="16" t="str">
        <f aca="false">IF(B4714="","",IF(AND(D4714="Formalização",E4714="Concluído"),IF(COUNTIFS($B$2:$B$5001,B4714,$E$2:$E$5001,"Em ajustes",$A$2:$A$5001,"&lt;"&amp;I4714)&gt;0,1,0),0))</f>
        <v/>
      </c>
      <c r="L4714" s="16" t="str">
        <f aca="false">IF(B4714="","",IF(A4714=_xlfn.MAXIFS($A$2:$A$5001,$B$2:$B$5001,B4714,$I$2:$I$5001,I4714),1,0))</f>
        <v/>
      </c>
    </row>
    <row r="4715" customFormat="false" ht="15" hidden="false" customHeight="false" outlineLevel="0" collapsed="false">
      <c r="I4715" s="15" t="str">
        <f aca="false">IF(A4715="","",INT(A4715))</f>
        <v/>
      </c>
      <c r="J4715" s="16" t="str">
        <f aca="false">IF(B4715="","",IF(A4715=_xlfn.MINIFS($A$2:$A$5001,$B$2:$B$5001,B4715),1,0))</f>
        <v/>
      </c>
      <c r="K4715" s="16" t="str">
        <f aca="false">IF(B4715="","",IF(AND(D4715="Formalização",E4715="Concluído"),IF(COUNTIFS($B$2:$B$5001,B4715,$E$2:$E$5001,"Em ajustes",$A$2:$A$5001,"&lt;"&amp;I4715)&gt;0,1,0),0))</f>
        <v/>
      </c>
      <c r="L4715" s="16" t="str">
        <f aca="false">IF(B4715="","",IF(A4715=_xlfn.MAXIFS($A$2:$A$5001,$B$2:$B$5001,B4715,$I$2:$I$5001,I4715),1,0))</f>
        <v/>
      </c>
    </row>
    <row r="4716" customFormat="false" ht="15" hidden="false" customHeight="false" outlineLevel="0" collapsed="false">
      <c r="I4716" s="15" t="str">
        <f aca="false">IF(A4716="","",INT(A4716))</f>
        <v/>
      </c>
      <c r="J4716" s="16" t="str">
        <f aca="false">IF(B4716="","",IF(A4716=_xlfn.MINIFS($A$2:$A$5001,$B$2:$B$5001,B4716),1,0))</f>
        <v/>
      </c>
      <c r="K4716" s="16" t="str">
        <f aca="false">IF(B4716="","",IF(AND(D4716="Formalização",E4716="Concluído"),IF(COUNTIFS($B$2:$B$5001,B4716,$E$2:$E$5001,"Em ajustes",$A$2:$A$5001,"&lt;"&amp;I4716)&gt;0,1,0),0))</f>
        <v/>
      </c>
      <c r="L4716" s="16" t="str">
        <f aca="false">IF(B4716="","",IF(A4716=_xlfn.MAXIFS($A$2:$A$5001,$B$2:$B$5001,B4716,$I$2:$I$5001,I4716),1,0))</f>
        <v/>
      </c>
    </row>
    <row r="4717" customFormat="false" ht="15" hidden="false" customHeight="false" outlineLevel="0" collapsed="false">
      <c r="I4717" s="15" t="str">
        <f aca="false">IF(A4717="","",INT(A4717))</f>
        <v/>
      </c>
      <c r="J4717" s="16" t="str">
        <f aca="false">IF(B4717="","",IF(A4717=_xlfn.MINIFS($A$2:$A$5001,$B$2:$B$5001,B4717),1,0))</f>
        <v/>
      </c>
      <c r="K4717" s="16" t="str">
        <f aca="false">IF(B4717="","",IF(AND(D4717="Formalização",E4717="Concluído"),IF(COUNTIFS($B$2:$B$5001,B4717,$E$2:$E$5001,"Em ajustes",$A$2:$A$5001,"&lt;"&amp;I4717)&gt;0,1,0),0))</f>
        <v/>
      </c>
      <c r="L4717" s="16" t="str">
        <f aca="false">IF(B4717="","",IF(A4717=_xlfn.MAXIFS($A$2:$A$5001,$B$2:$B$5001,B4717,$I$2:$I$5001,I4717),1,0))</f>
        <v/>
      </c>
    </row>
    <row r="4718" customFormat="false" ht="15" hidden="false" customHeight="false" outlineLevel="0" collapsed="false">
      <c r="I4718" s="15" t="str">
        <f aca="false">IF(A4718="","",INT(A4718))</f>
        <v/>
      </c>
      <c r="J4718" s="16" t="str">
        <f aca="false">IF(B4718="","",IF(A4718=_xlfn.MINIFS($A$2:$A$5001,$B$2:$B$5001,B4718),1,0))</f>
        <v/>
      </c>
      <c r="K4718" s="16" t="str">
        <f aca="false">IF(B4718="","",IF(AND(D4718="Formalização",E4718="Concluído"),IF(COUNTIFS($B$2:$B$5001,B4718,$E$2:$E$5001,"Em ajustes",$A$2:$A$5001,"&lt;"&amp;I4718)&gt;0,1,0),0))</f>
        <v/>
      </c>
      <c r="L4718" s="16" t="str">
        <f aca="false">IF(B4718="","",IF(A4718=_xlfn.MAXIFS($A$2:$A$5001,$B$2:$B$5001,B4718,$I$2:$I$5001,I4718),1,0))</f>
        <v/>
      </c>
    </row>
    <row r="4719" customFormat="false" ht="15" hidden="false" customHeight="false" outlineLevel="0" collapsed="false">
      <c r="I4719" s="15" t="str">
        <f aca="false">IF(A4719="","",INT(A4719))</f>
        <v/>
      </c>
      <c r="J4719" s="16" t="str">
        <f aca="false">IF(B4719="","",IF(A4719=_xlfn.MINIFS($A$2:$A$5001,$B$2:$B$5001,B4719),1,0))</f>
        <v/>
      </c>
      <c r="K4719" s="16" t="str">
        <f aca="false">IF(B4719="","",IF(AND(D4719="Formalização",E4719="Concluído"),IF(COUNTIFS($B$2:$B$5001,B4719,$E$2:$E$5001,"Em ajustes",$A$2:$A$5001,"&lt;"&amp;I4719)&gt;0,1,0),0))</f>
        <v/>
      </c>
      <c r="L4719" s="16" t="str">
        <f aca="false">IF(B4719="","",IF(A4719=_xlfn.MAXIFS($A$2:$A$5001,$B$2:$B$5001,B4719,$I$2:$I$5001,I4719),1,0))</f>
        <v/>
      </c>
    </row>
    <row r="4720" customFormat="false" ht="15" hidden="false" customHeight="false" outlineLevel="0" collapsed="false">
      <c r="I4720" s="15" t="str">
        <f aca="false">IF(A4720="","",INT(A4720))</f>
        <v/>
      </c>
      <c r="J4720" s="16" t="str">
        <f aca="false">IF(B4720="","",IF(A4720=_xlfn.MINIFS($A$2:$A$5001,$B$2:$B$5001,B4720),1,0))</f>
        <v/>
      </c>
      <c r="K4720" s="16" t="str">
        <f aca="false">IF(B4720="","",IF(AND(D4720="Formalização",E4720="Concluído"),IF(COUNTIFS($B$2:$B$5001,B4720,$E$2:$E$5001,"Em ajustes",$A$2:$A$5001,"&lt;"&amp;I4720)&gt;0,1,0),0))</f>
        <v/>
      </c>
      <c r="L4720" s="16" t="str">
        <f aca="false">IF(B4720="","",IF(A4720=_xlfn.MAXIFS($A$2:$A$5001,$B$2:$B$5001,B4720,$I$2:$I$5001,I4720),1,0))</f>
        <v/>
      </c>
    </row>
    <row r="4721" customFormat="false" ht="15" hidden="false" customHeight="false" outlineLevel="0" collapsed="false">
      <c r="I4721" s="15" t="str">
        <f aca="false">IF(A4721="","",INT(A4721))</f>
        <v/>
      </c>
      <c r="J4721" s="16" t="str">
        <f aca="false">IF(B4721="","",IF(A4721=_xlfn.MINIFS($A$2:$A$5001,$B$2:$B$5001,B4721),1,0))</f>
        <v/>
      </c>
      <c r="K4721" s="16" t="str">
        <f aca="false">IF(B4721="","",IF(AND(D4721="Formalização",E4721="Concluído"),IF(COUNTIFS($B$2:$B$5001,B4721,$E$2:$E$5001,"Em ajustes",$A$2:$A$5001,"&lt;"&amp;I4721)&gt;0,1,0),0))</f>
        <v/>
      </c>
      <c r="L4721" s="16" t="str">
        <f aca="false">IF(B4721="","",IF(A4721=_xlfn.MAXIFS($A$2:$A$5001,$B$2:$B$5001,B4721,$I$2:$I$5001,I4721),1,0))</f>
        <v/>
      </c>
    </row>
    <row r="4722" customFormat="false" ht="15" hidden="false" customHeight="false" outlineLevel="0" collapsed="false">
      <c r="I4722" s="15" t="str">
        <f aca="false">IF(A4722="","",INT(A4722))</f>
        <v/>
      </c>
      <c r="J4722" s="16" t="str">
        <f aca="false">IF(B4722="","",IF(A4722=_xlfn.MINIFS($A$2:$A$5001,$B$2:$B$5001,B4722),1,0))</f>
        <v/>
      </c>
      <c r="K4722" s="16" t="str">
        <f aca="false">IF(B4722="","",IF(AND(D4722="Formalização",E4722="Concluído"),IF(COUNTIFS($B$2:$B$5001,B4722,$E$2:$E$5001,"Em ajustes",$A$2:$A$5001,"&lt;"&amp;I4722)&gt;0,1,0),0))</f>
        <v/>
      </c>
      <c r="L4722" s="16" t="str">
        <f aca="false">IF(B4722="","",IF(A4722=_xlfn.MAXIFS($A$2:$A$5001,$B$2:$B$5001,B4722,$I$2:$I$5001,I4722),1,0))</f>
        <v/>
      </c>
    </row>
    <row r="4723" customFormat="false" ht="15" hidden="false" customHeight="false" outlineLevel="0" collapsed="false">
      <c r="I4723" s="15" t="str">
        <f aca="false">IF(A4723="","",INT(A4723))</f>
        <v/>
      </c>
      <c r="J4723" s="16" t="str">
        <f aca="false">IF(B4723="","",IF(A4723=_xlfn.MINIFS($A$2:$A$5001,$B$2:$B$5001,B4723),1,0))</f>
        <v/>
      </c>
      <c r="K4723" s="16" t="str">
        <f aca="false">IF(B4723="","",IF(AND(D4723="Formalização",E4723="Concluído"),IF(COUNTIFS($B$2:$B$5001,B4723,$E$2:$E$5001,"Em ajustes",$A$2:$A$5001,"&lt;"&amp;I4723)&gt;0,1,0),0))</f>
        <v/>
      </c>
      <c r="L4723" s="16" t="str">
        <f aca="false">IF(B4723="","",IF(A4723=_xlfn.MAXIFS($A$2:$A$5001,$B$2:$B$5001,B4723,$I$2:$I$5001,I4723),1,0))</f>
        <v/>
      </c>
    </row>
    <row r="4724" customFormat="false" ht="15" hidden="false" customHeight="false" outlineLevel="0" collapsed="false">
      <c r="I4724" s="15" t="str">
        <f aca="false">IF(A4724="","",INT(A4724))</f>
        <v/>
      </c>
      <c r="J4724" s="16" t="str">
        <f aca="false">IF(B4724="","",IF(A4724=_xlfn.MINIFS($A$2:$A$5001,$B$2:$B$5001,B4724),1,0))</f>
        <v/>
      </c>
      <c r="K4724" s="16" t="str">
        <f aca="false">IF(B4724="","",IF(AND(D4724="Formalização",E4724="Concluído"),IF(COUNTIFS($B$2:$B$5001,B4724,$E$2:$E$5001,"Em ajustes",$A$2:$A$5001,"&lt;"&amp;I4724)&gt;0,1,0),0))</f>
        <v/>
      </c>
      <c r="L4724" s="16" t="str">
        <f aca="false">IF(B4724="","",IF(A4724=_xlfn.MAXIFS($A$2:$A$5001,$B$2:$B$5001,B4724,$I$2:$I$5001,I4724),1,0))</f>
        <v/>
      </c>
    </row>
    <row r="4725" customFormat="false" ht="15" hidden="false" customHeight="false" outlineLevel="0" collapsed="false">
      <c r="I4725" s="15" t="str">
        <f aca="false">IF(A4725="","",INT(A4725))</f>
        <v/>
      </c>
      <c r="J4725" s="16" t="str">
        <f aca="false">IF(B4725="","",IF(A4725=_xlfn.MINIFS($A$2:$A$5001,$B$2:$B$5001,B4725),1,0))</f>
        <v/>
      </c>
      <c r="K4725" s="16" t="str">
        <f aca="false">IF(B4725="","",IF(AND(D4725="Formalização",E4725="Concluído"),IF(COUNTIFS($B$2:$B$5001,B4725,$E$2:$E$5001,"Em ajustes",$A$2:$A$5001,"&lt;"&amp;I4725)&gt;0,1,0),0))</f>
        <v/>
      </c>
      <c r="L4725" s="16" t="str">
        <f aca="false">IF(B4725="","",IF(A4725=_xlfn.MAXIFS($A$2:$A$5001,$B$2:$B$5001,B4725,$I$2:$I$5001,I4725),1,0))</f>
        <v/>
      </c>
    </row>
    <row r="4726" customFormat="false" ht="15" hidden="false" customHeight="false" outlineLevel="0" collapsed="false">
      <c r="I4726" s="15" t="str">
        <f aca="false">IF(A4726="","",INT(A4726))</f>
        <v/>
      </c>
      <c r="J4726" s="16" t="str">
        <f aca="false">IF(B4726="","",IF(A4726=_xlfn.MINIFS($A$2:$A$5001,$B$2:$B$5001,B4726),1,0))</f>
        <v/>
      </c>
      <c r="K4726" s="16" t="str">
        <f aca="false">IF(B4726="","",IF(AND(D4726="Formalização",E4726="Concluído"),IF(COUNTIFS($B$2:$B$5001,B4726,$E$2:$E$5001,"Em ajustes",$A$2:$A$5001,"&lt;"&amp;I4726)&gt;0,1,0),0))</f>
        <v/>
      </c>
      <c r="L4726" s="16" t="str">
        <f aca="false">IF(B4726="","",IF(A4726=_xlfn.MAXIFS($A$2:$A$5001,$B$2:$B$5001,B4726,$I$2:$I$5001,I4726),1,0))</f>
        <v/>
      </c>
    </row>
    <row r="4727" customFormat="false" ht="15" hidden="false" customHeight="false" outlineLevel="0" collapsed="false">
      <c r="I4727" s="15" t="str">
        <f aca="false">IF(A4727="","",INT(A4727))</f>
        <v/>
      </c>
      <c r="J4727" s="16" t="str">
        <f aca="false">IF(B4727="","",IF(A4727=_xlfn.MINIFS($A$2:$A$5001,$B$2:$B$5001,B4727),1,0))</f>
        <v/>
      </c>
      <c r="K4727" s="16" t="str">
        <f aca="false">IF(B4727="","",IF(AND(D4727="Formalização",E4727="Concluído"),IF(COUNTIFS($B$2:$B$5001,B4727,$E$2:$E$5001,"Em ajustes",$A$2:$A$5001,"&lt;"&amp;I4727)&gt;0,1,0),0))</f>
        <v/>
      </c>
      <c r="L4727" s="16" t="str">
        <f aca="false">IF(B4727="","",IF(A4727=_xlfn.MAXIFS($A$2:$A$5001,$B$2:$B$5001,B4727,$I$2:$I$5001,I4727),1,0))</f>
        <v/>
      </c>
    </row>
    <row r="4728" customFormat="false" ht="15" hidden="false" customHeight="false" outlineLevel="0" collapsed="false">
      <c r="I4728" s="15" t="str">
        <f aca="false">IF(A4728="","",INT(A4728))</f>
        <v/>
      </c>
      <c r="J4728" s="16" t="str">
        <f aca="false">IF(B4728="","",IF(A4728=_xlfn.MINIFS($A$2:$A$5001,$B$2:$B$5001,B4728),1,0))</f>
        <v/>
      </c>
      <c r="K4728" s="16" t="str">
        <f aca="false">IF(B4728="","",IF(AND(D4728="Formalização",E4728="Concluído"),IF(COUNTIFS($B$2:$B$5001,B4728,$E$2:$E$5001,"Em ajustes",$A$2:$A$5001,"&lt;"&amp;I4728)&gt;0,1,0),0))</f>
        <v/>
      </c>
      <c r="L4728" s="16" t="str">
        <f aca="false">IF(B4728="","",IF(A4728=_xlfn.MAXIFS($A$2:$A$5001,$B$2:$B$5001,B4728,$I$2:$I$5001,I4728),1,0))</f>
        <v/>
      </c>
    </row>
    <row r="4729" customFormat="false" ht="15" hidden="false" customHeight="false" outlineLevel="0" collapsed="false">
      <c r="I4729" s="15" t="str">
        <f aca="false">IF(A4729="","",INT(A4729))</f>
        <v/>
      </c>
      <c r="J4729" s="16" t="str">
        <f aca="false">IF(B4729="","",IF(A4729=_xlfn.MINIFS($A$2:$A$5001,$B$2:$B$5001,B4729),1,0))</f>
        <v/>
      </c>
      <c r="K4729" s="16" t="str">
        <f aca="false">IF(B4729="","",IF(AND(D4729="Formalização",E4729="Concluído"),IF(COUNTIFS($B$2:$B$5001,B4729,$E$2:$E$5001,"Em ajustes",$A$2:$A$5001,"&lt;"&amp;I4729)&gt;0,1,0),0))</f>
        <v/>
      </c>
      <c r="L4729" s="16" t="str">
        <f aca="false">IF(B4729="","",IF(A4729=_xlfn.MAXIFS($A$2:$A$5001,$B$2:$B$5001,B4729,$I$2:$I$5001,I4729),1,0))</f>
        <v/>
      </c>
    </row>
    <row r="4730" customFormat="false" ht="15" hidden="false" customHeight="false" outlineLevel="0" collapsed="false">
      <c r="I4730" s="15" t="str">
        <f aca="false">IF(A4730="","",INT(A4730))</f>
        <v/>
      </c>
      <c r="J4730" s="16" t="str">
        <f aca="false">IF(B4730="","",IF(A4730=_xlfn.MINIFS($A$2:$A$5001,$B$2:$B$5001,B4730),1,0))</f>
        <v/>
      </c>
      <c r="K4730" s="16" t="str">
        <f aca="false">IF(B4730="","",IF(AND(D4730="Formalização",E4730="Concluído"),IF(COUNTIFS($B$2:$B$5001,B4730,$E$2:$E$5001,"Em ajustes",$A$2:$A$5001,"&lt;"&amp;I4730)&gt;0,1,0),0))</f>
        <v/>
      </c>
      <c r="L4730" s="16" t="str">
        <f aca="false">IF(B4730="","",IF(A4730=_xlfn.MAXIFS($A$2:$A$5001,$B$2:$B$5001,B4730,$I$2:$I$5001,I4730),1,0))</f>
        <v/>
      </c>
    </row>
    <row r="4731" customFormat="false" ht="15" hidden="false" customHeight="false" outlineLevel="0" collapsed="false">
      <c r="I4731" s="15" t="str">
        <f aca="false">IF(A4731="","",INT(A4731))</f>
        <v/>
      </c>
      <c r="J4731" s="16" t="str">
        <f aca="false">IF(B4731="","",IF(A4731=_xlfn.MINIFS($A$2:$A$5001,$B$2:$B$5001,B4731),1,0))</f>
        <v/>
      </c>
      <c r="K4731" s="16" t="str">
        <f aca="false">IF(B4731="","",IF(AND(D4731="Formalização",E4731="Concluído"),IF(COUNTIFS($B$2:$B$5001,B4731,$E$2:$E$5001,"Em ajustes",$A$2:$A$5001,"&lt;"&amp;I4731)&gt;0,1,0),0))</f>
        <v/>
      </c>
      <c r="L4731" s="16" t="str">
        <f aca="false">IF(B4731="","",IF(A4731=_xlfn.MAXIFS($A$2:$A$5001,$B$2:$B$5001,B4731,$I$2:$I$5001,I4731),1,0))</f>
        <v/>
      </c>
    </row>
    <row r="4732" customFormat="false" ht="15" hidden="false" customHeight="false" outlineLevel="0" collapsed="false">
      <c r="I4732" s="15" t="str">
        <f aca="false">IF(A4732="","",INT(A4732))</f>
        <v/>
      </c>
      <c r="J4732" s="16" t="str">
        <f aca="false">IF(B4732="","",IF(A4732=_xlfn.MINIFS($A$2:$A$5001,$B$2:$B$5001,B4732),1,0))</f>
        <v/>
      </c>
      <c r="K4732" s="16" t="str">
        <f aca="false">IF(B4732="","",IF(AND(D4732="Formalização",E4732="Concluído"),IF(COUNTIFS($B$2:$B$5001,B4732,$E$2:$E$5001,"Em ajustes",$A$2:$A$5001,"&lt;"&amp;I4732)&gt;0,1,0),0))</f>
        <v/>
      </c>
      <c r="L4732" s="16" t="str">
        <f aca="false">IF(B4732="","",IF(A4732=_xlfn.MAXIFS($A$2:$A$5001,$B$2:$B$5001,B4732,$I$2:$I$5001,I4732),1,0))</f>
        <v/>
      </c>
    </row>
    <row r="4733" customFormat="false" ht="15" hidden="false" customHeight="false" outlineLevel="0" collapsed="false">
      <c r="I4733" s="15" t="str">
        <f aca="false">IF(A4733="","",INT(A4733))</f>
        <v/>
      </c>
      <c r="J4733" s="16" t="str">
        <f aca="false">IF(B4733="","",IF(A4733=_xlfn.MINIFS($A$2:$A$5001,$B$2:$B$5001,B4733),1,0))</f>
        <v/>
      </c>
      <c r="K4733" s="16" t="str">
        <f aca="false">IF(B4733="","",IF(AND(D4733="Formalização",E4733="Concluído"),IF(COUNTIFS($B$2:$B$5001,B4733,$E$2:$E$5001,"Em ajustes",$A$2:$A$5001,"&lt;"&amp;I4733)&gt;0,1,0),0))</f>
        <v/>
      </c>
      <c r="L4733" s="16" t="str">
        <f aca="false">IF(B4733="","",IF(A4733=_xlfn.MAXIFS($A$2:$A$5001,$B$2:$B$5001,B4733,$I$2:$I$5001,I4733),1,0))</f>
        <v/>
      </c>
    </row>
    <row r="4734" customFormat="false" ht="15" hidden="false" customHeight="false" outlineLevel="0" collapsed="false">
      <c r="I4734" s="15" t="str">
        <f aca="false">IF(A4734="","",INT(A4734))</f>
        <v/>
      </c>
      <c r="J4734" s="16" t="str">
        <f aca="false">IF(B4734="","",IF(A4734=_xlfn.MINIFS($A$2:$A$5001,$B$2:$B$5001,B4734),1,0))</f>
        <v/>
      </c>
      <c r="K4734" s="16" t="str">
        <f aca="false">IF(B4734="","",IF(AND(D4734="Formalização",E4734="Concluído"),IF(COUNTIFS($B$2:$B$5001,B4734,$E$2:$E$5001,"Em ajustes",$A$2:$A$5001,"&lt;"&amp;I4734)&gt;0,1,0),0))</f>
        <v/>
      </c>
      <c r="L4734" s="16" t="str">
        <f aca="false">IF(B4734="","",IF(A4734=_xlfn.MAXIFS($A$2:$A$5001,$B$2:$B$5001,B4734,$I$2:$I$5001,I4734),1,0))</f>
        <v/>
      </c>
    </row>
    <row r="4735" customFormat="false" ht="15" hidden="false" customHeight="false" outlineLevel="0" collapsed="false">
      <c r="I4735" s="15" t="str">
        <f aca="false">IF(A4735="","",INT(A4735))</f>
        <v/>
      </c>
      <c r="J4735" s="16" t="str">
        <f aca="false">IF(B4735="","",IF(A4735=_xlfn.MINIFS($A$2:$A$5001,$B$2:$B$5001,B4735),1,0))</f>
        <v/>
      </c>
      <c r="K4735" s="16" t="str">
        <f aca="false">IF(B4735="","",IF(AND(D4735="Formalização",E4735="Concluído"),IF(COUNTIFS($B$2:$B$5001,B4735,$E$2:$E$5001,"Em ajustes",$A$2:$A$5001,"&lt;"&amp;I4735)&gt;0,1,0),0))</f>
        <v/>
      </c>
      <c r="L4735" s="16" t="str">
        <f aca="false">IF(B4735="","",IF(A4735=_xlfn.MAXIFS($A$2:$A$5001,$B$2:$B$5001,B4735,$I$2:$I$5001,I4735),1,0))</f>
        <v/>
      </c>
    </row>
    <row r="4736" customFormat="false" ht="15" hidden="false" customHeight="false" outlineLevel="0" collapsed="false">
      <c r="I4736" s="15" t="str">
        <f aca="false">IF(A4736="","",INT(A4736))</f>
        <v/>
      </c>
      <c r="J4736" s="16" t="str">
        <f aca="false">IF(B4736="","",IF(A4736=_xlfn.MINIFS($A$2:$A$5001,$B$2:$B$5001,B4736),1,0))</f>
        <v/>
      </c>
      <c r="K4736" s="16" t="str">
        <f aca="false">IF(B4736="","",IF(AND(D4736="Formalização",E4736="Concluído"),IF(COUNTIFS($B$2:$B$5001,B4736,$E$2:$E$5001,"Em ajustes",$A$2:$A$5001,"&lt;"&amp;I4736)&gt;0,1,0),0))</f>
        <v/>
      </c>
      <c r="L4736" s="16" t="str">
        <f aca="false">IF(B4736="","",IF(A4736=_xlfn.MAXIFS($A$2:$A$5001,$B$2:$B$5001,B4736,$I$2:$I$5001,I4736),1,0))</f>
        <v/>
      </c>
    </row>
    <row r="4737" customFormat="false" ht="15" hidden="false" customHeight="false" outlineLevel="0" collapsed="false">
      <c r="I4737" s="15" t="str">
        <f aca="false">IF(A4737="","",INT(A4737))</f>
        <v/>
      </c>
      <c r="J4737" s="16" t="str">
        <f aca="false">IF(B4737="","",IF(A4737=_xlfn.MINIFS($A$2:$A$5001,$B$2:$B$5001,B4737),1,0))</f>
        <v/>
      </c>
      <c r="K4737" s="16" t="str">
        <f aca="false">IF(B4737="","",IF(AND(D4737="Formalização",E4737="Concluído"),IF(COUNTIFS($B$2:$B$5001,B4737,$E$2:$E$5001,"Em ajustes",$A$2:$A$5001,"&lt;"&amp;I4737)&gt;0,1,0),0))</f>
        <v/>
      </c>
      <c r="L4737" s="16" t="str">
        <f aca="false">IF(B4737="","",IF(A4737=_xlfn.MAXIFS($A$2:$A$5001,$B$2:$B$5001,B4737,$I$2:$I$5001,I4737),1,0))</f>
        <v/>
      </c>
    </row>
    <row r="4738" customFormat="false" ht="15" hidden="false" customHeight="false" outlineLevel="0" collapsed="false">
      <c r="I4738" s="15" t="str">
        <f aca="false">IF(A4738="","",INT(A4738))</f>
        <v/>
      </c>
      <c r="J4738" s="16" t="str">
        <f aca="false">IF(B4738="","",IF(A4738=_xlfn.MINIFS($A$2:$A$5001,$B$2:$B$5001,B4738),1,0))</f>
        <v/>
      </c>
      <c r="K4738" s="16" t="str">
        <f aca="false">IF(B4738="","",IF(AND(D4738="Formalização",E4738="Concluído"),IF(COUNTIFS($B$2:$B$5001,B4738,$E$2:$E$5001,"Em ajustes",$A$2:$A$5001,"&lt;"&amp;I4738)&gt;0,1,0),0))</f>
        <v/>
      </c>
      <c r="L4738" s="16" t="str">
        <f aca="false">IF(B4738="","",IF(A4738=_xlfn.MAXIFS($A$2:$A$5001,$B$2:$B$5001,B4738,$I$2:$I$5001,I4738),1,0))</f>
        <v/>
      </c>
    </row>
    <row r="4739" customFormat="false" ht="15" hidden="false" customHeight="false" outlineLevel="0" collapsed="false">
      <c r="I4739" s="15" t="str">
        <f aca="false">IF(A4739="","",INT(A4739))</f>
        <v/>
      </c>
      <c r="J4739" s="16" t="str">
        <f aca="false">IF(B4739="","",IF(A4739=_xlfn.MINIFS($A$2:$A$5001,$B$2:$B$5001,B4739),1,0))</f>
        <v/>
      </c>
      <c r="K4739" s="16" t="str">
        <f aca="false">IF(B4739="","",IF(AND(D4739="Formalização",E4739="Concluído"),IF(COUNTIFS($B$2:$B$5001,B4739,$E$2:$E$5001,"Em ajustes",$A$2:$A$5001,"&lt;"&amp;I4739)&gt;0,1,0),0))</f>
        <v/>
      </c>
      <c r="L4739" s="16" t="str">
        <f aca="false">IF(B4739="","",IF(A4739=_xlfn.MAXIFS($A$2:$A$5001,$B$2:$B$5001,B4739,$I$2:$I$5001,I4739),1,0))</f>
        <v/>
      </c>
    </row>
    <row r="4740" customFormat="false" ht="15" hidden="false" customHeight="false" outlineLevel="0" collapsed="false">
      <c r="I4740" s="15" t="str">
        <f aca="false">IF(A4740="","",INT(A4740))</f>
        <v/>
      </c>
      <c r="J4740" s="16" t="str">
        <f aca="false">IF(B4740="","",IF(A4740=_xlfn.MINIFS($A$2:$A$5001,$B$2:$B$5001,B4740),1,0))</f>
        <v/>
      </c>
      <c r="K4740" s="16" t="str">
        <f aca="false">IF(B4740="","",IF(AND(D4740="Formalização",E4740="Concluído"),IF(COUNTIFS($B$2:$B$5001,B4740,$E$2:$E$5001,"Em ajustes",$A$2:$A$5001,"&lt;"&amp;I4740)&gt;0,1,0),0))</f>
        <v/>
      </c>
      <c r="L4740" s="16" t="str">
        <f aca="false">IF(B4740="","",IF(A4740=_xlfn.MAXIFS($A$2:$A$5001,$B$2:$B$5001,B4740,$I$2:$I$5001,I4740),1,0))</f>
        <v/>
      </c>
    </row>
    <row r="4741" customFormat="false" ht="15" hidden="false" customHeight="false" outlineLevel="0" collapsed="false">
      <c r="I4741" s="15" t="str">
        <f aca="false">IF(A4741="","",INT(A4741))</f>
        <v/>
      </c>
      <c r="J4741" s="16" t="str">
        <f aca="false">IF(B4741="","",IF(A4741=_xlfn.MINIFS($A$2:$A$5001,$B$2:$B$5001,B4741),1,0))</f>
        <v/>
      </c>
      <c r="K4741" s="16" t="str">
        <f aca="false">IF(B4741="","",IF(AND(D4741="Formalização",E4741="Concluído"),IF(COUNTIFS($B$2:$B$5001,B4741,$E$2:$E$5001,"Em ajustes",$A$2:$A$5001,"&lt;"&amp;I4741)&gt;0,1,0),0))</f>
        <v/>
      </c>
      <c r="L4741" s="16" t="str">
        <f aca="false">IF(B4741="","",IF(A4741=_xlfn.MAXIFS($A$2:$A$5001,$B$2:$B$5001,B4741,$I$2:$I$5001,I4741),1,0))</f>
        <v/>
      </c>
    </row>
    <row r="4742" customFormat="false" ht="15" hidden="false" customHeight="false" outlineLevel="0" collapsed="false">
      <c r="I4742" s="15" t="str">
        <f aca="false">IF(A4742="","",INT(A4742))</f>
        <v/>
      </c>
      <c r="J4742" s="16" t="str">
        <f aca="false">IF(B4742="","",IF(A4742=_xlfn.MINIFS($A$2:$A$5001,$B$2:$B$5001,B4742),1,0))</f>
        <v/>
      </c>
      <c r="K4742" s="16" t="str">
        <f aca="false">IF(B4742="","",IF(AND(D4742="Formalização",E4742="Concluído"),IF(COUNTIFS($B$2:$B$5001,B4742,$E$2:$E$5001,"Em ajustes",$A$2:$A$5001,"&lt;"&amp;I4742)&gt;0,1,0),0))</f>
        <v/>
      </c>
      <c r="L4742" s="16" t="str">
        <f aca="false">IF(B4742="","",IF(A4742=_xlfn.MAXIFS($A$2:$A$5001,$B$2:$B$5001,B4742,$I$2:$I$5001,I4742),1,0))</f>
        <v/>
      </c>
    </row>
    <row r="4743" customFormat="false" ht="15" hidden="false" customHeight="false" outlineLevel="0" collapsed="false">
      <c r="I4743" s="15" t="str">
        <f aca="false">IF(A4743="","",INT(A4743))</f>
        <v/>
      </c>
      <c r="J4743" s="16" t="str">
        <f aca="false">IF(B4743="","",IF(A4743=_xlfn.MINIFS($A$2:$A$5001,$B$2:$B$5001,B4743),1,0))</f>
        <v/>
      </c>
      <c r="K4743" s="16" t="str">
        <f aca="false">IF(B4743="","",IF(AND(D4743="Formalização",E4743="Concluído"),IF(COUNTIFS($B$2:$B$5001,B4743,$E$2:$E$5001,"Em ajustes",$A$2:$A$5001,"&lt;"&amp;I4743)&gt;0,1,0),0))</f>
        <v/>
      </c>
      <c r="L4743" s="16" t="str">
        <f aca="false">IF(B4743="","",IF(A4743=_xlfn.MAXIFS($A$2:$A$5001,$B$2:$B$5001,B4743,$I$2:$I$5001,I4743),1,0))</f>
        <v/>
      </c>
    </row>
    <row r="4744" customFormat="false" ht="15" hidden="false" customHeight="false" outlineLevel="0" collapsed="false">
      <c r="I4744" s="15" t="str">
        <f aca="false">IF(A4744="","",INT(A4744))</f>
        <v/>
      </c>
      <c r="J4744" s="16" t="str">
        <f aca="false">IF(B4744="","",IF(A4744=_xlfn.MINIFS($A$2:$A$5001,$B$2:$B$5001,B4744),1,0))</f>
        <v/>
      </c>
      <c r="K4744" s="16" t="str">
        <f aca="false">IF(B4744="","",IF(AND(D4744="Formalização",E4744="Concluído"),IF(COUNTIFS($B$2:$B$5001,B4744,$E$2:$E$5001,"Em ajustes",$A$2:$A$5001,"&lt;"&amp;I4744)&gt;0,1,0),0))</f>
        <v/>
      </c>
      <c r="L4744" s="16" t="str">
        <f aca="false">IF(B4744="","",IF(A4744=_xlfn.MAXIFS($A$2:$A$5001,$B$2:$B$5001,B4744,$I$2:$I$5001,I4744),1,0))</f>
        <v/>
      </c>
    </row>
    <row r="4745" customFormat="false" ht="15" hidden="false" customHeight="false" outlineLevel="0" collapsed="false">
      <c r="I4745" s="15" t="str">
        <f aca="false">IF(A4745="","",INT(A4745))</f>
        <v/>
      </c>
      <c r="J4745" s="16" t="str">
        <f aca="false">IF(B4745="","",IF(A4745=_xlfn.MINIFS($A$2:$A$5001,$B$2:$B$5001,B4745),1,0))</f>
        <v/>
      </c>
      <c r="K4745" s="16" t="str">
        <f aca="false">IF(B4745="","",IF(AND(D4745="Formalização",E4745="Concluído"),IF(COUNTIFS($B$2:$B$5001,B4745,$E$2:$E$5001,"Em ajustes",$A$2:$A$5001,"&lt;"&amp;I4745)&gt;0,1,0),0))</f>
        <v/>
      </c>
      <c r="L4745" s="16" t="str">
        <f aca="false">IF(B4745="","",IF(A4745=_xlfn.MAXIFS($A$2:$A$5001,$B$2:$B$5001,B4745,$I$2:$I$5001,I4745),1,0))</f>
        <v/>
      </c>
    </row>
    <row r="4746" customFormat="false" ht="15" hidden="false" customHeight="false" outlineLevel="0" collapsed="false">
      <c r="I4746" s="15" t="str">
        <f aca="false">IF(A4746="","",INT(A4746))</f>
        <v/>
      </c>
      <c r="J4746" s="16" t="str">
        <f aca="false">IF(B4746="","",IF(A4746=_xlfn.MINIFS($A$2:$A$5001,$B$2:$B$5001,B4746),1,0))</f>
        <v/>
      </c>
      <c r="K4746" s="16" t="str">
        <f aca="false">IF(B4746="","",IF(AND(D4746="Formalização",E4746="Concluído"),IF(COUNTIFS($B$2:$B$5001,B4746,$E$2:$E$5001,"Em ajustes",$A$2:$A$5001,"&lt;"&amp;I4746)&gt;0,1,0),0))</f>
        <v/>
      </c>
      <c r="L4746" s="16" t="str">
        <f aca="false">IF(B4746="","",IF(A4746=_xlfn.MAXIFS($A$2:$A$5001,$B$2:$B$5001,B4746,$I$2:$I$5001,I4746),1,0))</f>
        <v/>
      </c>
    </row>
    <row r="4747" customFormat="false" ht="15" hidden="false" customHeight="false" outlineLevel="0" collapsed="false">
      <c r="I4747" s="15" t="str">
        <f aca="false">IF(A4747="","",INT(A4747))</f>
        <v/>
      </c>
      <c r="J4747" s="16" t="str">
        <f aca="false">IF(B4747="","",IF(A4747=_xlfn.MINIFS($A$2:$A$5001,$B$2:$B$5001,B4747),1,0))</f>
        <v/>
      </c>
      <c r="K4747" s="16" t="str">
        <f aca="false">IF(B4747="","",IF(AND(D4747="Formalização",E4747="Concluído"),IF(COUNTIFS($B$2:$B$5001,B4747,$E$2:$E$5001,"Em ajustes",$A$2:$A$5001,"&lt;"&amp;I4747)&gt;0,1,0),0))</f>
        <v/>
      </c>
      <c r="L4747" s="16" t="str">
        <f aca="false">IF(B4747="","",IF(A4747=_xlfn.MAXIFS($A$2:$A$5001,$B$2:$B$5001,B4747,$I$2:$I$5001,I4747),1,0))</f>
        <v/>
      </c>
    </row>
    <row r="4748" customFormat="false" ht="15" hidden="false" customHeight="false" outlineLevel="0" collapsed="false">
      <c r="I4748" s="15" t="str">
        <f aca="false">IF(A4748="","",INT(A4748))</f>
        <v/>
      </c>
      <c r="J4748" s="16" t="str">
        <f aca="false">IF(B4748="","",IF(A4748=_xlfn.MINIFS($A$2:$A$5001,$B$2:$B$5001,B4748),1,0))</f>
        <v/>
      </c>
      <c r="K4748" s="16" t="str">
        <f aca="false">IF(B4748="","",IF(AND(D4748="Formalização",E4748="Concluído"),IF(COUNTIFS($B$2:$B$5001,B4748,$E$2:$E$5001,"Em ajustes",$A$2:$A$5001,"&lt;"&amp;I4748)&gt;0,1,0),0))</f>
        <v/>
      </c>
      <c r="L4748" s="16" t="str">
        <f aca="false">IF(B4748="","",IF(A4748=_xlfn.MAXIFS($A$2:$A$5001,$B$2:$B$5001,B4748,$I$2:$I$5001,I4748),1,0))</f>
        <v/>
      </c>
    </row>
    <row r="4749" customFormat="false" ht="15" hidden="false" customHeight="false" outlineLevel="0" collapsed="false">
      <c r="I4749" s="15" t="str">
        <f aca="false">IF(A4749="","",INT(A4749))</f>
        <v/>
      </c>
      <c r="J4749" s="16" t="str">
        <f aca="false">IF(B4749="","",IF(A4749=_xlfn.MINIFS($A$2:$A$5001,$B$2:$B$5001,B4749),1,0))</f>
        <v/>
      </c>
      <c r="K4749" s="16" t="str">
        <f aca="false">IF(B4749="","",IF(AND(D4749="Formalização",E4749="Concluído"),IF(COUNTIFS($B$2:$B$5001,B4749,$E$2:$E$5001,"Em ajustes",$A$2:$A$5001,"&lt;"&amp;I4749)&gt;0,1,0),0))</f>
        <v/>
      </c>
      <c r="L4749" s="16" t="str">
        <f aca="false">IF(B4749="","",IF(A4749=_xlfn.MAXIFS($A$2:$A$5001,$B$2:$B$5001,B4749,$I$2:$I$5001,I4749),1,0))</f>
        <v/>
      </c>
    </row>
    <row r="4750" customFormat="false" ht="15" hidden="false" customHeight="false" outlineLevel="0" collapsed="false">
      <c r="I4750" s="15" t="str">
        <f aca="false">IF(A4750="","",INT(A4750))</f>
        <v/>
      </c>
      <c r="J4750" s="16" t="str">
        <f aca="false">IF(B4750="","",IF(A4750=_xlfn.MINIFS($A$2:$A$5001,$B$2:$B$5001,B4750),1,0))</f>
        <v/>
      </c>
      <c r="K4750" s="16" t="str">
        <f aca="false">IF(B4750="","",IF(AND(D4750="Formalização",E4750="Concluído"),IF(COUNTIFS($B$2:$B$5001,B4750,$E$2:$E$5001,"Em ajustes",$A$2:$A$5001,"&lt;"&amp;I4750)&gt;0,1,0),0))</f>
        <v/>
      </c>
      <c r="L4750" s="16" t="str">
        <f aca="false">IF(B4750="","",IF(A4750=_xlfn.MAXIFS($A$2:$A$5001,$B$2:$B$5001,B4750,$I$2:$I$5001,I4750),1,0))</f>
        <v/>
      </c>
    </row>
    <row r="4751" customFormat="false" ht="15" hidden="false" customHeight="false" outlineLevel="0" collapsed="false">
      <c r="I4751" s="15" t="str">
        <f aca="false">IF(A4751="","",INT(A4751))</f>
        <v/>
      </c>
      <c r="J4751" s="16" t="str">
        <f aca="false">IF(B4751="","",IF(A4751=_xlfn.MINIFS($A$2:$A$5001,$B$2:$B$5001,B4751),1,0))</f>
        <v/>
      </c>
      <c r="K4751" s="16" t="str">
        <f aca="false">IF(B4751="","",IF(AND(D4751="Formalização",E4751="Concluído"),IF(COUNTIFS($B$2:$B$5001,B4751,$E$2:$E$5001,"Em ajustes",$A$2:$A$5001,"&lt;"&amp;I4751)&gt;0,1,0),0))</f>
        <v/>
      </c>
      <c r="L4751" s="16" t="str">
        <f aca="false">IF(B4751="","",IF(A4751=_xlfn.MAXIFS($A$2:$A$5001,$B$2:$B$5001,B4751,$I$2:$I$5001,I4751),1,0))</f>
        <v/>
      </c>
    </row>
    <row r="4752" customFormat="false" ht="15" hidden="false" customHeight="false" outlineLevel="0" collapsed="false">
      <c r="I4752" s="15" t="str">
        <f aca="false">IF(A4752="","",INT(A4752))</f>
        <v/>
      </c>
      <c r="J4752" s="16" t="str">
        <f aca="false">IF(B4752="","",IF(A4752=_xlfn.MINIFS($A$2:$A$5001,$B$2:$B$5001,B4752),1,0))</f>
        <v/>
      </c>
      <c r="K4752" s="16" t="str">
        <f aca="false">IF(B4752="","",IF(AND(D4752="Formalização",E4752="Concluído"),IF(COUNTIFS($B$2:$B$5001,B4752,$E$2:$E$5001,"Em ajustes",$A$2:$A$5001,"&lt;"&amp;I4752)&gt;0,1,0),0))</f>
        <v/>
      </c>
      <c r="L4752" s="16" t="str">
        <f aca="false">IF(B4752="","",IF(A4752=_xlfn.MAXIFS($A$2:$A$5001,$B$2:$B$5001,B4752,$I$2:$I$5001,I4752),1,0))</f>
        <v/>
      </c>
    </row>
    <row r="4753" customFormat="false" ht="15" hidden="false" customHeight="false" outlineLevel="0" collapsed="false">
      <c r="I4753" s="15" t="str">
        <f aca="false">IF(A4753="","",INT(A4753))</f>
        <v/>
      </c>
      <c r="J4753" s="16" t="str">
        <f aca="false">IF(B4753="","",IF(A4753=_xlfn.MINIFS($A$2:$A$5001,$B$2:$B$5001,B4753),1,0))</f>
        <v/>
      </c>
      <c r="K4753" s="16" t="str">
        <f aca="false">IF(B4753="","",IF(AND(D4753="Formalização",E4753="Concluído"),IF(COUNTIFS($B$2:$B$5001,B4753,$E$2:$E$5001,"Em ajustes",$A$2:$A$5001,"&lt;"&amp;I4753)&gt;0,1,0),0))</f>
        <v/>
      </c>
      <c r="L4753" s="16" t="str">
        <f aca="false">IF(B4753="","",IF(A4753=_xlfn.MAXIFS($A$2:$A$5001,$B$2:$B$5001,B4753,$I$2:$I$5001,I4753),1,0))</f>
        <v/>
      </c>
    </row>
    <row r="4754" customFormat="false" ht="15" hidden="false" customHeight="false" outlineLevel="0" collapsed="false">
      <c r="I4754" s="15" t="str">
        <f aca="false">IF(A4754="","",INT(A4754))</f>
        <v/>
      </c>
      <c r="J4754" s="16" t="str">
        <f aca="false">IF(B4754="","",IF(A4754=_xlfn.MINIFS($A$2:$A$5001,$B$2:$B$5001,B4754),1,0))</f>
        <v/>
      </c>
      <c r="K4754" s="16" t="str">
        <f aca="false">IF(B4754="","",IF(AND(D4754="Formalização",E4754="Concluído"),IF(COUNTIFS($B$2:$B$5001,B4754,$E$2:$E$5001,"Em ajustes",$A$2:$A$5001,"&lt;"&amp;I4754)&gt;0,1,0),0))</f>
        <v/>
      </c>
      <c r="L4754" s="16" t="str">
        <f aca="false">IF(B4754="","",IF(A4754=_xlfn.MAXIFS($A$2:$A$5001,$B$2:$B$5001,B4754,$I$2:$I$5001,I4754),1,0))</f>
        <v/>
      </c>
    </row>
    <row r="4755" customFormat="false" ht="15" hidden="false" customHeight="false" outlineLevel="0" collapsed="false">
      <c r="I4755" s="15" t="str">
        <f aca="false">IF(A4755="","",INT(A4755))</f>
        <v/>
      </c>
      <c r="J4755" s="16" t="str">
        <f aca="false">IF(B4755="","",IF(A4755=_xlfn.MINIFS($A$2:$A$5001,$B$2:$B$5001,B4755),1,0))</f>
        <v/>
      </c>
      <c r="K4755" s="16" t="str">
        <f aca="false">IF(B4755="","",IF(AND(D4755="Formalização",E4755="Concluído"),IF(COUNTIFS($B$2:$B$5001,B4755,$E$2:$E$5001,"Em ajustes",$A$2:$A$5001,"&lt;"&amp;I4755)&gt;0,1,0),0))</f>
        <v/>
      </c>
      <c r="L4755" s="16" t="str">
        <f aca="false">IF(B4755="","",IF(A4755=_xlfn.MAXIFS($A$2:$A$5001,$B$2:$B$5001,B4755,$I$2:$I$5001,I4755),1,0))</f>
        <v/>
      </c>
    </row>
    <row r="4756" customFormat="false" ht="15" hidden="false" customHeight="false" outlineLevel="0" collapsed="false">
      <c r="I4756" s="15" t="str">
        <f aca="false">IF(A4756="","",INT(A4756))</f>
        <v/>
      </c>
      <c r="J4756" s="16" t="str">
        <f aca="false">IF(B4756="","",IF(A4756=_xlfn.MINIFS($A$2:$A$5001,$B$2:$B$5001,B4756),1,0))</f>
        <v/>
      </c>
      <c r="K4756" s="16" t="str">
        <f aca="false">IF(B4756="","",IF(AND(D4756="Formalização",E4756="Concluído"),IF(COUNTIFS($B$2:$B$5001,B4756,$E$2:$E$5001,"Em ajustes",$A$2:$A$5001,"&lt;"&amp;I4756)&gt;0,1,0),0))</f>
        <v/>
      </c>
      <c r="L4756" s="16" t="str">
        <f aca="false">IF(B4756="","",IF(A4756=_xlfn.MAXIFS($A$2:$A$5001,$B$2:$B$5001,B4756,$I$2:$I$5001,I4756),1,0))</f>
        <v/>
      </c>
    </row>
    <row r="4757" customFormat="false" ht="15" hidden="false" customHeight="false" outlineLevel="0" collapsed="false">
      <c r="I4757" s="15" t="str">
        <f aca="false">IF(A4757="","",INT(A4757))</f>
        <v/>
      </c>
      <c r="J4757" s="16" t="str">
        <f aca="false">IF(B4757="","",IF(A4757=_xlfn.MINIFS($A$2:$A$5001,$B$2:$B$5001,B4757),1,0))</f>
        <v/>
      </c>
      <c r="K4757" s="16" t="str">
        <f aca="false">IF(B4757="","",IF(AND(D4757="Formalização",E4757="Concluído"),IF(COUNTIFS($B$2:$B$5001,B4757,$E$2:$E$5001,"Em ajustes",$A$2:$A$5001,"&lt;"&amp;I4757)&gt;0,1,0),0))</f>
        <v/>
      </c>
      <c r="L4757" s="16" t="str">
        <f aca="false">IF(B4757="","",IF(A4757=_xlfn.MAXIFS($A$2:$A$5001,$B$2:$B$5001,B4757,$I$2:$I$5001,I4757),1,0))</f>
        <v/>
      </c>
    </row>
    <row r="4758" customFormat="false" ht="15" hidden="false" customHeight="false" outlineLevel="0" collapsed="false">
      <c r="I4758" s="15" t="str">
        <f aca="false">IF(A4758="","",INT(A4758))</f>
        <v/>
      </c>
      <c r="J4758" s="16" t="str">
        <f aca="false">IF(B4758="","",IF(A4758=_xlfn.MINIFS($A$2:$A$5001,$B$2:$B$5001,B4758),1,0))</f>
        <v/>
      </c>
      <c r="K4758" s="16" t="str">
        <f aca="false">IF(B4758="","",IF(AND(D4758="Formalização",E4758="Concluído"),IF(COUNTIFS($B$2:$B$5001,B4758,$E$2:$E$5001,"Em ajustes",$A$2:$A$5001,"&lt;"&amp;I4758)&gt;0,1,0),0))</f>
        <v/>
      </c>
      <c r="L4758" s="16" t="str">
        <f aca="false">IF(B4758="","",IF(A4758=_xlfn.MAXIFS($A$2:$A$5001,$B$2:$B$5001,B4758,$I$2:$I$5001,I4758),1,0))</f>
        <v/>
      </c>
    </row>
    <row r="4759" customFormat="false" ht="15" hidden="false" customHeight="false" outlineLevel="0" collapsed="false">
      <c r="I4759" s="15" t="str">
        <f aca="false">IF(A4759="","",INT(A4759))</f>
        <v/>
      </c>
      <c r="J4759" s="16" t="str">
        <f aca="false">IF(B4759="","",IF(A4759=_xlfn.MINIFS($A$2:$A$5001,$B$2:$B$5001,B4759),1,0))</f>
        <v/>
      </c>
      <c r="K4759" s="16" t="str">
        <f aca="false">IF(B4759="","",IF(AND(D4759="Formalização",E4759="Concluído"),IF(COUNTIFS($B$2:$B$5001,B4759,$E$2:$E$5001,"Em ajustes",$A$2:$A$5001,"&lt;"&amp;I4759)&gt;0,1,0),0))</f>
        <v/>
      </c>
      <c r="L4759" s="16" t="str">
        <f aca="false">IF(B4759="","",IF(A4759=_xlfn.MAXIFS($A$2:$A$5001,$B$2:$B$5001,B4759,$I$2:$I$5001,I4759),1,0))</f>
        <v/>
      </c>
    </row>
    <row r="4760" customFormat="false" ht="15" hidden="false" customHeight="false" outlineLevel="0" collapsed="false">
      <c r="I4760" s="15" t="str">
        <f aca="false">IF(A4760="","",INT(A4760))</f>
        <v/>
      </c>
      <c r="J4760" s="16" t="str">
        <f aca="false">IF(B4760="","",IF(A4760=_xlfn.MINIFS($A$2:$A$5001,$B$2:$B$5001,B4760),1,0))</f>
        <v/>
      </c>
      <c r="K4760" s="16" t="str">
        <f aca="false">IF(B4760="","",IF(AND(D4760="Formalização",E4760="Concluído"),IF(COUNTIFS($B$2:$B$5001,B4760,$E$2:$E$5001,"Em ajustes",$A$2:$A$5001,"&lt;"&amp;I4760)&gt;0,1,0),0))</f>
        <v/>
      </c>
      <c r="L4760" s="16" t="str">
        <f aca="false">IF(B4760="","",IF(A4760=_xlfn.MAXIFS($A$2:$A$5001,$B$2:$B$5001,B4760,$I$2:$I$5001,I4760),1,0))</f>
        <v/>
      </c>
    </row>
    <row r="4761" customFormat="false" ht="15" hidden="false" customHeight="false" outlineLevel="0" collapsed="false">
      <c r="I4761" s="15" t="str">
        <f aca="false">IF(A4761="","",INT(A4761))</f>
        <v/>
      </c>
      <c r="J4761" s="16" t="str">
        <f aca="false">IF(B4761="","",IF(A4761=_xlfn.MINIFS($A$2:$A$5001,$B$2:$B$5001,B4761),1,0))</f>
        <v/>
      </c>
      <c r="K4761" s="16" t="str">
        <f aca="false">IF(B4761="","",IF(AND(D4761="Formalização",E4761="Concluído"),IF(COUNTIFS($B$2:$B$5001,B4761,$E$2:$E$5001,"Em ajustes",$A$2:$A$5001,"&lt;"&amp;I4761)&gt;0,1,0),0))</f>
        <v/>
      </c>
      <c r="L4761" s="16" t="str">
        <f aca="false">IF(B4761="","",IF(A4761=_xlfn.MAXIFS($A$2:$A$5001,$B$2:$B$5001,B4761,$I$2:$I$5001,I4761),1,0))</f>
        <v/>
      </c>
    </row>
    <row r="4762" customFormat="false" ht="15" hidden="false" customHeight="false" outlineLevel="0" collapsed="false">
      <c r="I4762" s="15" t="str">
        <f aca="false">IF(A4762="","",INT(A4762))</f>
        <v/>
      </c>
      <c r="J4762" s="16" t="str">
        <f aca="false">IF(B4762="","",IF(A4762=_xlfn.MINIFS($A$2:$A$5001,$B$2:$B$5001,B4762),1,0))</f>
        <v/>
      </c>
      <c r="K4762" s="16" t="str">
        <f aca="false">IF(B4762="","",IF(AND(D4762="Formalização",E4762="Concluído"),IF(COUNTIFS($B$2:$B$5001,B4762,$E$2:$E$5001,"Em ajustes",$A$2:$A$5001,"&lt;"&amp;I4762)&gt;0,1,0),0))</f>
        <v/>
      </c>
      <c r="L4762" s="16" t="str">
        <f aca="false">IF(B4762="","",IF(A4762=_xlfn.MAXIFS($A$2:$A$5001,$B$2:$B$5001,B4762,$I$2:$I$5001,I4762),1,0))</f>
        <v/>
      </c>
    </row>
    <row r="4763" customFormat="false" ht="15" hidden="false" customHeight="false" outlineLevel="0" collapsed="false">
      <c r="I4763" s="15" t="str">
        <f aca="false">IF(A4763="","",INT(A4763))</f>
        <v/>
      </c>
      <c r="J4763" s="16" t="str">
        <f aca="false">IF(B4763="","",IF(A4763=_xlfn.MINIFS($A$2:$A$5001,$B$2:$B$5001,B4763),1,0))</f>
        <v/>
      </c>
      <c r="K4763" s="16" t="str">
        <f aca="false">IF(B4763="","",IF(AND(D4763="Formalização",E4763="Concluído"),IF(COUNTIFS($B$2:$B$5001,B4763,$E$2:$E$5001,"Em ajustes",$A$2:$A$5001,"&lt;"&amp;I4763)&gt;0,1,0),0))</f>
        <v/>
      </c>
      <c r="L4763" s="16" t="str">
        <f aca="false">IF(B4763="","",IF(A4763=_xlfn.MAXIFS($A$2:$A$5001,$B$2:$B$5001,B4763,$I$2:$I$5001,I4763),1,0))</f>
        <v/>
      </c>
    </row>
    <row r="4764" customFormat="false" ht="15" hidden="false" customHeight="false" outlineLevel="0" collapsed="false">
      <c r="I4764" s="15" t="str">
        <f aca="false">IF(A4764="","",INT(A4764))</f>
        <v/>
      </c>
      <c r="J4764" s="16" t="str">
        <f aca="false">IF(B4764="","",IF(A4764=_xlfn.MINIFS($A$2:$A$5001,$B$2:$B$5001,B4764),1,0))</f>
        <v/>
      </c>
      <c r="K4764" s="16" t="str">
        <f aca="false">IF(B4764="","",IF(AND(D4764="Formalização",E4764="Concluído"),IF(COUNTIFS($B$2:$B$5001,B4764,$E$2:$E$5001,"Em ajustes",$A$2:$A$5001,"&lt;"&amp;I4764)&gt;0,1,0),0))</f>
        <v/>
      </c>
      <c r="L4764" s="16" t="str">
        <f aca="false">IF(B4764="","",IF(A4764=_xlfn.MAXIFS($A$2:$A$5001,$B$2:$B$5001,B4764,$I$2:$I$5001,I4764),1,0))</f>
        <v/>
      </c>
    </row>
    <row r="4765" customFormat="false" ht="15" hidden="false" customHeight="false" outlineLevel="0" collapsed="false">
      <c r="I4765" s="15" t="str">
        <f aca="false">IF(A4765="","",INT(A4765))</f>
        <v/>
      </c>
      <c r="J4765" s="16" t="str">
        <f aca="false">IF(B4765="","",IF(A4765=_xlfn.MINIFS($A$2:$A$5001,$B$2:$B$5001,B4765),1,0))</f>
        <v/>
      </c>
      <c r="K4765" s="16" t="str">
        <f aca="false">IF(B4765="","",IF(AND(D4765="Formalização",E4765="Concluído"),IF(COUNTIFS($B$2:$B$5001,B4765,$E$2:$E$5001,"Em ajustes",$A$2:$A$5001,"&lt;"&amp;I4765)&gt;0,1,0),0))</f>
        <v/>
      </c>
      <c r="L4765" s="16" t="str">
        <f aca="false">IF(B4765="","",IF(A4765=_xlfn.MAXIFS($A$2:$A$5001,$B$2:$B$5001,B4765,$I$2:$I$5001,I4765),1,0))</f>
        <v/>
      </c>
    </row>
    <row r="4766" customFormat="false" ht="15" hidden="false" customHeight="false" outlineLevel="0" collapsed="false">
      <c r="I4766" s="15" t="str">
        <f aca="false">IF(A4766="","",INT(A4766))</f>
        <v/>
      </c>
      <c r="J4766" s="16" t="str">
        <f aca="false">IF(B4766="","",IF(A4766=_xlfn.MINIFS($A$2:$A$5001,$B$2:$B$5001,B4766),1,0))</f>
        <v/>
      </c>
      <c r="K4766" s="16" t="str">
        <f aca="false">IF(B4766="","",IF(AND(D4766="Formalização",E4766="Concluído"),IF(COUNTIFS($B$2:$B$5001,B4766,$E$2:$E$5001,"Em ajustes",$A$2:$A$5001,"&lt;"&amp;I4766)&gt;0,1,0),0))</f>
        <v/>
      </c>
      <c r="L4766" s="16" t="str">
        <f aca="false">IF(B4766="","",IF(A4766=_xlfn.MAXIFS($A$2:$A$5001,$B$2:$B$5001,B4766,$I$2:$I$5001,I4766),1,0))</f>
        <v/>
      </c>
    </row>
    <row r="4767" customFormat="false" ht="15" hidden="false" customHeight="false" outlineLevel="0" collapsed="false">
      <c r="I4767" s="15" t="str">
        <f aca="false">IF(A4767="","",INT(A4767))</f>
        <v/>
      </c>
      <c r="J4767" s="16" t="str">
        <f aca="false">IF(B4767="","",IF(A4767=_xlfn.MINIFS($A$2:$A$5001,$B$2:$B$5001,B4767),1,0))</f>
        <v/>
      </c>
      <c r="K4767" s="16" t="str">
        <f aca="false">IF(B4767="","",IF(AND(D4767="Formalização",E4767="Concluído"),IF(COUNTIFS($B$2:$B$5001,B4767,$E$2:$E$5001,"Em ajustes",$A$2:$A$5001,"&lt;"&amp;I4767)&gt;0,1,0),0))</f>
        <v/>
      </c>
      <c r="L4767" s="16" t="str">
        <f aca="false">IF(B4767="","",IF(A4767=_xlfn.MAXIFS($A$2:$A$5001,$B$2:$B$5001,B4767,$I$2:$I$5001,I4767),1,0))</f>
        <v/>
      </c>
    </row>
    <row r="4768" customFormat="false" ht="15" hidden="false" customHeight="false" outlineLevel="0" collapsed="false">
      <c r="I4768" s="15" t="str">
        <f aca="false">IF(A4768="","",INT(A4768))</f>
        <v/>
      </c>
      <c r="J4768" s="16" t="str">
        <f aca="false">IF(B4768="","",IF(A4768=_xlfn.MINIFS($A$2:$A$5001,$B$2:$B$5001,B4768),1,0))</f>
        <v/>
      </c>
      <c r="K4768" s="16" t="str">
        <f aca="false">IF(B4768="","",IF(AND(D4768="Formalização",E4768="Concluído"),IF(COUNTIFS($B$2:$B$5001,B4768,$E$2:$E$5001,"Em ajustes",$A$2:$A$5001,"&lt;"&amp;I4768)&gt;0,1,0),0))</f>
        <v/>
      </c>
      <c r="L4768" s="16" t="str">
        <f aca="false">IF(B4768="","",IF(A4768=_xlfn.MAXIFS($A$2:$A$5001,$B$2:$B$5001,B4768,$I$2:$I$5001,I4768),1,0))</f>
        <v/>
      </c>
    </row>
    <row r="4769" customFormat="false" ht="15" hidden="false" customHeight="false" outlineLevel="0" collapsed="false">
      <c r="I4769" s="15" t="str">
        <f aca="false">IF(A4769="","",INT(A4769))</f>
        <v/>
      </c>
      <c r="J4769" s="16" t="str">
        <f aca="false">IF(B4769="","",IF(A4769=_xlfn.MINIFS($A$2:$A$5001,$B$2:$B$5001,B4769),1,0))</f>
        <v/>
      </c>
      <c r="K4769" s="16" t="str">
        <f aca="false">IF(B4769="","",IF(AND(D4769="Formalização",E4769="Concluído"),IF(COUNTIFS($B$2:$B$5001,B4769,$E$2:$E$5001,"Em ajustes",$A$2:$A$5001,"&lt;"&amp;I4769)&gt;0,1,0),0))</f>
        <v/>
      </c>
      <c r="L4769" s="16" t="str">
        <f aca="false">IF(B4769="","",IF(A4769=_xlfn.MAXIFS($A$2:$A$5001,$B$2:$B$5001,B4769,$I$2:$I$5001,I4769),1,0))</f>
        <v/>
      </c>
    </row>
    <row r="4770" customFormat="false" ht="15" hidden="false" customHeight="false" outlineLevel="0" collapsed="false">
      <c r="I4770" s="15" t="str">
        <f aca="false">IF(A4770="","",INT(A4770))</f>
        <v/>
      </c>
      <c r="J4770" s="16" t="str">
        <f aca="false">IF(B4770="","",IF(A4770=_xlfn.MINIFS($A$2:$A$5001,$B$2:$B$5001,B4770),1,0))</f>
        <v/>
      </c>
      <c r="K4770" s="16" t="str">
        <f aca="false">IF(B4770="","",IF(AND(D4770="Formalização",E4770="Concluído"),IF(COUNTIFS($B$2:$B$5001,B4770,$E$2:$E$5001,"Em ajustes",$A$2:$A$5001,"&lt;"&amp;I4770)&gt;0,1,0),0))</f>
        <v/>
      </c>
      <c r="L4770" s="16" t="str">
        <f aca="false">IF(B4770="","",IF(A4770=_xlfn.MAXIFS($A$2:$A$5001,$B$2:$B$5001,B4770,$I$2:$I$5001,I4770),1,0))</f>
        <v/>
      </c>
    </row>
    <row r="4771" customFormat="false" ht="15" hidden="false" customHeight="false" outlineLevel="0" collapsed="false">
      <c r="I4771" s="15" t="str">
        <f aca="false">IF(A4771="","",INT(A4771))</f>
        <v/>
      </c>
      <c r="J4771" s="16" t="str">
        <f aca="false">IF(B4771="","",IF(A4771=_xlfn.MINIFS($A$2:$A$5001,$B$2:$B$5001,B4771),1,0))</f>
        <v/>
      </c>
      <c r="K4771" s="16" t="str">
        <f aca="false">IF(B4771="","",IF(AND(D4771="Formalização",E4771="Concluído"),IF(COUNTIFS($B$2:$B$5001,B4771,$E$2:$E$5001,"Em ajustes",$A$2:$A$5001,"&lt;"&amp;I4771)&gt;0,1,0),0))</f>
        <v/>
      </c>
      <c r="L4771" s="16" t="str">
        <f aca="false">IF(B4771="","",IF(A4771=_xlfn.MAXIFS($A$2:$A$5001,$B$2:$B$5001,B4771,$I$2:$I$5001,I4771),1,0))</f>
        <v/>
      </c>
    </row>
    <row r="4772" customFormat="false" ht="15" hidden="false" customHeight="false" outlineLevel="0" collapsed="false">
      <c r="I4772" s="15" t="str">
        <f aca="false">IF(A4772="","",INT(A4772))</f>
        <v/>
      </c>
      <c r="J4772" s="16" t="str">
        <f aca="false">IF(B4772="","",IF(A4772=_xlfn.MINIFS($A$2:$A$5001,$B$2:$B$5001,B4772),1,0))</f>
        <v/>
      </c>
      <c r="K4772" s="16" t="str">
        <f aca="false">IF(B4772="","",IF(AND(D4772="Formalização",E4772="Concluído"),IF(COUNTIFS($B$2:$B$5001,B4772,$E$2:$E$5001,"Em ajustes",$A$2:$A$5001,"&lt;"&amp;I4772)&gt;0,1,0),0))</f>
        <v/>
      </c>
      <c r="L4772" s="16" t="str">
        <f aca="false">IF(B4772="","",IF(A4772=_xlfn.MAXIFS($A$2:$A$5001,$B$2:$B$5001,B4772,$I$2:$I$5001,I4772),1,0))</f>
        <v/>
      </c>
    </row>
    <row r="4773" customFormat="false" ht="15" hidden="false" customHeight="false" outlineLevel="0" collapsed="false">
      <c r="I4773" s="15" t="str">
        <f aca="false">IF(A4773="","",INT(A4773))</f>
        <v/>
      </c>
      <c r="J4773" s="16" t="str">
        <f aca="false">IF(B4773="","",IF(A4773=_xlfn.MINIFS($A$2:$A$5001,$B$2:$B$5001,B4773),1,0))</f>
        <v/>
      </c>
      <c r="K4773" s="16" t="str">
        <f aca="false">IF(B4773="","",IF(AND(D4773="Formalização",E4773="Concluído"),IF(COUNTIFS($B$2:$B$5001,B4773,$E$2:$E$5001,"Em ajustes",$A$2:$A$5001,"&lt;"&amp;I4773)&gt;0,1,0),0))</f>
        <v/>
      </c>
      <c r="L4773" s="16" t="str">
        <f aca="false">IF(B4773="","",IF(A4773=_xlfn.MAXIFS($A$2:$A$5001,$B$2:$B$5001,B4773,$I$2:$I$5001,I4773),1,0))</f>
        <v/>
      </c>
    </row>
    <row r="4774" customFormat="false" ht="15" hidden="false" customHeight="false" outlineLevel="0" collapsed="false">
      <c r="I4774" s="15" t="str">
        <f aca="false">IF(A4774="","",INT(A4774))</f>
        <v/>
      </c>
      <c r="J4774" s="16" t="str">
        <f aca="false">IF(B4774="","",IF(A4774=_xlfn.MINIFS($A$2:$A$5001,$B$2:$B$5001,B4774),1,0))</f>
        <v/>
      </c>
      <c r="K4774" s="16" t="str">
        <f aca="false">IF(B4774="","",IF(AND(D4774="Formalização",E4774="Concluído"),IF(COUNTIFS($B$2:$B$5001,B4774,$E$2:$E$5001,"Em ajustes",$A$2:$A$5001,"&lt;"&amp;I4774)&gt;0,1,0),0))</f>
        <v/>
      </c>
      <c r="L4774" s="16" t="str">
        <f aca="false">IF(B4774="","",IF(A4774=_xlfn.MAXIFS($A$2:$A$5001,$B$2:$B$5001,B4774,$I$2:$I$5001,I4774),1,0))</f>
        <v/>
      </c>
    </row>
    <row r="4775" customFormat="false" ht="15" hidden="false" customHeight="false" outlineLevel="0" collapsed="false">
      <c r="I4775" s="15" t="str">
        <f aca="false">IF(A4775="","",INT(A4775))</f>
        <v/>
      </c>
      <c r="J4775" s="16" t="str">
        <f aca="false">IF(B4775="","",IF(A4775=_xlfn.MINIFS($A$2:$A$5001,$B$2:$B$5001,B4775),1,0))</f>
        <v/>
      </c>
      <c r="K4775" s="16" t="str">
        <f aca="false">IF(B4775="","",IF(AND(D4775="Formalização",E4775="Concluído"),IF(COUNTIFS($B$2:$B$5001,B4775,$E$2:$E$5001,"Em ajustes",$A$2:$A$5001,"&lt;"&amp;I4775)&gt;0,1,0),0))</f>
        <v/>
      </c>
      <c r="L4775" s="16" t="str">
        <f aca="false">IF(B4775="","",IF(A4775=_xlfn.MAXIFS($A$2:$A$5001,$B$2:$B$5001,B4775,$I$2:$I$5001,I4775),1,0))</f>
        <v/>
      </c>
    </row>
    <row r="4776" customFormat="false" ht="15" hidden="false" customHeight="false" outlineLevel="0" collapsed="false">
      <c r="I4776" s="15" t="str">
        <f aca="false">IF(A4776="","",INT(A4776))</f>
        <v/>
      </c>
      <c r="J4776" s="16" t="str">
        <f aca="false">IF(B4776="","",IF(A4776=_xlfn.MINIFS($A$2:$A$5001,$B$2:$B$5001,B4776),1,0))</f>
        <v/>
      </c>
      <c r="K4776" s="16" t="str">
        <f aca="false">IF(B4776="","",IF(AND(D4776="Formalização",E4776="Concluído"),IF(COUNTIFS($B$2:$B$5001,B4776,$E$2:$E$5001,"Em ajustes",$A$2:$A$5001,"&lt;"&amp;I4776)&gt;0,1,0),0))</f>
        <v/>
      </c>
      <c r="L4776" s="16" t="str">
        <f aca="false">IF(B4776="","",IF(A4776=_xlfn.MAXIFS($A$2:$A$5001,$B$2:$B$5001,B4776,$I$2:$I$5001,I4776),1,0))</f>
        <v/>
      </c>
    </row>
    <row r="4777" customFormat="false" ht="15" hidden="false" customHeight="false" outlineLevel="0" collapsed="false">
      <c r="I4777" s="15" t="str">
        <f aca="false">IF(A4777="","",INT(A4777))</f>
        <v/>
      </c>
      <c r="J4777" s="16" t="str">
        <f aca="false">IF(B4777="","",IF(A4777=_xlfn.MINIFS($A$2:$A$5001,$B$2:$B$5001,B4777),1,0))</f>
        <v/>
      </c>
      <c r="K4777" s="16" t="str">
        <f aca="false">IF(B4777="","",IF(AND(D4777="Formalização",E4777="Concluído"),IF(COUNTIFS($B$2:$B$5001,B4777,$E$2:$E$5001,"Em ajustes",$A$2:$A$5001,"&lt;"&amp;I4777)&gt;0,1,0),0))</f>
        <v/>
      </c>
      <c r="L4777" s="16" t="str">
        <f aca="false">IF(B4777="","",IF(A4777=_xlfn.MAXIFS($A$2:$A$5001,$B$2:$B$5001,B4777,$I$2:$I$5001,I4777),1,0))</f>
        <v/>
      </c>
    </row>
    <row r="4778" customFormat="false" ht="15" hidden="false" customHeight="false" outlineLevel="0" collapsed="false">
      <c r="I4778" s="15" t="str">
        <f aca="false">IF(A4778="","",INT(A4778))</f>
        <v/>
      </c>
      <c r="J4778" s="16" t="str">
        <f aca="false">IF(B4778="","",IF(A4778=_xlfn.MINIFS($A$2:$A$5001,$B$2:$B$5001,B4778),1,0))</f>
        <v/>
      </c>
      <c r="K4778" s="16" t="str">
        <f aca="false">IF(B4778="","",IF(AND(D4778="Formalização",E4778="Concluído"),IF(COUNTIFS($B$2:$B$5001,B4778,$E$2:$E$5001,"Em ajustes",$A$2:$A$5001,"&lt;"&amp;I4778)&gt;0,1,0),0))</f>
        <v/>
      </c>
      <c r="L4778" s="16" t="str">
        <f aca="false">IF(B4778="","",IF(A4778=_xlfn.MAXIFS($A$2:$A$5001,$B$2:$B$5001,B4778,$I$2:$I$5001,I4778),1,0))</f>
        <v/>
      </c>
    </row>
    <row r="4779" customFormat="false" ht="15" hidden="false" customHeight="false" outlineLevel="0" collapsed="false">
      <c r="I4779" s="15" t="str">
        <f aca="false">IF(A4779="","",INT(A4779))</f>
        <v/>
      </c>
      <c r="J4779" s="16" t="str">
        <f aca="false">IF(B4779="","",IF(A4779=_xlfn.MINIFS($A$2:$A$5001,$B$2:$B$5001,B4779),1,0))</f>
        <v/>
      </c>
      <c r="K4779" s="16" t="str">
        <f aca="false">IF(B4779="","",IF(AND(D4779="Formalização",E4779="Concluído"),IF(COUNTIFS($B$2:$B$5001,B4779,$E$2:$E$5001,"Em ajustes",$A$2:$A$5001,"&lt;"&amp;I4779)&gt;0,1,0),0))</f>
        <v/>
      </c>
      <c r="L4779" s="16" t="str">
        <f aca="false">IF(B4779="","",IF(A4779=_xlfn.MAXIFS($A$2:$A$5001,$B$2:$B$5001,B4779,$I$2:$I$5001,I4779),1,0))</f>
        <v/>
      </c>
    </row>
    <row r="4780" customFormat="false" ht="15" hidden="false" customHeight="false" outlineLevel="0" collapsed="false">
      <c r="I4780" s="15" t="str">
        <f aca="false">IF(A4780="","",INT(A4780))</f>
        <v/>
      </c>
      <c r="J4780" s="16" t="str">
        <f aca="false">IF(B4780="","",IF(A4780=_xlfn.MINIFS($A$2:$A$5001,$B$2:$B$5001,B4780),1,0))</f>
        <v/>
      </c>
      <c r="K4780" s="16" t="str">
        <f aca="false">IF(B4780="","",IF(AND(D4780="Formalização",E4780="Concluído"),IF(COUNTIFS($B$2:$B$5001,B4780,$E$2:$E$5001,"Em ajustes",$A$2:$A$5001,"&lt;"&amp;I4780)&gt;0,1,0),0))</f>
        <v/>
      </c>
      <c r="L4780" s="16" t="str">
        <f aca="false">IF(B4780="","",IF(A4780=_xlfn.MAXIFS($A$2:$A$5001,$B$2:$B$5001,B4780,$I$2:$I$5001,I4780),1,0))</f>
        <v/>
      </c>
    </row>
    <row r="4781" customFormat="false" ht="15" hidden="false" customHeight="false" outlineLevel="0" collapsed="false">
      <c r="I4781" s="15" t="str">
        <f aca="false">IF(A4781="","",INT(A4781))</f>
        <v/>
      </c>
      <c r="J4781" s="16" t="str">
        <f aca="false">IF(B4781="","",IF(A4781=_xlfn.MINIFS($A$2:$A$5001,$B$2:$B$5001,B4781),1,0))</f>
        <v/>
      </c>
      <c r="K4781" s="16" t="str">
        <f aca="false">IF(B4781="","",IF(AND(D4781="Formalização",E4781="Concluído"),IF(COUNTIFS($B$2:$B$5001,B4781,$E$2:$E$5001,"Em ajustes",$A$2:$A$5001,"&lt;"&amp;I4781)&gt;0,1,0),0))</f>
        <v/>
      </c>
      <c r="L4781" s="16" t="str">
        <f aca="false">IF(B4781="","",IF(A4781=_xlfn.MAXIFS($A$2:$A$5001,$B$2:$B$5001,B4781,$I$2:$I$5001,I4781),1,0))</f>
        <v/>
      </c>
    </row>
    <row r="4782" customFormat="false" ht="15" hidden="false" customHeight="false" outlineLevel="0" collapsed="false">
      <c r="I4782" s="15" t="str">
        <f aca="false">IF(A4782="","",INT(A4782))</f>
        <v/>
      </c>
      <c r="J4782" s="16" t="str">
        <f aca="false">IF(B4782="","",IF(A4782=_xlfn.MINIFS($A$2:$A$5001,$B$2:$B$5001,B4782),1,0))</f>
        <v/>
      </c>
      <c r="K4782" s="16" t="str">
        <f aca="false">IF(B4782="","",IF(AND(D4782="Formalização",E4782="Concluído"),IF(COUNTIFS($B$2:$B$5001,B4782,$E$2:$E$5001,"Em ajustes",$A$2:$A$5001,"&lt;"&amp;I4782)&gt;0,1,0),0))</f>
        <v/>
      </c>
      <c r="L4782" s="16" t="str">
        <f aca="false">IF(B4782="","",IF(A4782=_xlfn.MAXIFS($A$2:$A$5001,$B$2:$B$5001,B4782,$I$2:$I$5001,I4782),1,0))</f>
        <v/>
      </c>
    </row>
    <row r="4783" customFormat="false" ht="15" hidden="false" customHeight="false" outlineLevel="0" collapsed="false">
      <c r="I4783" s="15" t="str">
        <f aca="false">IF(A4783="","",INT(A4783))</f>
        <v/>
      </c>
      <c r="J4783" s="16" t="str">
        <f aca="false">IF(B4783="","",IF(A4783=_xlfn.MINIFS($A$2:$A$5001,$B$2:$B$5001,B4783),1,0))</f>
        <v/>
      </c>
      <c r="K4783" s="16" t="str">
        <f aca="false">IF(B4783="","",IF(AND(D4783="Formalização",E4783="Concluído"),IF(COUNTIFS($B$2:$B$5001,B4783,$E$2:$E$5001,"Em ajustes",$A$2:$A$5001,"&lt;"&amp;I4783)&gt;0,1,0),0))</f>
        <v/>
      </c>
      <c r="L4783" s="16" t="str">
        <f aca="false">IF(B4783="","",IF(A4783=_xlfn.MAXIFS($A$2:$A$5001,$B$2:$B$5001,B4783,$I$2:$I$5001,I4783),1,0))</f>
        <v/>
      </c>
    </row>
    <row r="4784" customFormat="false" ht="15" hidden="false" customHeight="false" outlineLevel="0" collapsed="false">
      <c r="I4784" s="15" t="str">
        <f aca="false">IF(A4784="","",INT(A4784))</f>
        <v/>
      </c>
      <c r="J4784" s="16" t="str">
        <f aca="false">IF(B4784="","",IF(A4784=_xlfn.MINIFS($A$2:$A$5001,$B$2:$B$5001,B4784),1,0))</f>
        <v/>
      </c>
      <c r="K4784" s="16" t="str">
        <f aca="false">IF(B4784="","",IF(AND(D4784="Formalização",E4784="Concluído"),IF(COUNTIFS($B$2:$B$5001,B4784,$E$2:$E$5001,"Em ajustes",$A$2:$A$5001,"&lt;"&amp;I4784)&gt;0,1,0),0))</f>
        <v/>
      </c>
      <c r="L4784" s="16" t="str">
        <f aca="false">IF(B4784="","",IF(A4784=_xlfn.MAXIFS($A$2:$A$5001,$B$2:$B$5001,B4784,$I$2:$I$5001,I4784),1,0))</f>
        <v/>
      </c>
    </row>
    <row r="4785" customFormat="false" ht="15" hidden="false" customHeight="false" outlineLevel="0" collapsed="false">
      <c r="I4785" s="15" t="str">
        <f aca="false">IF(A4785="","",INT(A4785))</f>
        <v/>
      </c>
      <c r="J4785" s="16" t="str">
        <f aca="false">IF(B4785="","",IF(A4785=_xlfn.MINIFS($A$2:$A$5001,$B$2:$B$5001,B4785),1,0))</f>
        <v/>
      </c>
      <c r="K4785" s="16" t="str">
        <f aca="false">IF(B4785="","",IF(AND(D4785="Formalização",E4785="Concluído"),IF(COUNTIFS($B$2:$B$5001,B4785,$E$2:$E$5001,"Em ajustes",$A$2:$A$5001,"&lt;"&amp;I4785)&gt;0,1,0),0))</f>
        <v/>
      </c>
      <c r="L4785" s="16" t="str">
        <f aca="false">IF(B4785="","",IF(A4785=_xlfn.MAXIFS($A$2:$A$5001,$B$2:$B$5001,B4785,$I$2:$I$5001,I4785),1,0))</f>
        <v/>
      </c>
    </row>
    <row r="4786" customFormat="false" ht="15" hidden="false" customHeight="false" outlineLevel="0" collapsed="false">
      <c r="I4786" s="15" t="str">
        <f aca="false">IF(A4786="","",INT(A4786))</f>
        <v/>
      </c>
      <c r="J4786" s="16" t="str">
        <f aca="false">IF(B4786="","",IF(A4786=_xlfn.MINIFS($A$2:$A$5001,$B$2:$B$5001,B4786),1,0))</f>
        <v/>
      </c>
      <c r="K4786" s="16" t="str">
        <f aca="false">IF(B4786="","",IF(AND(D4786="Formalização",E4786="Concluído"),IF(COUNTIFS($B$2:$B$5001,B4786,$E$2:$E$5001,"Em ajustes",$A$2:$A$5001,"&lt;"&amp;I4786)&gt;0,1,0),0))</f>
        <v/>
      </c>
      <c r="L4786" s="16" t="str">
        <f aca="false">IF(B4786="","",IF(A4786=_xlfn.MAXIFS($A$2:$A$5001,$B$2:$B$5001,B4786,$I$2:$I$5001,I4786),1,0))</f>
        <v/>
      </c>
    </row>
    <row r="4787" customFormat="false" ht="15" hidden="false" customHeight="false" outlineLevel="0" collapsed="false">
      <c r="I4787" s="15" t="str">
        <f aca="false">IF(A4787="","",INT(A4787))</f>
        <v/>
      </c>
      <c r="J4787" s="16" t="str">
        <f aca="false">IF(B4787="","",IF(A4787=_xlfn.MINIFS($A$2:$A$5001,$B$2:$B$5001,B4787),1,0))</f>
        <v/>
      </c>
      <c r="K4787" s="16" t="str">
        <f aca="false">IF(B4787="","",IF(AND(D4787="Formalização",E4787="Concluído"),IF(COUNTIFS($B$2:$B$5001,B4787,$E$2:$E$5001,"Em ajustes",$A$2:$A$5001,"&lt;"&amp;I4787)&gt;0,1,0),0))</f>
        <v/>
      </c>
      <c r="L4787" s="16" t="str">
        <f aca="false">IF(B4787="","",IF(A4787=_xlfn.MAXIFS($A$2:$A$5001,$B$2:$B$5001,B4787,$I$2:$I$5001,I4787),1,0))</f>
        <v/>
      </c>
    </row>
    <row r="4788" customFormat="false" ht="15" hidden="false" customHeight="false" outlineLevel="0" collapsed="false">
      <c r="I4788" s="15" t="str">
        <f aca="false">IF(A4788="","",INT(A4788))</f>
        <v/>
      </c>
      <c r="J4788" s="16" t="str">
        <f aca="false">IF(B4788="","",IF(A4788=_xlfn.MINIFS($A$2:$A$5001,$B$2:$B$5001,B4788),1,0))</f>
        <v/>
      </c>
      <c r="K4788" s="16" t="str">
        <f aca="false">IF(B4788="","",IF(AND(D4788="Formalização",E4788="Concluído"),IF(COUNTIFS($B$2:$B$5001,B4788,$E$2:$E$5001,"Em ajustes",$A$2:$A$5001,"&lt;"&amp;I4788)&gt;0,1,0),0))</f>
        <v/>
      </c>
      <c r="L4788" s="16" t="str">
        <f aca="false">IF(B4788="","",IF(A4788=_xlfn.MAXIFS($A$2:$A$5001,$B$2:$B$5001,B4788,$I$2:$I$5001,I4788),1,0))</f>
        <v/>
      </c>
    </row>
    <row r="4789" customFormat="false" ht="15" hidden="false" customHeight="false" outlineLevel="0" collapsed="false">
      <c r="I4789" s="15" t="str">
        <f aca="false">IF(A4789="","",INT(A4789))</f>
        <v/>
      </c>
      <c r="J4789" s="16" t="str">
        <f aca="false">IF(B4789="","",IF(A4789=_xlfn.MINIFS($A$2:$A$5001,$B$2:$B$5001,B4789),1,0))</f>
        <v/>
      </c>
      <c r="K4789" s="16" t="str">
        <f aca="false">IF(B4789="","",IF(AND(D4789="Formalização",E4789="Concluído"),IF(COUNTIFS($B$2:$B$5001,B4789,$E$2:$E$5001,"Em ajustes",$A$2:$A$5001,"&lt;"&amp;I4789)&gt;0,1,0),0))</f>
        <v/>
      </c>
      <c r="L4789" s="16" t="str">
        <f aca="false">IF(B4789="","",IF(A4789=_xlfn.MAXIFS($A$2:$A$5001,$B$2:$B$5001,B4789,$I$2:$I$5001,I4789),1,0))</f>
        <v/>
      </c>
    </row>
    <row r="4790" customFormat="false" ht="15" hidden="false" customHeight="false" outlineLevel="0" collapsed="false">
      <c r="I4790" s="15" t="str">
        <f aca="false">IF(A4790="","",INT(A4790))</f>
        <v/>
      </c>
      <c r="J4790" s="16" t="str">
        <f aca="false">IF(B4790="","",IF(A4790=_xlfn.MINIFS($A$2:$A$5001,$B$2:$B$5001,B4790),1,0))</f>
        <v/>
      </c>
      <c r="K4790" s="16" t="str">
        <f aca="false">IF(B4790="","",IF(AND(D4790="Formalização",E4790="Concluído"),IF(COUNTIFS($B$2:$B$5001,B4790,$E$2:$E$5001,"Em ajustes",$A$2:$A$5001,"&lt;"&amp;I4790)&gt;0,1,0),0))</f>
        <v/>
      </c>
      <c r="L4790" s="16" t="str">
        <f aca="false">IF(B4790="","",IF(A4790=_xlfn.MAXIFS($A$2:$A$5001,$B$2:$B$5001,B4790,$I$2:$I$5001,I4790),1,0))</f>
        <v/>
      </c>
    </row>
    <row r="4791" customFormat="false" ht="15" hidden="false" customHeight="false" outlineLevel="0" collapsed="false">
      <c r="I4791" s="15" t="str">
        <f aca="false">IF(A4791="","",INT(A4791))</f>
        <v/>
      </c>
      <c r="J4791" s="16" t="str">
        <f aca="false">IF(B4791="","",IF(A4791=_xlfn.MINIFS($A$2:$A$5001,$B$2:$B$5001,B4791),1,0))</f>
        <v/>
      </c>
      <c r="K4791" s="16" t="str">
        <f aca="false">IF(B4791="","",IF(AND(D4791="Formalização",E4791="Concluído"),IF(COUNTIFS($B$2:$B$5001,B4791,$E$2:$E$5001,"Em ajustes",$A$2:$A$5001,"&lt;"&amp;I4791)&gt;0,1,0),0))</f>
        <v/>
      </c>
      <c r="L4791" s="16" t="str">
        <f aca="false">IF(B4791="","",IF(A4791=_xlfn.MAXIFS($A$2:$A$5001,$B$2:$B$5001,B4791,$I$2:$I$5001,I4791),1,0))</f>
        <v/>
      </c>
    </row>
    <row r="4792" customFormat="false" ht="15" hidden="false" customHeight="false" outlineLevel="0" collapsed="false">
      <c r="I4792" s="15" t="str">
        <f aca="false">IF(A4792="","",INT(A4792))</f>
        <v/>
      </c>
      <c r="J4792" s="16" t="str">
        <f aca="false">IF(B4792="","",IF(A4792=_xlfn.MINIFS($A$2:$A$5001,$B$2:$B$5001,B4792),1,0))</f>
        <v/>
      </c>
      <c r="K4792" s="16" t="str">
        <f aca="false">IF(B4792="","",IF(AND(D4792="Formalização",E4792="Concluído"),IF(COUNTIFS($B$2:$B$5001,B4792,$E$2:$E$5001,"Em ajustes",$A$2:$A$5001,"&lt;"&amp;I4792)&gt;0,1,0),0))</f>
        <v/>
      </c>
      <c r="L4792" s="16" t="str">
        <f aca="false">IF(B4792="","",IF(A4792=_xlfn.MAXIFS($A$2:$A$5001,$B$2:$B$5001,B4792,$I$2:$I$5001,I4792),1,0))</f>
        <v/>
      </c>
    </row>
    <row r="4793" customFormat="false" ht="15" hidden="false" customHeight="false" outlineLevel="0" collapsed="false">
      <c r="I4793" s="15" t="str">
        <f aca="false">IF(A4793="","",INT(A4793))</f>
        <v/>
      </c>
      <c r="J4793" s="16" t="str">
        <f aca="false">IF(B4793="","",IF(A4793=_xlfn.MINIFS($A$2:$A$5001,$B$2:$B$5001,B4793),1,0))</f>
        <v/>
      </c>
      <c r="K4793" s="16" t="str">
        <f aca="false">IF(B4793="","",IF(AND(D4793="Formalização",E4793="Concluído"),IF(COUNTIFS($B$2:$B$5001,B4793,$E$2:$E$5001,"Em ajustes",$A$2:$A$5001,"&lt;"&amp;I4793)&gt;0,1,0),0))</f>
        <v/>
      </c>
      <c r="L4793" s="16" t="str">
        <f aca="false">IF(B4793="","",IF(A4793=_xlfn.MAXIFS($A$2:$A$5001,$B$2:$B$5001,B4793,$I$2:$I$5001,I4793),1,0))</f>
        <v/>
      </c>
    </row>
    <row r="4794" customFormat="false" ht="15" hidden="false" customHeight="false" outlineLevel="0" collapsed="false">
      <c r="I4794" s="15" t="str">
        <f aca="false">IF(A4794="","",INT(A4794))</f>
        <v/>
      </c>
      <c r="J4794" s="16" t="str">
        <f aca="false">IF(B4794="","",IF(A4794=_xlfn.MINIFS($A$2:$A$5001,$B$2:$B$5001,B4794),1,0))</f>
        <v/>
      </c>
      <c r="K4794" s="16" t="str">
        <f aca="false">IF(B4794="","",IF(AND(D4794="Formalização",E4794="Concluído"),IF(COUNTIFS($B$2:$B$5001,B4794,$E$2:$E$5001,"Em ajustes",$A$2:$A$5001,"&lt;"&amp;I4794)&gt;0,1,0),0))</f>
        <v/>
      </c>
      <c r="L4794" s="16" t="str">
        <f aca="false">IF(B4794="","",IF(A4794=_xlfn.MAXIFS($A$2:$A$5001,$B$2:$B$5001,B4794,$I$2:$I$5001,I4794),1,0))</f>
        <v/>
      </c>
    </row>
    <row r="4795" customFormat="false" ht="15" hidden="false" customHeight="false" outlineLevel="0" collapsed="false">
      <c r="I4795" s="15" t="str">
        <f aca="false">IF(A4795="","",INT(A4795))</f>
        <v/>
      </c>
      <c r="J4795" s="16" t="str">
        <f aca="false">IF(B4795="","",IF(A4795=_xlfn.MINIFS($A$2:$A$5001,$B$2:$B$5001,B4795),1,0))</f>
        <v/>
      </c>
      <c r="K4795" s="16" t="str">
        <f aca="false">IF(B4795="","",IF(AND(D4795="Formalização",E4795="Concluído"),IF(COUNTIFS($B$2:$B$5001,B4795,$E$2:$E$5001,"Em ajustes",$A$2:$A$5001,"&lt;"&amp;I4795)&gt;0,1,0),0))</f>
        <v/>
      </c>
      <c r="L4795" s="16" t="str">
        <f aca="false">IF(B4795="","",IF(A4795=_xlfn.MAXIFS($A$2:$A$5001,$B$2:$B$5001,B4795,$I$2:$I$5001,I4795),1,0))</f>
        <v/>
      </c>
    </row>
    <row r="4796" customFormat="false" ht="15" hidden="false" customHeight="false" outlineLevel="0" collapsed="false">
      <c r="I4796" s="15" t="str">
        <f aca="false">IF(A4796="","",INT(A4796))</f>
        <v/>
      </c>
      <c r="J4796" s="16" t="str">
        <f aca="false">IF(B4796="","",IF(A4796=_xlfn.MINIFS($A$2:$A$5001,$B$2:$B$5001,B4796),1,0))</f>
        <v/>
      </c>
      <c r="K4796" s="16" t="str">
        <f aca="false">IF(B4796="","",IF(AND(D4796="Formalização",E4796="Concluído"),IF(COUNTIFS($B$2:$B$5001,B4796,$E$2:$E$5001,"Em ajustes",$A$2:$A$5001,"&lt;"&amp;I4796)&gt;0,1,0),0))</f>
        <v/>
      </c>
      <c r="L4796" s="16" t="str">
        <f aca="false">IF(B4796="","",IF(A4796=_xlfn.MAXIFS($A$2:$A$5001,$B$2:$B$5001,B4796,$I$2:$I$5001,I4796),1,0))</f>
        <v/>
      </c>
    </row>
    <row r="4797" customFormat="false" ht="15" hidden="false" customHeight="false" outlineLevel="0" collapsed="false">
      <c r="I4797" s="15" t="str">
        <f aca="false">IF(A4797="","",INT(A4797))</f>
        <v/>
      </c>
      <c r="J4797" s="16" t="str">
        <f aca="false">IF(B4797="","",IF(A4797=_xlfn.MINIFS($A$2:$A$5001,$B$2:$B$5001,B4797),1,0))</f>
        <v/>
      </c>
      <c r="K4797" s="16" t="str">
        <f aca="false">IF(B4797="","",IF(AND(D4797="Formalização",E4797="Concluído"),IF(COUNTIFS($B$2:$B$5001,B4797,$E$2:$E$5001,"Em ajustes",$A$2:$A$5001,"&lt;"&amp;I4797)&gt;0,1,0),0))</f>
        <v/>
      </c>
      <c r="L4797" s="16" t="str">
        <f aca="false">IF(B4797="","",IF(A4797=_xlfn.MAXIFS($A$2:$A$5001,$B$2:$B$5001,B4797,$I$2:$I$5001,I4797),1,0))</f>
        <v/>
      </c>
    </row>
    <row r="4798" customFormat="false" ht="15" hidden="false" customHeight="false" outlineLevel="0" collapsed="false">
      <c r="I4798" s="15" t="str">
        <f aca="false">IF(A4798="","",INT(A4798))</f>
        <v/>
      </c>
      <c r="J4798" s="16" t="str">
        <f aca="false">IF(B4798="","",IF(A4798=_xlfn.MINIFS($A$2:$A$5001,$B$2:$B$5001,B4798),1,0))</f>
        <v/>
      </c>
      <c r="K4798" s="16" t="str">
        <f aca="false">IF(B4798="","",IF(AND(D4798="Formalização",E4798="Concluído"),IF(COUNTIFS($B$2:$B$5001,B4798,$E$2:$E$5001,"Em ajustes",$A$2:$A$5001,"&lt;"&amp;I4798)&gt;0,1,0),0))</f>
        <v/>
      </c>
      <c r="L4798" s="16" t="str">
        <f aca="false">IF(B4798="","",IF(A4798=_xlfn.MAXIFS($A$2:$A$5001,$B$2:$B$5001,B4798,$I$2:$I$5001,I4798),1,0))</f>
        <v/>
      </c>
    </row>
    <row r="4799" customFormat="false" ht="15" hidden="false" customHeight="false" outlineLevel="0" collapsed="false">
      <c r="I4799" s="15" t="str">
        <f aca="false">IF(A4799="","",INT(A4799))</f>
        <v/>
      </c>
      <c r="J4799" s="16" t="str">
        <f aca="false">IF(B4799="","",IF(A4799=_xlfn.MINIFS($A$2:$A$5001,$B$2:$B$5001,B4799),1,0))</f>
        <v/>
      </c>
      <c r="K4799" s="16" t="str">
        <f aca="false">IF(B4799="","",IF(AND(D4799="Formalização",E4799="Concluído"),IF(COUNTIFS($B$2:$B$5001,B4799,$E$2:$E$5001,"Em ajustes",$A$2:$A$5001,"&lt;"&amp;I4799)&gt;0,1,0),0))</f>
        <v/>
      </c>
      <c r="L4799" s="16" t="str">
        <f aca="false">IF(B4799="","",IF(A4799=_xlfn.MAXIFS($A$2:$A$5001,$B$2:$B$5001,B4799,$I$2:$I$5001,I4799),1,0))</f>
        <v/>
      </c>
    </row>
    <row r="4800" customFormat="false" ht="15" hidden="false" customHeight="false" outlineLevel="0" collapsed="false">
      <c r="I4800" s="15" t="str">
        <f aca="false">IF(A4800="","",INT(A4800))</f>
        <v/>
      </c>
      <c r="J4800" s="16" t="str">
        <f aca="false">IF(B4800="","",IF(A4800=_xlfn.MINIFS($A$2:$A$5001,$B$2:$B$5001,B4800),1,0))</f>
        <v/>
      </c>
      <c r="K4800" s="16" t="str">
        <f aca="false">IF(B4800="","",IF(AND(D4800="Formalização",E4800="Concluído"),IF(COUNTIFS($B$2:$B$5001,B4800,$E$2:$E$5001,"Em ajustes",$A$2:$A$5001,"&lt;"&amp;I4800)&gt;0,1,0),0))</f>
        <v/>
      </c>
      <c r="L4800" s="16" t="str">
        <f aca="false">IF(B4800="","",IF(A4800=_xlfn.MAXIFS($A$2:$A$5001,$B$2:$B$5001,B4800,$I$2:$I$5001,I4800),1,0))</f>
        <v/>
      </c>
    </row>
    <row r="4801" customFormat="false" ht="15" hidden="false" customHeight="false" outlineLevel="0" collapsed="false">
      <c r="I4801" s="15" t="str">
        <f aca="false">IF(A4801="","",INT(A4801))</f>
        <v/>
      </c>
      <c r="J4801" s="16" t="str">
        <f aca="false">IF(B4801="","",IF(A4801=_xlfn.MINIFS($A$2:$A$5001,$B$2:$B$5001,B4801),1,0))</f>
        <v/>
      </c>
      <c r="K4801" s="16" t="str">
        <f aca="false">IF(B4801="","",IF(AND(D4801="Formalização",E4801="Concluído"),IF(COUNTIFS($B$2:$B$5001,B4801,$E$2:$E$5001,"Em ajustes",$A$2:$A$5001,"&lt;"&amp;I4801)&gt;0,1,0),0))</f>
        <v/>
      </c>
      <c r="L4801" s="16" t="str">
        <f aca="false">IF(B4801="","",IF(A4801=_xlfn.MAXIFS($A$2:$A$5001,$B$2:$B$5001,B4801,$I$2:$I$5001,I4801),1,0))</f>
        <v/>
      </c>
    </row>
    <row r="4802" customFormat="false" ht="15" hidden="false" customHeight="false" outlineLevel="0" collapsed="false">
      <c r="I4802" s="15" t="str">
        <f aca="false">IF(A4802="","",INT(A4802))</f>
        <v/>
      </c>
      <c r="J4802" s="16" t="str">
        <f aca="false">IF(B4802="","",IF(A4802=_xlfn.MINIFS($A$2:$A$5001,$B$2:$B$5001,B4802),1,0))</f>
        <v/>
      </c>
      <c r="K4802" s="16" t="str">
        <f aca="false">IF(B4802="","",IF(AND(D4802="Formalização",E4802="Concluído"),IF(COUNTIFS($B$2:$B$5001,B4802,$E$2:$E$5001,"Em ajustes",$A$2:$A$5001,"&lt;"&amp;I4802)&gt;0,1,0),0))</f>
        <v/>
      </c>
      <c r="L4802" s="16" t="str">
        <f aca="false">IF(B4802="","",IF(A4802=_xlfn.MAXIFS($A$2:$A$5001,$B$2:$B$5001,B4802,$I$2:$I$5001,I4802),1,0))</f>
        <v/>
      </c>
    </row>
    <row r="4803" customFormat="false" ht="15" hidden="false" customHeight="false" outlineLevel="0" collapsed="false">
      <c r="I4803" s="15" t="str">
        <f aca="false">IF(A4803="","",INT(A4803))</f>
        <v/>
      </c>
      <c r="J4803" s="16" t="str">
        <f aca="false">IF(B4803="","",IF(A4803=_xlfn.MINIFS($A$2:$A$5001,$B$2:$B$5001,B4803),1,0))</f>
        <v/>
      </c>
      <c r="K4803" s="16" t="str">
        <f aca="false">IF(B4803="","",IF(AND(D4803="Formalização",E4803="Concluído"),IF(COUNTIFS($B$2:$B$5001,B4803,$E$2:$E$5001,"Em ajustes",$A$2:$A$5001,"&lt;"&amp;I4803)&gt;0,1,0),0))</f>
        <v/>
      </c>
      <c r="L4803" s="16" t="str">
        <f aca="false">IF(B4803="","",IF(A4803=_xlfn.MAXIFS($A$2:$A$5001,$B$2:$B$5001,B4803,$I$2:$I$5001,I4803),1,0))</f>
        <v/>
      </c>
    </row>
    <row r="4804" customFormat="false" ht="15" hidden="false" customHeight="false" outlineLevel="0" collapsed="false">
      <c r="I4804" s="15" t="str">
        <f aca="false">IF(A4804="","",INT(A4804))</f>
        <v/>
      </c>
      <c r="J4804" s="16" t="str">
        <f aca="false">IF(B4804="","",IF(A4804=_xlfn.MINIFS($A$2:$A$5001,$B$2:$B$5001,B4804),1,0))</f>
        <v/>
      </c>
      <c r="K4804" s="16" t="str">
        <f aca="false">IF(B4804="","",IF(AND(D4804="Formalização",E4804="Concluído"),IF(COUNTIFS($B$2:$B$5001,B4804,$E$2:$E$5001,"Em ajustes",$A$2:$A$5001,"&lt;"&amp;I4804)&gt;0,1,0),0))</f>
        <v/>
      </c>
      <c r="L4804" s="16" t="str">
        <f aca="false">IF(B4804="","",IF(A4804=_xlfn.MAXIFS($A$2:$A$5001,$B$2:$B$5001,B4804,$I$2:$I$5001,I4804),1,0))</f>
        <v/>
      </c>
    </row>
    <row r="4805" customFormat="false" ht="15" hidden="false" customHeight="false" outlineLevel="0" collapsed="false">
      <c r="I4805" s="15" t="str">
        <f aca="false">IF(A4805="","",INT(A4805))</f>
        <v/>
      </c>
      <c r="J4805" s="16" t="str">
        <f aca="false">IF(B4805="","",IF(A4805=_xlfn.MINIFS($A$2:$A$5001,$B$2:$B$5001,B4805),1,0))</f>
        <v/>
      </c>
      <c r="K4805" s="16" t="str">
        <f aca="false">IF(B4805="","",IF(AND(D4805="Formalização",E4805="Concluído"),IF(COUNTIFS($B$2:$B$5001,B4805,$E$2:$E$5001,"Em ajustes",$A$2:$A$5001,"&lt;"&amp;I4805)&gt;0,1,0),0))</f>
        <v/>
      </c>
      <c r="L4805" s="16" t="str">
        <f aca="false">IF(B4805="","",IF(A4805=_xlfn.MAXIFS($A$2:$A$5001,$B$2:$B$5001,B4805,$I$2:$I$5001,I4805),1,0))</f>
        <v/>
      </c>
    </row>
    <row r="4806" customFormat="false" ht="15" hidden="false" customHeight="false" outlineLevel="0" collapsed="false">
      <c r="I4806" s="15" t="str">
        <f aca="false">IF(A4806="","",INT(A4806))</f>
        <v/>
      </c>
      <c r="J4806" s="16" t="str">
        <f aca="false">IF(B4806="","",IF(A4806=_xlfn.MINIFS($A$2:$A$5001,$B$2:$B$5001,B4806),1,0))</f>
        <v/>
      </c>
      <c r="K4806" s="16" t="str">
        <f aca="false">IF(B4806="","",IF(AND(D4806="Formalização",E4806="Concluído"),IF(COUNTIFS($B$2:$B$5001,B4806,$E$2:$E$5001,"Em ajustes",$A$2:$A$5001,"&lt;"&amp;I4806)&gt;0,1,0),0))</f>
        <v/>
      </c>
      <c r="L4806" s="16" t="str">
        <f aca="false">IF(B4806="","",IF(A4806=_xlfn.MAXIFS($A$2:$A$5001,$B$2:$B$5001,B4806,$I$2:$I$5001,I4806),1,0))</f>
        <v/>
      </c>
    </row>
    <row r="4807" customFormat="false" ht="15" hidden="false" customHeight="false" outlineLevel="0" collapsed="false">
      <c r="I4807" s="15" t="str">
        <f aca="false">IF(A4807="","",INT(A4807))</f>
        <v/>
      </c>
      <c r="J4807" s="16" t="str">
        <f aca="false">IF(B4807="","",IF(A4807=_xlfn.MINIFS($A$2:$A$5001,$B$2:$B$5001,B4807),1,0))</f>
        <v/>
      </c>
      <c r="K4807" s="16" t="str">
        <f aca="false">IF(B4807="","",IF(AND(D4807="Formalização",E4807="Concluído"),IF(COUNTIFS($B$2:$B$5001,B4807,$E$2:$E$5001,"Em ajustes",$A$2:$A$5001,"&lt;"&amp;I4807)&gt;0,1,0),0))</f>
        <v/>
      </c>
      <c r="L4807" s="16" t="str">
        <f aca="false">IF(B4807="","",IF(A4807=_xlfn.MAXIFS($A$2:$A$5001,$B$2:$B$5001,B4807,$I$2:$I$5001,I4807),1,0))</f>
        <v/>
      </c>
    </row>
    <row r="4808" customFormat="false" ht="15" hidden="false" customHeight="false" outlineLevel="0" collapsed="false">
      <c r="I4808" s="15" t="str">
        <f aca="false">IF(A4808="","",INT(A4808))</f>
        <v/>
      </c>
      <c r="J4808" s="16" t="str">
        <f aca="false">IF(B4808="","",IF(A4808=_xlfn.MINIFS($A$2:$A$5001,$B$2:$B$5001,B4808),1,0))</f>
        <v/>
      </c>
      <c r="K4808" s="16" t="str">
        <f aca="false">IF(B4808="","",IF(AND(D4808="Formalização",E4808="Concluído"),IF(COUNTIFS($B$2:$B$5001,B4808,$E$2:$E$5001,"Em ajustes",$A$2:$A$5001,"&lt;"&amp;I4808)&gt;0,1,0),0))</f>
        <v/>
      </c>
      <c r="L4808" s="16" t="str">
        <f aca="false">IF(B4808="","",IF(A4808=_xlfn.MAXIFS($A$2:$A$5001,$B$2:$B$5001,B4808,$I$2:$I$5001,I4808),1,0))</f>
        <v/>
      </c>
    </row>
    <row r="4809" customFormat="false" ht="15" hidden="false" customHeight="false" outlineLevel="0" collapsed="false">
      <c r="I4809" s="15" t="str">
        <f aca="false">IF(A4809="","",INT(A4809))</f>
        <v/>
      </c>
      <c r="J4809" s="16" t="str">
        <f aca="false">IF(B4809="","",IF(A4809=_xlfn.MINIFS($A$2:$A$5001,$B$2:$B$5001,B4809),1,0))</f>
        <v/>
      </c>
      <c r="K4809" s="16" t="str">
        <f aca="false">IF(B4809="","",IF(AND(D4809="Formalização",E4809="Concluído"),IF(COUNTIFS($B$2:$B$5001,B4809,$E$2:$E$5001,"Em ajustes",$A$2:$A$5001,"&lt;"&amp;I4809)&gt;0,1,0),0))</f>
        <v/>
      </c>
      <c r="L4809" s="16" t="str">
        <f aca="false">IF(B4809="","",IF(A4809=_xlfn.MAXIFS($A$2:$A$5001,$B$2:$B$5001,B4809,$I$2:$I$5001,I4809),1,0))</f>
        <v/>
      </c>
    </row>
    <row r="4810" customFormat="false" ht="15" hidden="false" customHeight="false" outlineLevel="0" collapsed="false">
      <c r="I4810" s="15" t="str">
        <f aca="false">IF(A4810="","",INT(A4810))</f>
        <v/>
      </c>
      <c r="J4810" s="16" t="str">
        <f aca="false">IF(B4810="","",IF(A4810=_xlfn.MINIFS($A$2:$A$5001,$B$2:$B$5001,B4810),1,0))</f>
        <v/>
      </c>
      <c r="K4810" s="16" t="str">
        <f aca="false">IF(B4810="","",IF(AND(D4810="Formalização",E4810="Concluído"),IF(COUNTIFS($B$2:$B$5001,B4810,$E$2:$E$5001,"Em ajustes",$A$2:$A$5001,"&lt;"&amp;I4810)&gt;0,1,0),0))</f>
        <v/>
      </c>
      <c r="L4810" s="16" t="str">
        <f aca="false">IF(B4810="","",IF(A4810=_xlfn.MAXIFS($A$2:$A$5001,$B$2:$B$5001,B4810,$I$2:$I$5001,I4810),1,0))</f>
        <v/>
      </c>
    </row>
    <row r="4811" customFormat="false" ht="15" hidden="false" customHeight="false" outlineLevel="0" collapsed="false">
      <c r="I4811" s="15" t="str">
        <f aca="false">IF(A4811="","",INT(A4811))</f>
        <v/>
      </c>
      <c r="J4811" s="16" t="str">
        <f aca="false">IF(B4811="","",IF(A4811=_xlfn.MINIFS($A$2:$A$5001,$B$2:$B$5001,B4811),1,0))</f>
        <v/>
      </c>
      <c r="K4811" s="16" t="str">
        <f aca="false">IF(B4811="","",IF(AND(D4811="Formalização",E4811="Concluído"),IF(COUNTIFS($B$2:$B$5001,B4811,$E$2:$E$5001,"Em ajustes",$A$2:$A$5001,"&lt;"&amp;I4811)&gt;0,1,0),0))</f>
        <v/>
      </c>
      <c r="L4811" s="16" t="str">
        <f aca="false">IF(B4811="","",IF(A4811=_xlfn.MAXIFS($A$2:$A$5001,$B$2:$B$5001,B4811,$I$2:$I$5001,I4811),1,0))</f>
        <v/>
      </c>
    </row>
    <row r="4812" customFormat="false" ht="15" hidden="false" customHeight="false" outlineLevel="0" collapsed="false">
      <c r="I4812" s="15" t="str">
        <f aca="false">IF(A4812="","",INT(A4812))</f>
        <v/>
      </c>
      <c r="J4812" s="16" t="str">
        <f aca="false">IF(B4812="","",IF(A4812=_xlfn.MINIFS($A$2:$A$5001,$B$2:$B$5001,B4812),1,0))</f>
        <v/>
      </c>
      <c r="K4812" s="16" t="str">
        <f aca="false">IF(B4812="","",IF(AND(D4812="Formalização",E4812="Concluído"),IF(COUNTIFS($B$2:$B$5001,B4812,$E$2:$E$5001,"Em ajustes",$A$2:$A$5001,"&lt;"&amp;I4812)&gt;0,1,0),0))</f>
        <v/>
      </c>
      <c r="L4812" s="16" t="str">
        <f aca="false">IF(B4812="","",IF(A4812=_xlfn.MAXIFS($A$2:$A$5001,$B$2:$B$5001,B4812,$I$2:$I$5001,I4812),1,0))</f>
        <v/>
      </c>
    </row>
    <row r="4813" customFormat="false" ht="15" hidden="false" customHeight="false" outlineLevel="0" collapsed="false">
      <c r="I4813" s="15" t="str">
        <f aca="false">IF(A4813="","",INT(A4813))</f>
        <v/>
      </c>
      <c r="J4813" s="16" t="str">
        <f aca="false">IF(B4813="","",IF(A4813=_xlfn.MINIFS($A$2:$A$5001,$B$2:$B$5001,B4813),1,0))</f>
        <v/>
      </c>
      <c r="K4813" s="16" t="str">
        <f aca="false">IF(B4813="","",IF(AND(D4813="Formalização",E4813="Concluído"),IF(COUNTIFS($B$2:$B$5001,B4813,$E$2:$E$5001,"Em ajustes",$A$2:$A$5001,"&lt;"&amp;I4813)&gt;0,1,0),0))</f>
        <v/>
      </c>
      <c r="L4813" s="16" t="str">
        <f aca="false">IF(B4813="","",IF(A4813=_xlfn.MAXIFS($A$2:$A$5001,$B$2:$B$5001,B4813,$I$2:$I$5001,I4813),1,0))</f>
        <v/>
      </c>
    </row>
    <row r="4814" customFormat="false" ht="15" hidden="false" customHeight="false" outlineLevel="0" collapsed="false">
      <c r="I4814" s="15" t="str">
        <f aca="false">IF(A4814="","",INT(A4814))</f>
        <v/>
      </c>
      <c r="J4814" s="16" t="str">
        <f aca="false">IF(B4814="","",IF(A4814=_xlfn.MINIFS($A$2:$A$5001,$B$2:$B$5001,B4814),1,0))</f>
        <v/>
      </c>
      <c r="K4814" s="16" t="str">
        <f aca="false">IF(B4814="","",IF(AND(D4814="Formalização",E4814="Concluído"),IF(COUNTIFS($B$2:$B$5001,B4814,$E$2:$E$5001,"Em ajustes",$A$2:$A$5001,"&lt;"&amp;I4814)&gt;0,1,0),0))</f>
        <v/>
      </c>
      <c r="L4814" s="16" t="str">
        <f aca="false">IF(B4814="","",IF(A4814=_xlfn.MAXIFS($A$2:$A$5001,$B$2:$B$5001,B4814,$I$2:$I$5001,I4814),1,0))</f>
        <v/>
      </c>
    </row>
    <row r="4815" customFormat="false" ht="15" hidden="false" customHeight="false" outlineLevel="0" collapsed="false">
      <c r="I4815" s="15" t="str">
        <f aca="false">IF(A4815="","",INT(A4815))</f>
        <v/>
      </c>
      <c r="J4815" s="16" t="str">
        <f aca="false">IF(B4815="","",IF(A4815=_xlfn.MINIFS($A$2:$A$5001,$B$2:$B$5001,B4815),1,0))</f>
        <v/>
      </c>
      <c r="K4815" s="16" t="str">
        <f aca="false">IF(B4815="","",IF(AND(D4815="Formalização",E4815="Concluído"),IF(COUNTIFS($B$2:$B$5001,B4815,$E$2:$E$5001,"Em ajustes",$A$2:$A$5001,"&lt;"&amp;I4815)&gt;0,1,0),0))</f>
        <v/>
      </c>
      <c r="L4815" s="16" t="str">
        <f aca="false">IF(B4815="","",IF(A4815=_xlfn.MAXIFS($A$2:$A$5001,$B$2:$B$5001,B4815,$I$2:$I$5001,I4815),1,0))</f>
        <v/>
      </c>
    </row>
    <row r="4816" customFormat="false" ht="15" hidden="false" customHeight="false" outlineLevel="0" collapsed="false">
      <c r="I4816" s="15" t="str">
        <f aca="false">IF(A4816="","",INT(A4816))</f>
        <v/>
      </c>
      <c r="J4816" s="16" t="str">
        <f aca="false">IF(B4816="","",IF(A4816=_xlfn.MINIFS($A$2:$A$5001,$B$2:$B$5001,B4816),1,0))</f>
        <v/>
      </c>
      <c r="K4816" s="16" t="str">
        <f aca="false">IF(B4816="","",IF(AND(D4816="Formalização",E4816="Concluído"),IF(COUNTIFS($B$2:$B$5001,B4816,$E$2:$E$5001,"Em ajustes",$A$2:$A$5001,"&lt;"&amp;I4816)&gt;0,1,0),0))</f>
        <v/>
      </c>
      <c r="L4816" s="16" t="str">
        <f aca="false">IF(B4816="","",IF(A4816=_xlfn.MAXIFS($A$2:$A$5001,$B$2:$B$5001,B4816,$I$2:$I$5001,I4816),1,0))</f>
        <v/>
      </c>
    </row>
    <row r="4817" customFormat="false" ht="15" hidden="false" customHeight="false" outlineLevel="0" collapsed="false">
      <c r="I4817" s="15" t="str">
        <f aca="false">IF(A4817="","",INT(A4817))</f>
        <v/>
      </c>
      <c r="J4817" s="16" t="str">
        <f aca="false">IF(B4817="","",IF(A4817=_xlfn.MINIFS($A$2:$A$5001,$B$2:$B$5001,B4817),1,0))</f>
        <v/>
      </c>
      <c r="K4817" s="16" t="str">
        <f aca="false">IF(B4817="","",IF(AND(D4817="Formalização",E4817="Concluído"),IF(COUNTIFS($B$2:$B$5001,B4817,$E$2:$E$5001,"Em ajustes",$A$2:$A$5001,"&lt;"&amp;I4817)&gt;0,1,0),0))</f>
        <v/>
      </c>
      <c r="L4817" s="16" t="str">
        <f aca="false">IF(B4817="","",IF(A4817=_xlfn.MAXIFS($A$2:$A$5001,$B$2:$B$5001,B4817,$I$2:$I$5001,I4817),1,0))</f>
        <v/>
      </c>
    </row>
    <row r="4818" customFormat="false" ht="15" hidden="false" customHeight="false" outlineLevel="0" collapsed="false">
      <c r="I4818" s="15" t="str">
        <f aca="false">IF(A4818="","",INT(A4818))</f>
        <v/>
      </c>
      <c r="J4818" s="16" t="str">
        <f aca="false">IF(B4818="","",IF(A4818=_xlfn.MINIFS($A$2:$A$5001,$B$2:$B$5001,B4818),1,0))</f>
        <v/>
      </c>
      <c r="K4818" s="16" t="str">
        <f aca="false">IF(B4818="","",IF(AND(D4818="Formalização",E4818="Concluído"),IF(COUNTIFS($B$2:$B$5001,B4818,$E$2:$E$5001,"Em ajustes",$A$2:$A$5001,"&lt;"&amp;I4818)&gt;0,1,0),0))</f>
        <v/>
      </c>
      <c r="L4818" s="16" t="str">
        <f aca="false">IF(B4818="","",IF(A4818=_xlfn.MAXIFS($A$2:$A$5001,$B$2:$B$5001,B4818,$I$2:$I$5001,I4818),1,0))</f>
        <v/>
      </c>
    </row>
    <row r="4819" customFormat="false" ht="15" hidden="false" customHeight="false" outlineLevel="0" collapsed="false">
      <c r="I4819" s="15" t="str">
        <f aca="false">IF(A4819="","",INT(A4819))</f>
        <v/>
      </c>
      <c r="J4819" s="16" t="str">
        <f aca="false">IF(B4819="","",IF(A4819=_xlfn.MINIFS($A$2:$A$5001,$B$2:$B$5001,B4819),1,0))</f>
        <v/>
      </c>
      <c r="K4819" s="16" t="str">
        <f aca="false">IF(B4819="","",IF(AND(D4819="Formalização",E4819="Concluído"),IF(COUNTIFS($B$2:$B$5001,B4819,$E$2:$E$5001,"Em ajustes",$A$2:$A$5001,"&lt;"&amp;I4819)&gt;0,1,0),0))</f>
        <v/>
      </c>
      <c r="L4819" s="16" t="str">
        <f aca="false">IF(B4819="","",IF(A4819=_xlfn.MAXIFS($A$2:$A$5001,$B$2:$B$5001,B4819,$I$2:$I$5001,I4819),1,0))</f>
        <v/>
      </c>
    </row>
    <row r="4820" customFormat="false" ht="15" hidden="false" customHeight="false" outlineLevel="0" collapsed="false">
      <c r="I4820" s="15" t="str">
        <f aca="false">IF(A4820="","",INT(A4820))</f>
        <v/>
      </c>
      <c r="J4820" s="16" t="str">
        <f aca="false">IF(B4820="","",IF(A4820=_xlfn.MINIFS($A$2:$A$5001,$B$2:$B$5001,B4820),1,0))</f>
        <v/>
      </c>
      <c r="K4820" s="16" t="str">
        <f aca="false">IF(B4820="","",IF(AND(D4820="Formalização",E4820="Concluído"),IF(COUNTIFS($B$2:$B$5001,B4820,$E$2:$E$5001,"Em ajustes",$A$2:$A$5001,"&lt;"&amp;I4820)&gt;0,1,0),0))</f>
        <v/>
      </c>
      <c r="L4820" s="16" t="str">
        <f aca="false">IF(B4820="","",IF(A4820=_xlfn.MAXIFS($A$2:$A$5001,$B$2:$B$5001,B4820,$I$2:$I$5001,I4820),1,0))</f>
        <v/>
      </c>
    </row>
    <row r="4821" customFormat="false" ht="15" hidden="false" customHeight="false" outlineLevel="0" collapsed="false">
      <c r="I4821" s="15" t="str">
        <f aca="false">IF(A4821="","",INT(A4821))</f>
        <v/>
      </c>
      <c r="J4821" s="16" t="str">
        <f aca="false">IF(B4821="","",IF(A4821=_xlfn.MINIFS($A$2:$A$5001,$B$2:$B$5001,B4821),1,0))</f>
        <v/>
      </c>
      <c r="K4821" s="16" t="str">
        <f aca="false">IF(B4821="","",IF(AND(D4821="Formalização",E4821="Concluído"),IF(COUNTIFS($B$2:$B$5001,B4821,$E$2:$E$5001,"Em ajustes",$A$2:$A$5001,"&lt;"&amp;I4821)&gt;0,1,0),0))</f>
        <v/>
      </c>
      <c r="L4821" s="16" t="str">
        <f aca="false">IF(B4821="","",IF(A4821=_xlfn.MAXIFS($A$2:$A$5001,$B$2:$B$5001,B4821,$I$2:$I$5001,I4821),1,0))</f>
        <v/>
      </c>
    </row>
    <row r="4822" customFormat="false" ht="15" hidden="false" customHeight="false" outlineLevel="0" collapsed="false">
      <c r="I4822" s="15" t="str">
        <f aca="false">IF(A4822="","",INT(A4822))</f>
        <v/>
      </c>
      <c r="J4822" s="16" t="str">
        <f aca="false">IF(B4822="","",IF(A4822=_xlfn.MINIFS($A$2:$A$5001,$B$2:$B$5001,B4822),1,0))</f>
        <v/>
      </c>
      <c r="K4822" s="16" t="str">
        <f aca="false">IF(B4822="","",IF(AND(D4822="Formalização",E4822="Concluído"),IF(COUNTIFS($B$2:$B$5001,B4822,$E$2:$E$5001,"Em ajustes",$A$2:$A$5001,"&lt;"&amp;I4822)&gt;0,1,0),0))</f>
        <v/>
      </c>
      <c r="L4822" s="16" t="str">
        <f aca="false">IF(B4822="","",IF(A4822=_xlfn.MAXIFS($A$2:$A$5001,$B$2:$B$5001,B4822,$I$2:$I$5001,I4822),1,0))</f>
        <v/>
      </c>
    </row>
    <row r="4823" customFormat="false" ht="15" hidden="false" customHeight="false" outlineLevel="0" collapsed="false">
      <c r="I4823" s="15" t="str">
        <f aca="false">IF(A4823="","",INT(A4823))</f>
        <v/>
      </c>
      <c r="J4823" s="16" t="str">
        <f aca="false">IF(B4823="","",IF(A4823=_xlfn.MINIFS($A$2:$A$5001,$B$2:$B$5001,B4823),1,0))</f>
        <v/>
      </c>
      <c r="K4823" s="16" t="str">
        <f aca="false">IF(B4823="","",IF(AND(D4823="Formalização",E4823="Concluído"),IF(COUNTIFS($B$2:$B$5001,B4823,$E$2:$E$5001,"Em ajustes",$A$2:$A$5001,"&lt;"&amp;I4823)&gt;0,1,0),0))</f>
        <v/>
      </c>
      <c r="L4823" s="16" t="str">
        <f aca="false">IF(B4823="","",IF(A4823=_xlfn.MAXIFS($A$2:$A$5001,$B$2:$B$5001,B4823,$I$2:$I$5001,I4823),1,0))</f>
        <v/>
      </c>
    </row>
    <row r="4824" customFormat="false" ht="15" hidden="false" customHeight="false" outlineLevel="0" collapsed="false">
      <c r="I4824" s="15" t="str">
        <f aca="false">IF(A4824="","",INT(A4824))</f>
        <v/>
      </c>
      <c r="J4824" s="16" t="str">
        <f aca="false">IF(B4824="","",IF(A4824=_xlfn.MINIFS($A$2:$A$5001,$B$2:$B$5001,B4824),1,0))</f>
        <v/>
      </c>
      <c r="K4824" s="16" t="str">
        <f aca="false">IF(B4824="","",IF(AND(D4824="Formalização",E4824="Concluído"),IF(COUNTIFS($B$2:$B$5001,B4824,$E$2:$E$5001,"Em ajustes",$A$2:$A$5001,"&lt;"&amp;I4824)&gt;0,1,0),0))</f>
        <v/>
      </c>
      <c r="L4824" s="16" t="str">
        <f aca="false">IF(B4824="","",IF(A4824=_xlfn.MAXIFS($A$2:$A$5001,$B$2:$B$5001,B4824,$I$2:$I$5001,I4824),1,0))</f>
        <v/>
      </c>
    </row>
    <row r="4825" customFormat="false" ht="15" hidden="false" customHeight="false" outlineLevel="0" collapsed="false">
      <c r="I4825" s="15" t="str">
        <f aca="false">IF(A4825="","",INT(A4825))</f>
        <v/>
      </c>
      <c r="J4825" s="16" t="str">
        <f aca="false">IF(B4825="","",IF(A4825=_xlfn.MINIFS($A$2:$A$5001,$B$2:$B$5001,B4825),1,0))</f>
        <v/>
      </c>
      <c r="K4825" s="16" t="str">
        <f aca="false">IF(B4825="","",IF(AND(D4825="Formalização",E4825="Concluído"),IF(COUNTIFS($B$2:$B$5001,B4825,$E$2:$E$5001,"Em ajustes",$A$2:$A$5001,"&lt;"&amp;I4825)&gt;0,1,0),0))</f>
        <v/>
      </c>
      <c r="L4825" s="16" t="str">
        <f aca="false">IF(B4825="","",IF(A4825=_xlfn.MAXIFS($A$2:$A$5001,$B$2:$B$5001,B4825,$I$2:$I$5001,I4825),1,0))</f>
        <v/>
      </c>
    </row>
    <row r="4826" customFormat="false" ht="15" hidden="false" customHeight="false" outlineLevel="0" collapsed="false">
      <c r="I4826" s="15" t="str">
        <f aca="false">IF(A4826="","",INT(A4826))</f>
        <v/>
      </c>
      <c r="J4826" s="16" t="str">
        <f aca="false">IF(B4826="","",IF(A4826=_xlfn.MINIFS($A$2:$A$5001,$B$2:$B$5001,B4826),1,0))</f>
        <v/>
      </c>
      <c r="K4826" s="16" t="str">
        <f aca="false">IF(B4826="","",IF(AND(D4826="Formalização",E4826="Concluído"),IF(COUNTIFS($B$2:$B$5001,B4826,$E$2:$E$5001,"Em ajustes",$A$2:$A$5001,"&lt;"&amp;I4826)&gt;0,1,0),0))</f>
        <v/>
      </c>
      <c r="L4826" s="16" t="str">
        <f aca="false">IF(B4826="","",IF(A4826=_xlfn.MAXIFS($A$2:$A$5001,$B$2:$B$5001,B4826,$I$2:$I$5001,I4826),1,0))</f>
        <v/>
      </c>
    </row>
    <row r="4827" customFormat="false" ht="15" hidden="false" customHeight="false" outlineLevel="0" collapsed="false">
      <c r="I4827" s="15" t="str">
        <f aca="false">IF(A4827="","",INT(A4827))</f>
        <v/>
      </c>
      <c r="J4827" s="16" t="str">
        <f aca="false">IF(B4827="","",IF(A4827=_xlfn.MINIFS($A$2:$A$5001,$B$2:$B$5001,B4827),1,0))</f>
        <v/>
      </c>
      <c r="K4827" s="16" t="str">
        <f aca="false">IF(B4827="","",IF(AND(D4827="Formalização",E4827="Concluído"),IF(COUNTIFS($B$2:$B$5001,B4827,$E$2:$E$5001,"Em ajustes",$A$2:$A$5001,"&lt;"&amp;I4827)&gt;0,1,0),0))</f>
        <v/>
      </c>
      <c r="L4827" s="16" t="str">
        <f aca="false">IF(B4827="","",IF(A4827=_xlfn.MAXIFS($A$2:$A$5001,$B$2:$B$5001,B4827,$I$2:$I$5001,I4827),1,0))</f>
        <v/>
      </c>
    </row>
    <row r="4828" customFormat="false" ht="15" hidden="false" customHeight="false" outlineLevel="0" collapsed="false">
      <c r="I4828" s="15" t="str">
        <f aca="false">IF(A4828="","",INT(A4828))</f>
        <v/>
      </c>
      <c r="J4828" s="16" t="str">
        <f aca="false">IF(B4828="","",IF(A4828=_xlfn.MINIFS($A$2:$A$5001,$B$2:$B$5001,B4828),1,0))</f>
        <v/>
      </c>
      <c r="K4828" s="16" t="str">
        <f aca="false">IF(B4828="","",IF(AND(D4828="Formalização",E4828="Concluído"),IF(COUNTIFS($B$2:$B$5001,B4828,$E$2:$E$5001,"Em ajustes",$A$2:$A$5001,"&lt;"&amp;I4828)&gt;0,1,0),0))</f>
        <v/>
      </c>
      <c r="L4828" s="16" t="str">
        <f aca="false">IF(B4828="","",IF(A4828=_xlfn.MAXIFS($A$2:$A$5001,$B$2:$B$5001,B4828,$I$2:$I$5001,I4828),1,0))</f>
        <v/>
      </c>
    </row>
    <row r="4829" customFormat="false" ht="15" hidden="false" customHeight="false" outlineLevel="0" collapsed="false">
      <c r="I4829" s="15" t="str">
        <f aca="false">IF(A4829="","",INT(A4829))</f>
        <v/>
      </c>
      <c r="J4829" s="16" t="str">
        <f aca="false">IF(B4829="","",IF(A4829=_xlfn.MINIFS($A$2:$A$5001,$B$2:$B$5001,B4829),1,0))</f>
        <v/>
      </c>
      <c r="K4829" s="16" t="str">
        <f aca="false">IF(B4829="","",IF(AND(D4829="Formalização",E4829="Concluído"),IF(COUNTIFS($B$2:$B$5001,B4829,$E$2:$E$5001,"Em ajustes",$A$2:$A$5001,"&lt;"&amp;I4829)&gt;0,1,0),0))</f>
        <v/>
      </c>
      <c r="L4829" s="16" t="str">
        <f aca="false">IF(B4829="","",IF(A4829=_xlfn.MAXIFS($A$2:$A$5001,$B$2:$B$5001,B4829,$I$2:$I$5001,I4829),1,0))</f>
        <v/>
      </c>
    </row>
    <row r="4830" customFormat="false" ht="15" hidden="false" customHeight="false" outlineLevel="0" collapsed="false">
      <c r="I4830" s="15" t="str">
        <f aca="false">IF(A4830="","",INT(A4830))</f>
        <v/>
      </c>
      <c r="J4830" s="16" t="str">
        <f aca="false">IF(B4830="","",IF(A4830=_xlfn.MINIFS($A$2:$A$5001,$B$2:$B$5001,B4830),1,0))</f>
        <v/>
      </c>
      <c r="K4830" s="16" t="str">
        <f aca="false">IF(B4830="","",IF(AND(D4830="Formalização",E4830="Concluído"),IF(COUNTIFS($B$2:$B$5001,B4830,$E$2:$E$5001,"Em ajustes",$A$2:$A$5001,"&lt;"&amp;I4830)&gt;0,1,0),0))</f>
        <v/>
      </c>
      <c r="L4830" s="16" t="str">
        <f aca="false">IF(B4830="","",IF(A4830=_xlfn.MAXIFS($A$2:$A$5001,$B$2:$B$5001,B4830,$I$2:$I$5001,I4830),1,0))</f>
        <v/>
      </c>
    </row>
    <row r="4831" customFormat="false" ht="15" hidden="false" customHeight="false" outlineLevel="0" collapsed="false">
      <c r="I4831" s="15" t="str">
        <f aca="false">IF(A4831="","",INT(A4831))</f>
        <v/>
      </c>
      <c r="J4831" s="16" t="str">
        <f aca="false">IF(B4831="","",IF(A4831=_xlfn.MINIFS($A$2:$A$5001,$B$2:$B$5001,B4831),1,0))</f>
        <v/>
      </c>
      <c r="K4831" s="16" t="str">
        <f aca="false">IF(B4831="","",IF(AND(D4831="Formalização",E4831="Concluído"),IF(COUNTIFS($B$2:$B$5001,B4831,$E$2:$E$5001,"Em ajustes",$A$2:$A$5001,"&lt;"&amp;I4831)&gt;0,1,0),0))</f>
        <v/>
      </c>
      <c r="L4831" s="16" t="str">
        <f aca="false">IF(B4831="","",IF(A4831=_xlfn.MAXIFS($A$2:$A$5001,$B$2:$B$5001,B4831,$I$2:$I$5001,I4831),1,0))</f>
        <v/>
      </c>
    </row>
    <row r="4832" customFormat="false" ht="15" hidden="false" customHeight="false" outlineLevel="0" collapsed="false">
      <c r="I4832" s="15" t="str">
        <f aca="false">IF(A4832="","",INT(A4832))</f>
        <v/>
      </c>
      <c r="J4832" s="16" t="str">
        <f aca="false">IF(B4832="","",IF(A4832=_xlfn.MINIFS($A$2:$A$5001,$B$2:$B$5001,B4832),1,0))</f>
        <v/>
      </c>
      <c r="K4832" s="16" t="str">
        <f aca="false">IF(B4832="","",IF(AND(D4832="Formalização",E4832="Concluído"),IF(COUNTIFS($B$2:$B$5001,B4832,$E$2:$E$5001,"Em ajustes",$A$2:$A$5001,"&lt;"&amp;I4832)&gt;0,1,0),0))</f>
        <v/>
      </c>
      <c r="L4832" s="16" t="str">
        <f aca="false">IF(B4832="","",IF(A4832=_xlfn.MAXIFS($A$2:$A$5001,$B$2:$B$5001,B4832,$I$2:$I$5001,I4832),1,0))</f>
        <v/>
      </c>
    </row>
    <row r="4833" customFormat="false" ht="15" hidden="false" customHeight="false" outlineLevel="0" collapsed="false">
      <c r="I4833" s="15" t="str">
        <f aca="false">IF(A4833="","",INT(A4833))</f>
        <v/>
      </c>
      <c r="J4833" s="16" t="str">
        <f aca="false">IF(B4833="","",IF(A4833=_xlfn.MINIFS($A$2:$A$5001,$B$2:$B$5001,B4833),1,0))</f>
        <v/>
      </c>
      <c r="K4833" s="16" t="str">
        <f aca="false">IF(B4833="","",IF(AND(D4833="Formalização",E4833="Concluído"),IF(COUNTIFS($B$2:$B$5001,B4833,$E$2:$E$5001,"Em ajustes",$A$2:$A$5001,"&lt;"&amp;I4833)&gt;0,1,0),0))</f>
        <v/>
      </c>
      <c r="L4833" s="16" t="str">
        <f aca="false">IF(B4833="","",IF(A4833=_xlfn.MAXIFS($A$2:$A$5001,$B$2:$B$5001,B4833,$I$2:$I$5001,I4833),1,0))</f>
        <v/>
      </c>
    </row>
    <row r="4834" customFormat="false" ht="15" hidden="false" customHeight="false" outlineLevel="0" collapsed="false">
      <c r="I4834" s="15" t="str">
        <f aca="false">IF(A4834="","",INT(A4834))</f>
        <v/>
      </c>
      <c r="J4834" s="16" t="str">
        <f aca="false">IF(B4834="","",IF(A4834=_xlfn.MINIFS($A$2:$A$5001,$B$2:$B$5001,B4834),1,0))</f>
        <v/>
      </c>
      <c r="K4834" s="16" t="str">
        <f aca="false">IF(B4834="","",IF(AND(D4834="Formalização",E4834="Concluído"),IF(COUNTIFS($B$2:$B$5001,B4834,$E$2:$E$5001,"Em ajustes",$A$2:$A$5001,"&lt;"&amp;I4834)&gt;0,1,0),0))</f>
        <v/>
      </c>
      <c r="L4834" s="16" t="str">
        <f aca="false">IF(B4834="","",IF(A4834=_xlfn.MAXIFS($A$2:$A$5001,$B$2:$B$5001,B4834,$I$2:$I$5001,I4834),1,0))</f>
        <v/>
      </c>
    </row>
    <row r="4835" customFormat="false" ht="15" hidden="false" customHeight="false" outlineLevel="0" collapsed="false">
      <c r="I4835" s="15" t="str">
        <f aca="false">IF(A4835="","",INT(A4835))</f>
        <v/>
      </c>
      <c r="J4835" s="16" t="str">
        <f aca="false">IF(B4835="","",IF(A4835=_xlfn.MINIFS($A$2:$A$5001,$B$2:$B$5001,B4835),1,0))</f>
        <v/>
      </c>
      <c r="K4835" s="16" t="str">
        <f aca="false">IF(B4835="","",IF(AND(D4835="Formalização",E4835="Concluído"),IF(COUNTIFS($B$2:$B$5001,B4835,$E$2:$E$5001,"Em ajustes",$A$2:$A$5001,"&lt;"&amp;I4835)&gt;0,1,0),0))</f>
        <v/>
      </c>
      <c r="L4835" s="16" t="str">
        <f aca="false">IF(B4835="","",IF(A4835=_xlfn.MAXIFS($A$2:$A$5001,$B$2:$B$5001,B4835,$I$2:$I$5001,I4835),1,0))</f>
        <v/>
      </c>
    </row>
    <row r="4836" customFormat="false" ht="15" hidden="false" customHeight="false" outlineLevel="0" collapsed="false">
      <c r="I4836" s="15" t="str">
        <f aca="false">IF(A4836="","",INT(A4836))</f>
        <v/>
      </c>
      <c r="J4836" s="16" t="str">
        <f aca="false">IF(B4836="","",IF(A4836=_xlfn.MINIFS($A$2:$A$5001,$B$2:$B$5001,B4836),1,0))</f>
        <v/>
      </c>
      <c r="K4836" s="16" t="str">
        <f aca="false">IF(B4836="","",IF(AND(D4836="Formalização",E4836="Concluído"),IF(COUNTIFS($B$2:$B$5001,B4836,$E$2:$E$5001,"Em ajustes",$A$2:$A$5001,"&lt;"&amp;I4836)&gt;0,1,0),0))</f>
        <v/>
      </c>
      <c r="L4836" s="16" t="str">
        <f aca="false">IF(B4836="","",IF(A4836=_xlfn.MAXIFS($A$2:$A$5001,$B$2:$B$5001,B4836,$I$2:$I$5001,I4836),1,0))</f>
        <v/>
      </c>
    </row>
    <row r="4837" customFormat="false" ht="15" hidden="false" customHeight="false" outlineLevel="0" collapsed="false">
      <c r="I4837" s="15" t="str">
        <f aca="false">IF(A4837="","",INT(A4837))</f>
        <v/>
      </c>
      <c r="J4837" s="16" t="str">
        <f aca="false">IF(B4837="","",IF(A4837=_xlfn.MINIFS($A$2:$A$5001,$B$2:$B$5001,B4837),1,0))</f>
        <v/>
      </c>
      <c r="K4837" s="16" t="str">
        <f aca="false">IF(B4837="","",IF(AND(D4837="Formalização",E4837="Concluído"),IF(COUNTIFS($B$2:$B$5001,B4837,$E$2:$E$5001,"Em ajustes",$A$2:$A$5001,"&lt;"&amp;I4837)&gt;0,1,0),0))</f>
        <v/>
      </c>
      <c r="L4837" s="16" t="str">
        <f aca="false">IF(B4837="","",IF(A4837=_xlfn.MAXIFS($A$2:$A$5001,$B$2:$B$5001,B4837,$I$2:$I$5001,I4837),1,0))</f>
        <v/>
      </c>
    </row>
    <row r="4838" customFormat="false" ht="15" hidden="false" customHeight="false" outlineLevel="0" collapsed="false">
      <c r="I4838" s="15" t="str">
        <f aca="false">IF(A4838="","",INT(A4838))</f>
        <v/>
      </c>
      <c r="J4838" s="16" t="str">
        <f aca="false">IF(B4838="","",IF(A4838=_xlfn.MINIFS($A$2:$A$5001,$B$2:$B$5001,B4838),1,0))</f>
        <v/>
      </c>
      <c r="K4838" s="16" t="str">
        <f aca="false">IF(B4838="","",IF(AND(D4838="Formalização",E4838="Concluído"),IF(COUNTIFS($B$2:$B$5001,B4838,$E$2:$E$5001,"Em ajustes",$A$2:$A$5001,"&lt;"&amp;I4838)&gt;0,1,0),0))</f>
        <v/>
      </c>
      <c r="L4838" s="16" t="str">
        <f aca="false">IF(B4838="","",IF(A4838=_xlfn.MAXIFS($A$2:$A$5001,$B$2:$B$5001,B4838,$I$2:$I$5001,I4838),1,0))</f>
        <v/>
      </c>
    </row>
    <row r="4839" customFormat="false" ht="15" hidden="false" customHeight="false" outlineLevel="0" collapsed="false">
      <c r="I4839" s="15" t="str">
        <f aca="false">IF(A4839="","",INT(A4839))</f>
        <v/>
      </c>
      <c r="J4839" s="16" t="str">
        <f aca="false">IF(B4839="","",IF(A4839=_xlfn.MINIFS($A$2:$A$5001,$B$2:$B$5001,B4839),1,0))</f>
        <v/>
      </c>
      <c r="K4839" s="16" t="str">
        <f aca="false">IF(B4839="","",IF(AND(D4839="Formalização",E4839="Concluído"),IF(COUNTIFS($B$2:$B$5001,B4839,$E$2:$E$5001,"Em ajustes",$A$2:$A$5001,"&lt;"&amp;I4839)&gt;0,1,0),0))</f>
        <v/>
      </c>
      <c r="L4839" s="16" t="str">
        <f aca="false">IF(B4839="","",IF(A4839=_xlfn.MAXIFS($A$2:$A$5001,$B$2:$B$5001,B4839,$I$2:$I$5001,I4839),1,0))</f>
        <v/>
      </c>
    </row>
    <row r="4840" customFormat="false" ht="15" hidden="false" customHeight="false" outlineLevel="0" collapsed="false">
      <c r="I4840" s="15" t="str">
        <f aca="false">IF(A4840="","",INT(A4840))</f>
        <v/>
      </c>
      <c r="J4840" s="16" t="str">
        <f aca="false">IF(B4840="","",IF(A4840=_xlfn.MINIFS($A$2:$A$5001,$B$2:$B$5001,B4840),1,0))</f>
        <v/>
      </c>
      <c r="K4840" s="16" t="str">
        <f aca="false">IF(B4840="","",IF(AND(D4840="Formalização",E4840="Concluído"),IF(COUNTIFS($B$2:$B$5001,B4840,$E$2:$E$5001,"Em ajustes",$A$2:$A$5001,"&lt;"&amp;I4840)&gt;0,1,0),0))</f>
        <v/>
      </c>
      <c r="L4840" s="16" t="str">
        <f aca="false">IF(B4840="","",IF(A4840=_xlfn.MAXIFS($A$2:$A$5001,$B$2:$B$5001,B4840,$I$2:$I$5001,I4840),1,0))</f>
        <v/>
      </c>
    </row>
    <row r="4841" customFormat="false" ht="15" hidden="false" customHeight="false" outlineLevel="0" collapsed="false">
      <c r="I4841" s="15" t="str">
        <f aca="false">IF(A4841="","",INT(A4841))</f>
        <v/>
      </c>
      <c r="J4841" s="16" t="str">
        <f aca="false">IF(B4841="","",IF(A4841=_xlfn.MINIFS($A$2:$A$5001,$B$2:$B$5001,B4841),1,0))</f>
        <v/>
      </c>
      <c r="K4841" s="16" t="str">
        <f aca="false">IF(B4841="","",IF(AND(D4841="Formalização",E4841="Concluído"),IF(COUNTIFS($B$2:$B$5001,B4841,$E$2:$E$5001,"Em ajustes",$A$2:$A$5001,"&lt;"&amp;I4841)&gt;0,1,0),0))</f>
        <v/>
      </c>
      <c r="L4841" s="16" t="str">
        <f aca="false">IF(B4841="","",IF(A4841=_xlfn.MAXIFS($A$2:$A$5001,$B$2:$B$5001,B4841,$I$2:$I$5001,I4841),1,0))</f>
        <v/>
      </c>
    </row>
    <row r="4842" customFormat="false" ht="15" hidden="false" customHeight="false" outlineLevel="0" collapsed="false">
      <c r="I4842" s="15" t="str">
        <f aca="false">IF(A4842="","",INT(A4842))</f>
        <v/>
      </c>
      <c r="J4842" s="16" t="str">
        <f aca="false">IF(B4842="","",IF(A4842=_xlfn.MINIFS($A$2:$A$5001,$B$2:$B$5001,B4842),1,0))</f>
        <v/>
      </c>
      <c r="K4842" s="16" t="str">
        <f aca="false">IF(B4842="","",IF(AND(D4842="Formalização",E4842="Concluído"),IF(COUNTIFS($B$2:$B$5001,B4842,$E$2:$E$5001,"Em ajustes",$A$2:$A$5001,"&lt;"&amp;I4842)&gt;0,1,0),0))</f>
        <v/>
      </c>
      <c r="L4842" s="16" t="str">
        <f aca="false">IF(B4842="","",IF(A4842=_xlfn.MAXIFS($A$2:$A$5001,$B$2:$B$5001,B4842,$I$2:$I$5001,I4842),1,0))</f>
        <v/>
      </c>
    </row>
    <row r="4843" customFormat="false" ht="15" hidden="false" customHeight="false" outlineLevel="0" collapsed="false">
      <c r="I4843" s="15" t="str">
        <f aca="false">IF(A4843="","",INT(A4843))</f>
        <v/>
      </c>
      <c r="J4843" s="16" t="str">
        <f aca="false">IF(B4843="","",IF(A4843=_xlfn.MINIFS($A$2:$A$5001,$B$2:$B$5001,B4843),1,0))</f>
        <v/>
      </c>
      <c r="K4843" s="16" t="str">
        <f aca="false">IF(B4843="","",IF(AND(D4843="Formalização",E4843="Concluído"),IF(COUNTIFS($B$2:$B$5001,B4843,$E$2:$E$5001,"Em ajustes",$A$2:$A$5001,"&lt;"&amp;I4843)&gt;0,1,0),0))</f>
        <v/>
      </c>
      <c r="L4843" s="16" t="str">
        <f aca="false">IF(B4843="","",IF(A4843=_xlfn.MAXIFS($A$2:$A$5001,$B$2:$B$5001,B4843,$I$2:$I$5001,I4843),1,0))</f>
        <v/>
      </c>
    </row>
    <row r="4844" customFormat="false" ht="15" hidden="false" customHeight="false" outlineLevel="0" collapsed="false">
      <c r="I4844" s="15" t="str">
        <f aca="false">IF(A4844="","",INT(A4844))</f>
        <v/>
      </c>
      <c r="J4844" s="16" t="str">
        <f aca="false">IF(B4844="","",IF(A4844=_xlfn.MINIFS($A$2:$A$5001,$B$2:$B$5001,B4844),1,0))</f>
        <v/>
      </c>
      <c r="K4844" s="16" t="str">
        <f aca="false">IF(B4844="","",IF(AND(D4844="Formalização",E4844="Concluído"),IF(COUNTIFS($B$2:$B$5001,B4844,$E$2:$E$5001,"Em ajustes",$A$2:$A$5001,"&lt;"&amp;I4844)&gt;0,1,0),0))</f>
        <v/>
      </c>
      <c r="L4844" s="16" t="str">
        <f aca="false">IF(B4844="","",IF(A4844=_xlfn.MAXIFS($A$2:$A$5001,$B$2:$B$5001,B4844,$I$2:$I$5001,I4844),1,0))</f>
        <v/>
      </c>
    </row>
    <row r="4845" customFormat="false" ht="15" hidden="false" customHeight="false" outlineLevel="0" collapsed="false">
      <c r="I4845" s="15" t="str">
        <f aca="false">IF(A4845="","",INT(A4845))</f>
        <v/>
      </c>
      <c r="J4845" s="16" t="str">
        <f aca="false">IF(B4845="","",IF(A4845=_xlfn.MINIFS($A$2:$A$5001,$B$2:$B$5001,B4845),1,0))</f>
        <v/>
      </c>
      <c r="K4845" s="16" t="str">
        <f aca="false">IF(B4845="","",IF(AND(D4845="Formalização",E4845="Concluído"),IF(COUNTIFS($B$2:$B$5001,B4845,$E$2:$E$5001,"Em ajustes",$A$2:$A$5001,"&lt;"&amp;I4845)&gt;0,1,0),0))</f>
        <v/>
      </c>
      <c r="L4845" s="16" t="str">
        <f aca="false">IF(B4845="","",IF(A4845=_xlfn.MAXIFS($A$2:$A$5001,$B$2:$B$5001,B4845,$I$2:$I$5001,I4845),1,0))</f>
        <v/>
      </c>
    </row>
    <row r="4846" customFormat="false" ht="15" hidden="false" customHeight="false" outlineLevel="0" collapsed="false">
      <c r="I4846" s="15" t="str">
        <f aca="false">IF(A4846="","",INT(A4846))</f>
        <v/>
      </c>
      <c r="J4846" s="16" t="str">
        <f aca="false">IF(B4846="","",IF(A4846=_xlfn.MINIFS($A$2:$A$5001,$B$2:$B$5001,B4846),1,0))</f>
        <v/>
      </c>
      <c r="K4846" s="16" t="str">
        <f aca="false">IF(B4846="","",IF(AND(D4846="Formalização",E4846="Concluído"),IF(COUNTIFS($B$2:$B$5001,B4846,$E$2:$E$5001,"Em ajustes",$A$2:$A$5001,"&lt;"&amp;I4846)&gt;0,1,0),0))</f>
        <v/>
      </c>
      <c r="L4846" s="16" t="str">
        <f aca="false">IF(B4846="","",IF(A4846=_xlfn.MAXIFS($A$2:$A$5001,$B$2:$B$5001,B4846,$I$2:$I$5001,I4846),1,0))</f>
        <v/>
      </c>
    </row>
    <row r="4847" customFormat="false" ht="15" hidden="false" customHeight="false" outlineLevel="0" collapsed="false">
      <c r="I4847" s="15" t="str">
        <f aca="false">IF(A4847="","",INT(A4847))</f>
        <v/>
      </c>
      <c r="J4847" s="16" t="str">
        <f aca="false">IF(B4847="","",IF(A4847=_xlfn.MINIFS($A$2:$A$5001,$B$2:$B$5001,B4847),1,0))</f>
        <v/>
      </c>
      <c r="K4847" s="16" t="str">
        <f aca="false">IF(B4847="","",IF(AND(D4847="Formalização",E4847="Concluído"),IF(COUNTIFS($B$2:$B$5001,B4847,$E$2:$E$5001,"Em ajustes",$A$2:$A$5001,"&lt;"&amp;I4847)&gt;0,1,0),0))</f>
        <v/>
      </c>
      <c r="L4847" s="16" t="str">
        <f aca="false">IF(B4847="","",IF(A4847=_xlfn.MAXIFS($A$2:$A$5001,$B$2:$B$5001,B4847,$I$2:$I$5001,I4847),1,0))</f>
        <v/>
      </c>
    </row>
    <row r="4848" customFormat="false" ht="15" hidden="false" customHeight="false" outlineLevel="0" collapsed="false">
      <c r="I4848" s="15" t="str">
        <f aca="false">IF(A4848="","",INT(A4848))</f>
        <v/>
      </c>
      <c r="J4848" s="16" t="str">
        <f aca="false">IF(B4848="","",IF(A4848=_xlfn.MINIFS($A$2:$A$5001,$B$2:$B$5001,B4848),1,0))</f>
        <v/>
      </c>
      <c r="K4848" s="16" t="str">
        <f aca="false">IF(B4848="","",IF(AND(D4848="Formalização",E4848="Concluído"),IF(COUNTIFS($B$2:$B$5001,B4848,$E$2:$E$5001,"Em ajustes",$A$2:$A$5001,"&lt;"&amp;I4848)&gt;0,1,0),0))</f>
        <v/>
      </c>
      <c r="L4848" s="16" t="str">
        <f aca="false">IF(B4848="","",IF(A4848=_xlfn.MAXIFS($A$2:$A$5001,$B$2:$B$5001,B4848,$I$2:$I$5001,I4848),1,0))</f>
        <v/>
      </c>
    </row>
    <row r="4849" customFormat="false" ht="15" hidden="false" customHeight="false" outlineLevel="0" collapsed="false">
      <c r="I4849" s="15" t="str">
        <f aca="false">IF(A4849="","",INT(A4849))</f>
        <v/>
      </c>
      <c r="J4849" s="16" t="str">
        <f aca="false">IF(B4849="","",IF(A4849=_xlfn.MINIFS($A$2:$A$5001,$B$2:$B$5001,B4849),1,0))</f>
        <v/>
      </c>
      <c r="K4849" s="16" t="str">
        <f aca="false">IF(B4849="","",IF(AND(D4849="Formalização",E4849="Concluído"),IF(COUNTIFS($B$2:$B$5001,B4849,$E$2:$E$5001,"Em ajustes",$A$2:$A$5001,"&lt;"&amp;I4849)&gt;0,1,0),0))</f>
        <v/>
      </c>
      <c r="L4849" s="16" t="str">
        <f aca="false">IF(B4849="","",IF(A4849=_xlfn.MAXIFS($A$2:$A$5001,$B$2:$B$5001,B4849,$I$2:$I$5001,I4849),1,0))</f>
        <v/>
      </c>
    </row>
    <row r="4850" customFormat="false" ht="15" hidden="false" customHeight="false" outlineLevel="0" collapsed="false">
      <c r="I4850" s="15" t="str">
        <f aca="false">IF(A4850="","",INT(A4850))</f>
        <v/>
      </c>
      <c r="J4850" s="16" t="str">
        <f aca="false">IF(B4850="","",IF(A4850=_xlfn.MINIFS($A$2:$A$5001,$B$2:$B$5001,B4850),1,0))</f>
        <v/>
      </c>
      <c r="K4850" s="16" t="str">
        <f aca="false">IF(B4850="","",IF(AND(D4850="Formalização",E4850="Concluído"),IF(COUNTIFS($B$2:$B$5001,B4850,$E$2:$E$5001,"Em ajustes",$A$2:$A$5001,"&lt;"&amp;I4850)&gt;0,1,0),0))</f>
        <v/>
      </c>
      <c r="L4850" s="16" t="str">
        <f aca="false">IF(B4850="","",IF(A4850=_xlfn.MAXIFS($A$2:$A$5001,$B$2:$B$5001,B4850,$I$2:$I$5001,I4850),1,0))</f>
        <v/>
      </c>
    </row>
    <row r="4851" customFormat="false" ht="15" hidden="false" customHeight="false" outlineLevel="0" collapsed="false">
      <c r="I4851" s="15" t="str">
        <f aca="false">IF(A4851="","",INT(A4851))</f>
        <v/>
      </c>
      <c r="J4851" s="16" t="str">
        <f aca="false">IF(B4851="","",IF(A4851=_xlfn.MINIFS($A$2:$A$5001,$B$2:$B$5001,B4851),1,0))</f>
        <v/>
      </c>
      <c r="K4851" s="16" t="str">
        <f aca="false">IF(B4851="","",IF(AND(D4851="Formalização",E4851="Concluído"),IF(COUNTIFS($B$2:$B$5001,B4851,$E$2:$E$5001,"Em ajustes",$A$2:$A$5001,"&lt;"&amp;I4851)&gt;0,1,0),0))</f>
        <v/>
      </c>
      <c r="L4851" s="16" t="str">
        <f aca="false">IF(B4851="","",IF(A4851=_xlfn.MAXIFS($A$2:$A$5001,$B$2:$B$5001,B4851,$I$2:$I$5001,I4851),1,0))</f>
        <v/>
      </c>
    </row>
    <row r="4852" customFormat="false" ht="15" hidden="false" customHeight="false" outlineLevel="0" collapsed="false">
      <c r="I4852" s="15" t="str">
        <f aca="false">IF(A4852="","",INT(A4852))</f>
        <v/>
      </c>
      <c r="J4852" s="16" t="str">
        <f aca="false">IF(B4852="","",IF(A4852=_xlfn.MINIFS($A$2:$A$5001,$B$2:$B$5001,B4852),1,0))</f>
        <v/>
      </c>
      <c r="K4852" s="16" t="str">
        <f aca="false">IF(B4852="","",IF(AND(D4852="Formalização",E4852="Concluído"),IF(COUNTIFS($B$2:$B$5001,B4852,$E$2:$E$5001,"Em ajustes",$A$2:$A$5001,"&lt;"&amp;I4852)&gt;0,1,0),0))</f>
        <v/>
      </c>
      <c r="L4852" s="16" t="str">
        <f aca="false">IF(B4852="","",IF(A4852=_xlfn.MAXIFS($A$2:$A$5001,$B$2:$B$5001,B4852,$I$2:$I$5001,I4852),1,0))</f>
        <v/>
      </c>
    </row>
    <row r="4853" customFormat="false" ht="15" hidden="false" customHeight="false" outlineLevel="0" collapsed="false">
      <c r="I4853" s="15" t="str">
        <f aca="false">IF(A4853="","",INT(A4853))</f>
        <v/>
      </c>
      <c r="J4853" s="16" t="str">
        <f aca="false">IF(B4853="","",IF(A4853=_xlfn.MINIFS($A$2:$A$5001,$B$2:$B$5001,B4853),1,0))</f>
        <v/>
      </c>
      <c r="K4853" s="16" t="str">
        <f aca="false">IF(B4853="","",IF(AND(D4853="Formalização",E4853="Concluído"),IF(COUNTIFS($B$2:$B$5001,B4853,$E$2:$E$5001,"Em ajustes",$A$2:$A$5001,"&lt;"&amp;I4853)&gt;0,1,0),0))</f>
        <v/>
      </c>
      <c r="L4853" s="16" t="str">
        <f aca="false">IF(B4853="","",IF(A4853=_xlfn.MAXIFS($A$2:$A$5001,$B$2:$B$5001,B4853,$I$2:$I$5001,I4853),1,0))</f>
        <v/>
      </c>
    </row>
    <row r="4854" customFormat="false" ht="15" hidden="false" customHeight="false" outlineLevel="0" collapsed="false">
      <c r="I4854" s="15" t="str">
        <f aca="false">IF(A4854="","",INT(A4854))</f>
        <v/>
      </c>
      <c r="J4854" s="16" t="str">
        <f aca="false">IF(B4854="","",IF(A4854=_xlfn.MINIFS($A$2:$A$5001,$B$2:$B$5001,B4854),1,0))</f>
        <v/>
      </c>
      <c r="K4854" s="16" t="str">
        <f aca="false">IF(B4854="","",IF(AND(D4854="Formalização",E4854="Concluído"),IF(COUNTIFS($B$2:$B$5001,B4854,$E$2:$E$5001,"Em ajustes",$A$2:$A$5001,"&lt;"&amp;I4854)&gt;0,1,0),0))</f>
        <v/>
      </c>
      <c r="L4854" s="16" t="str">
        <f aca="false">IF(B4854="","",IF(A4854=_xlfn.MAXIFS($A$2:$A$5001,$B$2:$B$5001,B4854,$I$2:$I$5001,I4854),1,0))</f>
        <v/>
      </c>
    </row>
    <row r="4855" customFormat="false" ht="15" hidden="false" customHeight="false" outlineLevel="0" collapsed="false">
      <c r="I4855" s="15" t="str">
        <f aca="false">IF(A4855="","",INT(A4855))</f>
        <v/>
      </c>
      <c r="J4855" s="16" t="str">
        <f aca="false">IF(B4855="","",IF(A4855=_xlfn.MINIFS($A$2:$A$5001,$B$2:$B$5001,B4855),1,0))</f>
        <v/>
      </c>
      <c r="K4855" s="16" t="str">
        <f aca="false">IF(B4855="","",IF(AND(D4855="Formalização",E4855="Concluído"),IF(COUNTIFS($B$2:$B$5001,B4855,$E$2:$E$5001,"Em ajustes",$A$2:$A$5001,"&lt;"&amp;I4855)&gt;0,1,0),0))</f>
        <v/>
      </c>
      <c r="L4855" s="16" t="str">
        <f aca="false">IF(B4855="","",IF(A4855=_xlfn.MAXIFS($A$2:$A$5001,$B$2:$B$5001,B4855,$I$2:$I$5001,I4855),1,0))</f>
        <v/>
      </c>
    </row>
    <row r="4856" customFormat="false" ht="15" hidden="false" customHeight="false" outlineLevel="0" collapsed="false">
      <c r="I4856" s="15" t="str">
        <f aca="false">IF(A4856="","",INT(A4856))</f>
        <v/>
      </c>
      <c r="J4856" s="16" t="str">
        <f aca="false">IF(B4856="","",IF(A4856=_xlfn.MINIFS($A$2:$A$5001,$B$2:$B$5001,B4856),1,0))</f>
        <v/>
      </c>
      <c r="K4856" s="16" t="str">
        <f aca="false">IF(B4856="","",IF(AND(D4856="Formalização",E4856="Concluído"),IF(COUNTIFS($B$2:$B$5001,B4856,$E$2:$E$5001,"Em ajustes",$A$2:$A$5001,"&lt;"&amp;I4856)&gt;0,1,0),0))</f>
        <v/>
      </c>
      <c r="L4856" s="16" t="str">
        <f aca="false">IF(B4856="","",IF(A4856=_xlfn.MAXIFS($A$2:$A$5001,$B$2:$B$5001,B4856,$I$2:$I$5001,I4856),1,0))</f>
        <v/>
      </c>
    </row>
    <row r="4857" customFormat="false" ht="15" hidden="false" customHeight="false" outlineLevel="0" collapsed="false">
      <c r="I4857" s="15" t="str">
        <f aca="false">IF(A4857="","",INT(A4857))</f>
        <v/>
      </c>
      <c r="J4857" s="16" t="str">
        <f aca="false">IF(B4857="","",IF(A4857=_xlfn.MINIFS($A$2:$A$5001,$B$2:$B$5001,B4857),1,0))</f>
        <v/>
      </c>
      <c r="K4857" s="16" t="str">
        <f aca="false">IF(B4857="","",IF(AND(D4857="Formalização",E4857="Concluído"),IF(COUNTIFS($B$2:$B$5001,B4857,$E$2:$E$5001,"Em ajustes",$A$2:$A$5001,"&lt;"&amp;I4857)&gt;0,1,0),0))</f>
        <v/>
      </c>
      <c r="L4857" s="16" t="str">
        <f aca="false">IF(B4857="","",IF(A4857=_xlfn.MAXIFS($A$2:$A$5001,$B$2:$B$5001,B4857,$I$2:$I$5001,I4857),1,0))</f>
        <v/>
      </c>
    </row>
    <row r="4858" customFormat="false" ht="15" hidden="false" customHeight="false" outlineLevel="0" collapsed="false">
      <c r="I4858" s="15" t="str">
        <f aca="false">IF(A4858="","",INT(A4858))</f>
        <v/>
      </c>
      <c r="J4858" s="16" t="str">
        <f aca="false">IF(B4858="","",IF(A4858=_xlfn.MINIFS($A$2:$A$5001,$B$2:$B$5001,B4858),1,0))</f>
        <v/>
      </c>
      <c r="K4858" s="16" t="str">
        <f aca="false">IF(B4858="","",IF(AND(D4858="Formalização",E4858="Concluído"),IF(COUNTIFS($B$2:$B$5001,B4858,$E$2:$E$5001,"Em ajustes",$A$2:$A$5001,"&lt;"&amp;I4858)&gt;0,1,0),0))</f>
        <v/>
      </c>
      <c r="L4858" s="16" t="str">
        <f aca="false">IF(B4858="","",IF(A4858=_xlfn.MAXIFS($A$2:$A$5001,$B$2:$B$5001,B4858,$I$2:$I$5001,I4858),1,0))</f>
        <v/>
      </c>
    </row>
    <row r="4859" customFormat="false" ht="15" hidden="false" customHeight="false" outlineLevel="0" collapsed="false">
      <c r="I4859" s="15" t="str">
        <f aca="false">IF(A4859="","",INT(A4859))</f>
        <v/>
      </c>
      <c r="J4859" s="16" t="str">
        <f aca="false">IF(B4859="","",IF(A4859=_xlfn.MINIFS($A$2:$A$5001,$B$2:$B$5001,B4859),1,0))</f>
        <v/>
      </c>
      <c r="K4859" s="16" t="str">
        <f aca="false">IF(B4859="","",IF(AND(D4859="Formalização",E4859="Concluído"),IF(COUNTIFS($B$2:$B$5001,B4859,$E$2:$E$5001,"Em ajustes",$A$2:$A$5001,"&lt;"&amp;I4859)&gt;0,1,0),0))</f>
        <v/>
      </c>
      <c r="L4859" s="16" t="str">
        <f aca="false">IF(B4859="","",IF(A4859=_xlfn.MAXIFS($A$2:$A$5001,$B$2:$B$5001,B4859,$I$2:$I$5001,I4859),1,0))</f>
        <v/>
      </c>
    </row>
    <row r="4860" customFormat="false" ht="15" hidden="false" customHeight="false" outlineLevel="0" collapsed="false">
      <c r="I4860" s="15" t="str">
        <f aca="false">IF(A4860="","",INT(A4860))</f>
        <v/>
      </c>
      <c r="J4860" s="16" t="str">
        <f aca="false">IF(B4860="","",IF(A4860=_xlfn.MINIFS($A$2:$A$5001,$B$2:$B$5001,B4860),1,0))</f>
        <v/>
      </c>
      <c r="K4860" s="16" t="str">
        <f aca="false">IF(B4860="","",IF(AND(D4860="Formalização",E4860="Concluído"),IF(COUNTIFS($B$2:$B$5001,B4860,$E$2:$E$5001,"Em ajustes",$A$2:$A$5001,"&lt;"&amp;I4860)&gt;0,1,0),0))</f>
        <v/>
      </c>
      <c r="L4860" s="16" t="str">
        <f aca="false">IF(B4860="","",IF(A4860=_xlfn.MAXIFS($A$2:$A$5001,$B$2:$B$5001,B4860,$I$2:$I$5001,I4860),1,0))</f>
        <v/>
      </c>
    </row>
    <row r="4861" customFormat="false" ht="15" hidden="false" customHeight="false" outlineLevel="0" collapsed="false">
      <c r="I4861" s="15" t="str">
        <f aca="false">IF(A4861="","",INT(A4861))</f>
        <v/>
      </c>
      <c r="J4861" s="16" t="str">
        <f aca="false">IF(B4861="","",IF(A4861=_xlfn.MINIFS($A$2:$A$5001,$B$2:$B$5001,B4861),1,0))</f>
        <v/>
      </c>
      <c r="K4861" s="16" t="str">
        <f aca="false">IF(B4861="","",IF(AND(D4861="Formalização",E4861="Concluído"),IF(COUNTIFS($B$2:$B$5001,B4861,$E$2:$E$5001,"Em ajustes",$A$2:$A$5001,"&lt;"&amp;I4861)&gt;0,1,0),0))</f>
        <v/>
      </c>
      <c r="L4861" s="16" t="str">
        <f aca="false">IF(B4861="","",IF(A4861=_xlfn.MAXIFS($A$2:$A$5001,$B$2:$B$5001,B4861,$I$2:$I$5001,I4861),1,0))</f>
        <v/>
      </c>
    </row>
    <row r="4862" customFormat="false" ht="15" hidden="false" customHeight="false" outlineLevel="0" collapsed="false">
      <c r="I4862" s="15" t="str">
        <f aca="false">IF(A4862="","",INT(A4862))</f>
        <v/>
      </c>
      <c r="J4862" s="16" t="str">
        <f aca="false">IF(B4862="","",IF(A4862=_xlfn.MINIFS($A$2:$A$5001,$B$2:$B$5001,B4862),1,0))</f>
        <v/>
      </c>
      <c r="K4862" s="16" t="str">
        <f aca="false">IF(B4862="","",IF(AND(D4862="Formalização",E4862="Concluído"),IF(COUNTIFS($B$2:$B$5001,B4862,$E$2:$E$5001,"Em ajustes",$A$2:$A$5001,"&lt;"&amp;I4862)&gt;0,1,0),0))</f>
        <v/>
      </c>
      <c r="L4862" s="16" t="str">
        <f aca="false">IF(B4862="","",IF(A4862=_xlfn.MAXIFS($A$2:$A$5001,$B$2:$B$5001,B4862,$I$2:$I$5001,I4862),1,0))</f>
        <v/>
      </c>
    </row>
    <row r="4863" customFormat="false" ht="15" hidden="false" customHeight="false" outlineLevel="0" collapsed="false">
      <c r="I4863" s="15" t="str">
        <f aca="false">IF(A4863="","",INT(A4863))</f>
        <v/>
      </c>
      <c r="J4863" s="16" t="str">
        <f aca="false">IF(B4863="","",IF(A4863=_xlfn.MINIFS($A$2:$A$5001,$B$2:$B$5001,B4863),1,0))</f>
        <v/>
      </c>
      <c r="K4863" s="16" t="str">
        <f aca="false">IF(B4863="","",IF(AND(D4863="Formalização",E4863="Concluído"),IF(COUNTIFS($B$2:$B$5001,B4863,$E$2:$E$5001,"Em ajustes",$A$2:$A$5001,"&lt;"&amp;I4863)&gt;0,1,0),0))</f>
        <v/>
      </c>
      <c r="L4863" s="16" t="str">
        <f aca="false">IF(B4863="","",IF(A4863=_xlfn.MAXIFS($A$2:$A$5001,$B$2:$B$5001,B4863,$I$2:$I$5001,I4863),1,0))</f>
        <v/>
      </c>
    </row>
    <row r="4864" customFormat="false" ht="15" hidden="false" customHeight="false" outlineLevel="0" collapsed="false">
      <c r="I4864" s="15" t="str">
        <f aca="false">IF(A4864="","",INT(A4864))</f>
        <v/>
      </c>
      <c r="J4864" s="16" t="str">
        <f aca="false">IF(B4864="","",IF(A4864=_xlfn.MINIFS($A$2:$A$5001,$B$2:$B$5001,B4864),1,0))</f>
        <v/>
      </c>
      <c r="K4864" s="16" t="str">
        <f aca="false">IF(B4864="","",IF(AND(D4864="Formalização",E4864="Concluído"),IF(COUNTIFS($B$2:$B$5001,B4864,$E$2:$E$5001,"Em ajustes",$A$2:$A$5001,"&lt;"&amp;I4864)&gt;0,1,0),0))</f>
        <v/>
      </c>
      <c r="L4864" s="16" t="str">
        <f aca="false">IF(B4864="","",IF(A4864=_xlfn.MAXIFS($A$2:$A$5001,$B$2:$B$5001,B4864,$I$2:$I$5001,I4864),1,0))</f>
        <v/>
      </c>
    </row>
    <row r="4865" customFormat="false" ht="15" hidden="false" customHeight="false" outlineLevel="0" collapsed="false">
      <c r="I4865" s="15" t="str">
        <f aca="false">IF(A4865="","",INT(A4865))</f>
        <v/>
      </c>
      <c r="J4865" s="16" t="str">
        <f aca="false">IF(B4865="","",IF(A4865=_xlfn.MINIFS($A$2:$A$5001,$B$2:$B$5001,B4865),1,0))</f>
        <v/>
      </c>
      <c r="K4865" s="16" t="str">
        <f aca="false">IF(B4865="","",IF(AND(D4865="Formalização",E4865="Concluído"),IF(COUNTIFS($B$2:$B$5001,B4865,$E$2:$E$5001,"Em ajustes",$A$2:$A$5001,"&lt;"&amp;I4865)&gt;0,1,0),0))</f>
        <v/>
      </c>
      <c r="L4865" s="16" t="str">
        <f aca="false">IF(B4865="","",IF(A4865=_xlfn.MAXIFS($A$2:$A$5001,$B$2:$B$5001,B4865,$I$2:$I$5001,I4865),1,0))</f>
        <v/>
      </c>
    </row>
    <row r="4866" customFormat="false" ht="15" hidden="false" customHeight="false" outlineLevel="0" collapsed="false">
      <c r="I4866" s="15" t="str">
        <f aca="false">IF(A4866="","",INT(A4866))</f>
        <v/>
      </c>
      <c r="J4866" s="16" t="str">
        <f aca="false">IF(B4866="","",IF(A4866=_xlfn.MINIFS($A$2:$A$5001,$B$2:$B$5001,B4866),1,0))</f>
        <v/>
      </c>
      <c r="K4866" s="16" t="str">
        <f aca="false">IF(B4866="","",IF(AND(D4866="Formalização",E4866="Concluído"),IF(COUNTIFS($B$2:$B$5001,B4866,$E$2:$E$5001,"Em ajustes",$A$2:$A$5001,"&lt;"&amp;I4866)&gt;0,1,0),0))</f>
        <v/>
      </c>
      <c r="L4866" s="16" t="str">
        <f aca="false">IF(B4866="","",IF(A4866=_xlfn.MAXIFS($A$2:$A$5001,$B$2:$B$5001,B4866,$I$2:$I$5001,I4866),1,0))</f>
        <v/>
      </c>
    </row>
    <row r="4867" customFormat="false" ht="15" hidden="false" customHeight="false" outlineLevel="0" collapsed="false">
      <c r="I4867" s="15" t="str">
        <f aca="false">IF(A4867="","",INT(A4867))</f>
        <v/>
      </c>
      <c r="J4867" s="16" t="str">
        <f aca="false">IF(B4867="","",IF(A4867=_xlfn.MINIFS($A$2:$A$5001,$B$2:$B$5001,B4867),1,0))</f>
        <v/>
      </c>
      <c r="K4867" s="16" t="str">
        <f aca="false">IF(B4867="","",IF(AND(D4867="Formalização",E4867="Concluído"),IF(COUNTIFS($B$2:$B$5001,B4867,$E$2:$E$5001,"Em ajustes",$A$2:$A$5001,"&lt;"&amp;I4867)&gt;0,1,0),0))</f>
        <v/>
      </c>
      <c r="L4867" s="16" t="str">
        <f aca="false">IF(B4867="","",IF(A4867=_xlfn.MAXIFS($A$2:$A$5001,$B$2:$B$5001,B4867,$I$2:$I$5001,I4867),1,0))</f>
        <v/>
      </c>
    </row>
    <row r="4868" customFormat="false" ht="15" hidden="false" customHeight="false" outlineLevel="0" collapsed="false">
      <c r="I4868" s="15" t="str">
        <f aca="false">IF(A4868="","",INT(A4868))</f>
        <v/>
      </c>
      <c r="J4868" s="16" t="str">
        <f aca="false">IF(B4868="","",IF(A4868=_xlfn.MINIFS($A$2:$A$5001,$B$2:$B$5001,B4868),1,0))</f>
        <v/>
      </c>
      <c r="K4868" s="16" t="str">
        <f aca="false">IF(B4868="","",IF(AND(D4868="Formalização",E4868="Concluído"),IF(COUNTIFS($B$2:$B$5001,B4868,$E$2:$E$5001,"Em ajustes",$A$2:$A$5001,"&lt;"&amp;I4868)&gt;0,1,0),0))</f>
        <v/>
      </c>
      <c r="L4868" s="16" t="str">
        <f aca="false">IF(B4868="","",IF(A4868=_xlfn.MAXIFS($A$2:$A$5001,$B$2:$B$5001,B4868,$I$2:$I$5001,I4868),1,0))</f>
        <v/>
      </c>
    </row>
    <row r="4869" customFormat="false" ht="15" hidden="false" customHeight="false" outlineLevel="0" collapsed="false">
      <c r="I4869" s="15" t="str">
        <f aca="false">IF(A4869="","",INT(A4869))</f>
        <v/>
      </c>
      <c r="J4869" s="16" t="str">
        <f aca="false">IF(B4869="","",IF(A4869=_xlfn.MINIFS($A$2:$A$5001,$B$2:$B$5001,B4869),1,0))</f>
        <v/>
      </c>
      <c r="K4869" s="16" t="str">
        <f aca="false">IF(B4869="","",IF(AND(D4869="Formalização",E4869="Concluído"),IF(COUNTIFS($B$2:$B$5001,B4869,$E$2:$E$5001,"Em ajustes",$A$2:$A$5001,"&lt;"&amp;I4869)&gt;0,1,0),0))</f>
        <v/>
      </c>
      <c r="L4869" s="16" t="str">
        <f aca="false">IF(B4869="","",IF(A4869=_xlfn.MAXIFS($A$2:$A$5001,$B$2:$B$5001,B4869,$I$2:$I$5001,I4869),1,0))</f>
        <v/>
      </c>
    </row>
    <row r="4870" customFormat="false" ht="15" hidden="false" customHeight="false" outlineLevel="0" collapsed="false">
      <c r="I4870" s="15" t="str">
        <f aca="false">IF(A4870="","",INT(A4870))</f>
        <v/>
      </c>
      <c r="J4870" s="16" t="str">
        <f aca="false">IF(B4870="","",IF(A4870=_xlfn.MINIFS($A$2:$A$5001,$B$2:$B$5001,B4870),1,0))</f>
        <v/>
      </c>
      <c r="K4870" s="16" t="str">
        <f aca="false">IF(B4870="","",IF(AND(D4870="Formalização",E4870="Concluído"),IF(COUNTIFS($B$2:$B$5001,B4870,$E$2:$E$5001,"Em ajustes",$A$2:$A$5001,"&lt;"&amp;I4870)&gt;0,1,0),0))</f>
        <v/>
      </c>
      <c r="L4870" s="16" t="str">
        <f aca="false">IF(B4870="","",IF(A4870=_xlfn.MAXIFS($A$2:$A$5001,$B$2:$B$5001,B4870,$I$2:$I$5001,I4870),1,0))</f>
        <v/>
      </c>
    </row>
    <row r="4871" customFormat="false" ht="15" hidden="false" customHeight="false" outlineLevel="0" collapsed="false">
      <c r="I4871" s="15" t="str">
        <f aca="false">IF(A4871="","",INT(A4871))</f>
        <v/>
      </c>
      <c r="J4871" s="16" t="str">
        <f aca="false">IF(B4871="","",IF(A4871=_xlfn.MINIFS($A$2:$A$5001,$B$2:$B$5001,B4871),1,0))</f>
        <v/>
      </c>
      <c r="K4871" s="16" t="str">
        <f aca="false">IF(B4871="","",IF(AND(D4871="Formalização",E4871="Concluído"),IF(COUNTIFS($B$2:$B$5001,B4871,$E$2:$E$5001,"Em ajustes",$A$2:$A$5001,"&lt;"&amp;I4871)&gt;0,1,0),0))</f>
        <v/>
      </c>
      <c r="L4871" s="16" t="str">
        <f aca="false">IF(B4871="","",IF(A4871=_xlfn.MAXIFS($A$2:$A$5001,$B$2:$B$5001,B4871,$I$2:$I$5001,I4871),1,0))</f>
        <v/>
      </c>
    </row>
    <row r="4872" customFormat="false" ht="15" hidden="false" customHeight="false" outlineLevel="0" collapsed="false">
      <c r="I4872" s="15" t="str">
        <f aca="false">IF(A4872="","",INT(A4872))</f>
        <v/>
      </c>
      <c r="J4872" s="16" t="str">
        <f aca="false">IF(B4872="","",IF(A4872=_xlfn.MINIFS($A$2:$A$5001,$B$2:$B$5001,B4872),1,0))</f>
        <v/>
      </c>
      <c r="K4872" s="16" t="str">
        <f aca="false">IF(B4872="","",IF(AND(D4872="Formalização",E4872="Concluído"),IF(COUNTIFS($B$2:$B$5001,B4872,$E$2:$E$5001,"Em ajustes",$A$2:$A$5001,"&lt;"&amp;I4872)&gt;0,1,0),0))</f>
        <v/>
      </c>
      <c r="L4872" s="16" t="str">
        <f aca="false">IF(B4872="","",IF(A4872=_xlfn.MAXIFS($A$2:$A$5001,$B$2:$B$5001,B4872,$I$2:$I$5001,I4872),1,0))</f>
        <v/>
      </c>
    </row>
    <row r="4873" customFormat="false" ht="15" hidden="false" customHeight="false" outlineLevel="0" collapsed="false">
      <c r="I4873" s="15" t="str">
        <f aca="false">IF(A4873="","",INT(A4873))</f>
        <v/>
      </c>
      <c r="J4873" s="16" t="str">
        <f aca="false">IF(B4873="","",IF(A4873=_xlfn.MINIFS($A$2:$A$5001,$B$2:$B$5001,B4873),1,0))</f>
        <v/>
      </c>
      <c r="K4873" s="16" t="str">
        <f aca="false">IF(B4873="","",IF(AND(D4873="Formalização",E4873="Concluído"),IF(COUNTIFS($B$2:$B$5001,B4873,$E$2:$E$5001,"Em ajustes",$A$2:$A$5001,"&lt;"&amp;I4873)&gt;0,1,0),0))</f>
        <v/>
      </c>
      <c r="L4873" s="16" t="str">
        <f aca="false">IF(B4873="","",IF(A4873=_xlfn.MAXIFS($A$2:$A$5001,$B$2:$B$5001,B4873,$I$2:$I$5001,I4873),1,0))</f>
        <v/>
      </c>
    </row>
    <row r="4874" customFormat="false" ht="15" hidden="false" customHeight="false" outlineLevel="0" collapsed="false">
      <c r="I4874" s="15" t="str">
        <f aca="false">IF(A4874="","",INT(A4874))</f>
        <v/>
      </c>
      <c r="J4874" s="16" t="str">
        <f aca="false">IF(B4874="","",IF(A4874=_xlfn.MINIFS($A$2:$A$5001,$B$2:$B$5001,B4874),1,0))</f>
        <v/>
      </c>
      <c r="K4874" s="16" t="str">
        <f aca="false">IF(B4874="","",IF(AND(D4874="Formalização",E4874="Concluído"),IF(COUNTIFS($B$2:$B$5001,B4874,$E$2:$E$5001,"Em ajustes",$A$2:$A$5001,"&lt;"&amp;I4874)&gt;0,1,0),0))</f>
        <v/>
      </c>
      <c r="L4874" s="16" t="str">
        <f aca="false">IF(B4874="","",IF(A4874=_xlfn.MAXIFS($A$2:$A$5001,$B$2:$B$5001,B4874,$I$2:$I$5001,I4874),1,0))</f>
        <v/>
      </c>
    </row>
    <row r="4875" customFormat="false" ht="15" hidden="false" customHeight="false" outlineLevel="0" collapsed="false">
      <c r="I4875" s="15" t="str">
        <f aca="false">IF(A4875="","",INT(A4875))</f>
        <v/>
      </c>
      <c r="J4875" s="16" t="str">
        <f aca="false">IF(B4875="","",IF(A4875=_xlfn.MINIFS($A$2:$A$5001,$B$2:$B$5001,B4875),1,0))</f>
        <v/>
      </c>
      <c r="K4875" s="16" t="str">
        <f aca="false">IF(B4875="","",IF(AND(D4875="Formalização",E4875="Concluído"),IF(COUNTIFS($B$2:$B$5001,B4875,$E$2:$E$5001,"Em ajustes",$A$2:$A$5001,"&lt;"&amp;I4875)&gt;0,1,0),0))</f>
        <v/>
      </c>
      <c r="L4875" s="16" t="str">
        <f aca="false">IF(B4875="","",IF(A4875=_xlfn.MAXIFS($A$2:$A$5001,$B$2:$B$5001,B4875,$I$2:$I$5001,I4875),1,0))</f>
        <v/>
      </c>
    </row>
    <row r="4876" customFormat="false" ht="15" hidden="false" customHeight="false" outlineLevel="0" collapsed="false">
      <c r="I4876" s="15" t="str">
        <f aca="false">IF(A4876="","",INT(A4876))</f>
        <v/>
      </c>
      <c r="J4876" s="16" t="str">
        <f aca="false">IF(B4876="","",IF(A4876=_xlfn.MINIFS($A$2:$A$5001,$B$2:$B$5001,B4876),1,0))</f>
        <v/>
      </c>
      <c r="K4876" s="16" t="str">
        <f aca="false">IF(B4876="","",IF(AND(D4876="Formalização",E4876="Concluído"),IF(COUNTIFS($B$2:$B$5001,B4876,$E$2:$E$5001,"Em ajustes",$A$2:$A$5001,"&lt;"&amp;I4876)&gt;0,1,0),0))</f>
        <v/>
      </c>
      <c r="L4876" s="16" t="str">
        <f aca="false">IF(B4876="","",IF(A4876=_xlfn.MAXIFS($A$2:$A$5001,$B$2:$B$5001,B4876,$I$2:$I$5001,I4876),1,0))</f>
        <v/>
      </c>
    </row>
    <row r="4877" customFormat="false" ht="15" hidden="false" customHeight="false" outlineLevel="0" collapsed="false">
      <c r="I4877" s="15" t="str">
        <f aca="false">IF(A4877="","",INT(A4877))</f>
        <v/>
      </c>
      <c r="J4877" s="16" t="str">
        <f aca="false">IF(B4877="","",IF(A4877=_xlfn.MINIFS($A$2:$A$5001,$B$2:$B$5001,B4877),1,0))</f>
        <v/>
      </c>
      <c r="K4877" s="16" t="str">
        <f aca="false">IF(B4877="","",IF(AND(D4877="Formalização",E4877="Concluído"),IF(COUNTIFS($B$2:$B$5001,B4877,$E$2:$E$5001,"Em ajustes",$A$2:$A$5001,"&lt;"&amp;I4877)&gt;0,1,0),0))</f>
        <v/>
      </c>
      <c r="L4877" s="16" t="str">
        <f aca="false">IF(B4877="","",IF(A4877=_xlfn.MAXIFS($A$2:$A$5001,$B$2:$B$5001,B4877,$I$2:$I$5001,I4877),1,0))</f>
        <v/>
      </c>
    </row>
    <row r="4878" customFormat="false" ht="15" hidden="false" customHeight="false" outlineLevel="0" collapsed="false">
      <c r="I4878" s="15" t="str">
        <f aca="false">IF(A4878="","",INT(A4878))</f>
        <v/>
      </c>
      <c r="J4878" s="16" t="str">
        <f aca="false">IF(B4878="","",IF(A4878=_xlfn.MINIFS($A$2:$A$5001,$B$2:$B$5001,B4878),1,0))</f>
        <v/>
      </c>
      <c r="K4878" s="16" t="str">
        <f aca="false">IF(B4878="","",IF(AND(D4878="Formalização",E4878="Concluído"),IF(COUNTIFS($B$2:$B$5001,B4878,$E$2:$E$5001,"Em ajustes",$A$2:$A$5001,"&lt;"&amp;I4878)&gt;0,1,0),0))</f>
        <v/>
      </c>
      <c r="L4878" s="16" t="str">
        <f aca="false">IF(B4878="","",IF(A4878=_xlfn.MAXIFS($A$2:$A$5001,$B$2:$B$5001,B4878,$I$2:$I$5001,I4878),1,0))</f>
        <v/>
      </c>
    </row>
    <row r="4879" customFormat="false" ht="15" hidden="false" customHeight="false" outlineLevel="0" collapsed="false">
      <c r="I4879" s="15" t="str">
        <f aca="false">IF(A4879="","",INT(A4879))</f>
        <v/>
      </c>
      <c r="J4879" s="16" t="str">
        <f aca="false">IF(B4879="","",IF(A4879=_xlfn.MINIFS($A$2:$A$5001,$B$2:$B$5001,B4879),1,0))</f>
        <v/>
      </c>
      <c r="K4879" s="16" t="str">
        <f aca="false">IF(B4879="","",IF(AND(D4879="Formalização",E4879="Concluído"),IF(COUNTIFS($B$2:$B$5001,B4879,$E$2:$E$5001,"Em ajustes",$A$2:$A$5001,"&lt;"&amp;I4879)&gt;0,1,0),0))</f>
        <v/>
      </c>
      <c r="L4879" s="16" t="str">
        <f aca="false">IF(B4879="","",IF(A4879=_xlfn.MAXIFS($A$2:$A$5001,$B$2:$B$5001,B4879,$I$2:$I$5001,I4879),1,0))</f>
        <v/>
      </c>
    </row>
    <row r="4880" customFormat="false" ht="15" hidden="false" customHeight="false" outlineLevel="0" collapsed="false">
      <c r="I4880" s="15" t="str">
        <f aca="false">IF(A4880="","",INT(A4880))</f>
        <v/>
      </c>
      <c r="J4880" s="16" t="str">
        <f aca="false">IF(B4880="","",IF(A4880=_xlfn.MINIFS($A$2:$A$5001,$B$2:$B$5001,B4880),1,0))</f>
        <v/>
      </c>
      <c r="K4880" s="16" t="str">
        <f aca="false">IF(B4880="","",IF(AND(D4880="Formalização",E4880="Concluído"),IF(COUNTIFS($B$2:$B$5001,B4880,$E$2:$E$5001,"Em ajustes",$A$2:$A$5001,"&lt;"&amp;I4880)&gt;0,1,0),0))</f>
        <v/>
      </c>
      <c r="L4880" s="16" t="str">
        <f aca="false">IF(B4880="","",IF(A4880=_xlfn.MAXIFS($A$2:$A$5001,$B$2:$B$5001,B4880,$I$2:$I$5001,I4880),1,0))</f>
        <v/>
      </c>
    </row>
    <row r="4881" customFormat="false" ht="15" hidden="false" customHeight="false" outlineLevel="0" collapsed="false">
      <c r="I4881" s="15" t="str">
        <f aca="false">IF(A4881="","",INT(A4881))</f>
        <v/>
      </c>
      <c r="J4881" s="16" t="str">
        <f aca="false">IF(B4881="","",IF(A4881=_xlfn.MINIFS($A$2:$A$5001,$B$2:$B$5001,B4881),1,0))</f>
        <v/>
      </c>
      <c r="K4881" s="16" t="str">
        <f aca="false">IF(B4881="","",IF(AND(D4881="Formalização",E4881="Concluído"),IF(COUNTIFS($B$2:$B$5001,B4881,$E$2:$E$5001,"Em ajustes",$A$2:$A$5001,"&lt;"&amp;I4881)&gt;0,1,0),0))</f>
        <v/>
      </c>
      <c r="L4881" s="16" t="str">
        <f aca="false">IF(B4881="","",IF(A4881=_xlfn.MAXIFS($A$2:$A$5001,$B$2:$B$5001,B4881,$I$2:$I$5001,I4881),1,0))</f>
        <v/>
      </c>
    </row>
    <row r="4882" customFormat="false" ht="15" hidden="false" customHeight="false" outlineLevel="0" collapsed="false">
      <c r="I4882" s="15" t="str">
        <f aca="false">IF(A4882="","",INT(A4882))</f>
        <v/>
      </c>
      <c r="J4882" s="16" t="str">
        <f aca="false">IF(B4882="","",IF(A4882=_xlfn.MINIFS($A$2:$A$5001,$B$2:$B$5001,B4882),1,0))</f>
        <v/>
      </c>
      <c r="K4882" s="16" t="str">
        <f aca="false">IF(B4882="","",IF(AND(D4882="Formalização",E4882="Concluído"),IF(COUNTIFS($B$2:$B$5001,B4882,$E$2:$E$5001,"Em ajustes",$A$2:$A$5001,"&lt;"&amp;I4882)&gt;0,1,0),0))</f>
        <v/>
      </c>
      <c r="L4882" s="16" t="str">
        <f aca="false">IF(B4882="","",IF(A4882=_xlfn.MAXIFS($A$2:$A$5001,$B$2:$B$5001,B4882,$I$2:$I$5001,I4882),1,0))</f>
        <v/>
      </c>
    </row>
    <row r="4883" customFormat="false" ht="15" hidden="false" customHeight="false" outlineLevel="0" collapsed="false">
      <c r="I4883" s="15" t="str">
        <f aca="false">IF(A4883="","",INT(A4883))</f>
        <v/>
      </c>
      <c r="J4883" s="16" t="str">
        <f aca="false">IF(B4883="","",IF(A4883=_xlfn.MINIFS($A$2:$A$5001,$B$2:$B$5001,B4883),1,0))</f>
        <v/>
      </c>
      <c r="K4883" s="16" t="str">
        <f aca="false">IF(B4883="","",IF(AND(D4883="Formalização",E4883="Concluído"),IF(COUNTIFS($B$2:$B$5001,B4883,$E$2:$E$5001,"Em ajustes",$A$2:$A$5001,"&lt;"&amp;I4883)&gt;0,1,0),0))</f>
        <v/>
      </c>
      <c r="L4883" s="16" t="str">
        <f aca="false">IF(B4883="","",IF(A4883=_xlfn.MAXIFS($A$2:$A$5001,$B$2:$B$5001,B4883,$I$2:$I$5001,I4883),1,0))</f>
        <v/>
      </c>
    </row>
    <row r="4884" customFormat="false" ht="15" hidden="false" customHeight="false" outlineLevel="0" collapsed="false">
      <c r="I4884" s="15" t="str">
        <f aca="false">IF(A4884="","",INT(A4884))</f>
        <v/>
      </c>
      <c r="J4884" s="16" t="str">
        <f aca="false">IF(B4884="","",IF(A4884=_xlfn.MINIFS($A$2:$A$5001,$B$2:$B$5001,B4884),1,0))</f>
        <v/>
      </c>
      <c r="K4884" s="16" t="str">
        <f aca="false">IF(B4884="","",IF(AND(D4884="Formalização",E4884="Concluído"),IF(COUNTIFS($B$2:$B$5001,B4884,$E$2:$E$5001,"Em ajustes",$A$2:$A$5001,"&lt;"&amp;I4884)&gt;0,1,0),0))</f>
        <v/>
      </c>
      <c r="L4884" s="16" t="str">
        <f aca="false">IF(B4884="","",IF(A4884=_xlfn.MAXIFS($A$2:$A$5001,$B$2:$B$5001,B4884,$I$2:$I$5001,I4884),1,0))</f>
        <v/>
      </c>
    </row>
    <row r="4885" customFormat="false" ht="15" hidden="false" customHeight="false" outlineLevel="0" collapsed="false">
      <c r="I4885" s="15" t="str">
        <f aca="false">IF(A4885="","",INT(A4885))</f>
        <v/>
      </c>
      <c r="J4885" s="16" t="str">
        <f aca="false">IF(B4885="","",IF(A4885=_xlfn.MINIFS($A$2:$A$5001,$B$2:$B$5001,B4885),1,0))</f>
        <v/>
      </c>
      <c r="K4885" s="16" t="str">
        <f aca="false">IF(B4885="","",IF(AND(D4885="Formalização",E4885="Concluído"),IF(COUNTIFS($B$2:$B$5001,B4885,$E$2:$E$5001,"Em ajustes",$A$2:$A$5001,"&lt;"&amp;I4885)&gt;0,1,0),0))</f>
        <v/>
      </c>
      <c r="L4885" s="16" t="str">
        <f aca="false">IF(B4885="","",IF(A4885=_xlfn.MAXIFS($A$2:$A$5001,$B$2:$B$5001,B4885,$I$2:$I$5001,I4885),1,0))</f>
        <v/>
      </c>
    </row>
    <row r="4886" customFormat="false" ht="15" hidden="false" customHeight="false" outlineLevel="0" collapsed="false">
      <c r="I4886" s="15" t="str">
        <f aca="false">IF(A4886="","",INT(A4886))</f>
        <v/>
      </c>
      <c r="J4886" s="16" t="str">
        <f aca="false">IF(B4886="","",IF(A4886=_xlfn.MINIFS($A$2:$A$5001,$B$2:$B$5001,B4886),1,0))</f>
        <v/>
      </c>
      <c r="K4886" s="16" t="str">
        <f aca="false">IF(B4886="","",IF(AND(D4886="Formalização",E4886="Concluído"),IF(COUNTIFS($B$2:$B$5001,B4886,$E$2:$E$5001,"Em ajustes",$A$2:$A$5001,"&lt;"&amp;I4886)&gt;0,1,0),0))</f>
        <v/>
      </c>
      <c r="L4886" s="16" t="str">
        <f aca="false">IF(B4886="","",IF(A4886=_xlfn.MAXIFS($A$2:$A$5001,$B$2:$B$5001,B4886,$I$2:$I$5001,I4886),1,0))</f>
        <v/>
      </c>
    </row>
    <row r="4887" customFormat="false" ht="15" hidden="false" customHeight="false" outlineLevel="0" collapsed="false">
      <c r="I4887" s="15" t="str">
        <f aca="false">IF(A4887="","",INT(A4887))</f>
        <v/>
      </c>
      <c r="J4887" s="16" t="str">
        <f aca="false">IF(B4887="","",IF(A4887=_xlfn.MINIFS($A$2:$A$5001,$B$2:$B$5001,B4887),1,0))</f>
        <v/>
      </c>
      <c r="K4887" s="16" t="str">
        <f aca="false">IF(B4887="","",IF(AND(D4887="Formalização",E4887="Concluído"),IF(COUNTIFS($B$2:$B$5001,B4887,$E$2:$E$5001,"Em ajustes",$A$2:$A$5001,"&lt;"&amp;I4887)&gt;0,1,0),0))</f>
        <v/>
      </c>
      <c r="L4887" s="16" t="str">
        <f aca="false">IF(B4887="","",IF(A4887=_xlfn.MAXIFS($A$2:$A$5001,$B$2:$B$5001,B4887,$I$2:$I$5001,I4887),1,0))</f>
        <v/>
      </c>
    </row>
    <row r="4888" customFormat="false" ht="15" hidden="false" customHeight="false" outlineLevel="0" collapsed="false">
      <c r="I4888" s="15" t="str">
        <f aca="false">IF(A4888="","",INT(A4888))</f>
        <v/>
      </c>
      <c r="J4888" s="16" t="str">
        <f aca="false">IF(B4888="","",IF(A4888=_xlfn.MINIFS($A$2:$A$5001,$B$2:$B$5001,B4888),1,0))</f>
        <v/>
      </c>
      <c r="K4888" s="16" t="str">
        <f aca="false">IF(B4888="","",IF(AND(D4888="Formalização",E4888="Concluído"),IF(COUNTIFS($B$2:$B$5001,B4888,$E$2:$E$5001,"Em ajustes",$A$2:$A$5001,"&lt;"&amp;I4888)&gt;0,1,0),0))</f>
        <v/>
      </c>
      <c r="L4888" s="16" t="str">
        <f aca="false">IF(B4888="","",IF(A4888=_xlfn.MAXIFS($A$2:$A$5001,$B$2:$B$5001,B4888,$I$2:$I$5001,I4888),1,0))</f>
        <v/>
      </c>
    </row>
    <row r="4889" customFormat="false" ht="15" hidden="false" customHeight="false" outlineLevel="0" collapsed="false">
      <c r="I4889" s="15" t="str">
        <f aca="false">IF(A4889="","",INT(A4889))</f>
        <v/>
      </c>
      <c r="J4889" s="16" t="str">
        <f aca="false">IF(B4889="","",IF(A4889=_xlfn.MINIFS($A$2:$A$5001,$B$2:$B$5001,B4889),1,0))</f>
        <v/>
      </c>
      <c r="K4889" s="16" t="str">
        <f aca="false">IF(B4889="","",IF(AND(D4889="Formalização",E4889="Concluído"),IF(COUNTIFS($B$2:$B$5001,B4889,$E$2:$E$5001,"Em ajustes",$A$2:$A$5001,"&lt;"&amp;I4889)&gt;0,1,0),0))</f>
        <v/>
      </c>
      <c r="L4889" s="16" t="str">
        <f aca="false">IF(B4889="","",IF(A4889=_xlfn.MAXIFS($A$2:$A$5001,$B$2:$B$5001,B4889,$I$2:$I$5001,I4889),1,0))</f>
        <v/>
      </c>
    </row>
    <row r="4890" customFormat="false" ht="15" hidden="false" customHeight="false" outlineLevel="0" collapsed="false">
      <c r="I4890" s="15" t="str">
        <f aca="false">IF(A4890="","",INT(A4890))</f>
        <v/>
      </c>
      <c r="J4890" s="16" t="str">
        <f aca="false">IF(B4890="","",IF(A4890=_xlfn.MINIFS($A$2:$A$5001,$B$2:$B$5001,B4890),1,0))</f>
        <v/>
      </c>
      <c r="K4890" s="16" t="str">
        <f aca="false">IF(B4890="","",IF(AND(D4890="Formalização",E4890="Concluído"),IF(COUNTIFS($B$2:$B$5001,B4890,$E$2:$E$5001,"Em ajustes",$A$2:$A$5001,"&lt;"&amp;I4890)&gt;0,1,0),0))</f>
        <v/>
      </c>
      <c r="L4890" s="16" t="str">
        <f aca="false">IF(B4890="","",IF(A4890=_xlfn.MAXIFS($A$2:$A$5001,$B$2:$B$5001,B4890,$I$2:$I$5001,I4890),1,0))</f>
        <v/>
      </c>
    </row>
    <row r="4891" customFormat="false" ht="15" hidden="false" customHeight="false" outlineLevel="0" collapsed="false">
      <c r="I4891" s="15" t="str">
        <f aca="false">IF(A4891="","",INT(A4891))</f>
        <v/>
      </c>
      <c r="J4891" s="16" t="str">
        <f aca="false">IF(B4891="","",IF(A4891=_xlfn.MINIFS($A$2:$A$5001,$B$2:$B$5001,B4891),1,0))</f>
        <v/>
      </c>
      <c r="K4891" s="16" t="str">
        <f aca="false">IF(B4891="","",IF(AND(D4891="Formalização",E4891="Concluído"),IF(COUNTIFS($B$2:$B$5001,B4891,$E$2:$E$5001,"Em ajustes",$A$2:$A$5001,"&lt;"&amp;I4891)&gt;0,1,0),0))</f>
        <v/>
      </c>
      <c r="L4891" s="16" t="str">
        <f aca="false">IF(B4891="","",IF(A4891=_xlfn.MAXIFS($A$2:$A$5001,$B$2:$B$5001,B4891,$I$2:$I$5001,I4891),1,0))</f>
        <v/>
      </c>
    </row>
    <row r="4892" customFormat="false" ht="15" hidden="false" customHeight="false" outlineLevel="0" collapsed="false">
      <c r="I4892" s="15" t="str">
        <f aca="false">IF(A4892="","",INT(A4892))</f>
        <v/>
      </c>
      <c r="J4892" s="16" t="str">
        <f aca="false">IF(B4892="","",IF(A4892=_xlfn.MINIFS($A$2:$A$5001,$B$2:$B$5001,B4892),1,0))</f>
        <v/>
      </c>
      <c r="K4892" s="16" t="str">
        <f aca="false">IF(B4892="","",IF(AND(D4892="Formalização",E4892="Concluído"),IF(COUNTIFS($B$2:$B$5001,B4892,$E$2:$E$5001,"Em ajustes",$A$2:$A$5001,"&lt;"&amp;I4892)&gt;0,1,0),0))</f>
        <v/>
      </c>
      <c r="L4892" s="16" t="str">
        <f aca="false">IF(B4892="","",IF(A4892=_xlfn.MAXIFS($A$2:$A$5001,$B$2:$B$5001,B4892,$I$2:$I$5001,I4892),1,0))</f>
        <v/>
      </c>
    </row>
    <row r="4893" customFormat="false" ht="15" hidden="false" customHeight="false" outlineLevel="0" collapsed="false">
      <c r="I4893" s="15" t="str">
        <f aca="false">IF(A4893="","",INT(A4893))</f>
        <v/>
      </c>
      <c r="J4893" s="16" t="str">
        <f aca="false">IF(B4893="","",IF(A4893=_xlfn.MINIFS($A$2:$A$5001,$B$2:$B$5001,B4893),1,0))</f>
        <v/>
      </c>
      <c r="K4893" s="16" t="str">
        <f aca="false">IF(B4893="","",IF(AND(D4893="Formalização",E4893="Concluído"),IF(COUNTIFS($B$2:$B$5001,B4893,$E$2:$E$5001,"Em ajustes",$A$2:$A$5001,"&lt;"&amp;I4893)&gt;0,1,0),0))</f>
        <v/>
      </c>
      <c r="L4893" s="16" t="str">
        <f aca="false">IF(B4893="","",IF(A4893=_xlfn.MAXIFS($A$2:$A$5001,$B$2:$B$5001,B4893,$I$2:$I$5001,I4893),1,0))</f>
        <v/>
      </c>
    </row>
    <row r="4894" customFormat="false" ht="15" hidden="false" customHeight="false" outlineLevel="0" collapsed="false">
      <c r="I4894" s="15" t="str">
        <f aca="false">IF(A4894="","",INT(A4894))</f>
        <v/>
      </c>
      <c r="J4894" s="16" t="str">
        <f aca="false">IF(B4894="","",IF(A4894=_xlfn.MINIFS($A$2:$A$5001,$B$2:$B$5001,B4894),1,0))</f>
        <v/>
      </c>
      <c r="K4894" s="16" t="str">
        <f aca="false">IF(B4894="","",IF(AND(D4894="Formalização",E4894="Concluído"),IF(COUNTIFS($B$2:$B$5001,B4894,$E$2:$E$5001,"Em ajustes",$A$2:$A$5001,"&lt;"&amp;I4894)&gt;0,1,0),0))</f>
        <v/>
      </c>
      <c r="L4894" s="16" t="str">
        <f aca="false">IF(B4894="","",IF(A4894=_xlfn.MAXIFS($A$2:$A$5001,$B$2:$B$5001,B4894,$I$2:$I$5001,I4894),1,0))</f>
        <v/>
      </c>
    </row>
    <row r="4895" customFormat="false" ht="15" hidden="false" customHeight="false" outlineLevel="0" collapsed="false">
      <c r="I4895" s="15" t="str">
        <f aca="false">IF(A4895="","",INT(A4895))</f>
        <v/>
      </c>
      <c r="J4895" s="16" t="str">
        <f aca="false">IF(B4895="","",IF(A4895=_xlfn.MINIFS($A$2:$A$5001,$B$2:$B$5001,B4895),1,0))</f>
        <v/>
      </c>
      <c r="K4895" s="16" t="str">
        <f aca="false">IF(B4895="","",IF(AND(D4895="Formalização",E4895="Concluído"),IF(COUNTIFS($B$2:$B$5001,B4895,$E$2:$E$5001,"Em ajustes",$A$2:$A$5001,"&lt;"&amp;I4895)&gt;0,1,0),0))</f>
        <v/>
      </c>
      <c r="L4895" s="16" t="str">
        <f aca="false">IF(B4895="","",IF(A4895=_xlfn.MAXIFS($A$2:$A$5001,$B$2:$B$5001,B4895,$I$2:$I$5001,I4895),1,0))</f>
        <v/>
      </c>
    </row>
    <row r="4896" customFormat="false" ht="15" hidden="false" customHeight="false" outlineLevel="0" collapsed="false">
      <c r="I4896" s="15" t="str">
        <f aca="false">IF(A4896="","",INT(A4896))</f>
        <v/>
      </c>
      <c r="J4896" s="16" t="str">
        <f aca="false">IF(B4896="","",IF(A4896=_xlfn.MINIFS($A$2:$A$5001,$B$2:$B$5001,B4896),1,0))</f>
        <v/>
      </c>
      <c r="K4896" s="16" t="str">
        <f aca="false">IF(B4896="","",IF(AND(D4896="Formalização",E4896="Concluído"),IF(COUNTIFS($B$2:$B$5001,B4896,$E$2:$E$5001,"Em ajustes",$A$2:$A$5001,"&lt;"&amp;I4896)&gt;0,1,0),0))</f>
        <v/>
      </c>
      <c r="L4896" s="16" t="str">
        <f aca="false">IF(B4896="","",IF(A4896=_xlfn.MAXIFS($A$2:$A$5001,$B$2:$B$5001,B4896,$I$2:$I$5001,I4896),1,0))</f>
        <v/>
      </c>
    </row>
    <row r="4897" customFormat="false" ht="15" hidden="false" customHeight="false" outlineLevel="0" collapsed="false">
      <c r="I4897" s="15" t="str">
        <f aca="false">IF(A4897="","",INT(A4897))</f>
        <v/>
      </c>
      <c r="J4897" s="16" t="str">
        <f aca="false">IF(B4897="","",IF(A4897=_xlfn.MINIFS($A$2:$A$5001,$B$2:$B$5001,B4897),1,0))</f>
        <v/>
      </c>
      <c r="K4897" s="16" t="str">
        <f aca="false">IF(B4897="","",IF(AND(D4897="Formalização",E4897="Concluído"),IF(COUNTIFS($B$2:$B$5001,B4897,$E$2:$E$5001,"Em ajustes",$A$2:$A$5001,"&lt;"&amp;I4897)&gt;0,1,0),0))</f>
        <v/>
      </c>
      <c r="L4897" s="16" t="str">
        <f aca="false">IF(B4897="","",IF(A4897=_xlfn.MAXIFS($A$2:$A$5001,$B$2:$B$5001,B4897,$I$2:$I$5001,I4897),1,0))</f>
        <v/>
      </c>
    </row>
    <row r="4898" customFormat="false" ht="15" hidden="false" customHeight="false" outlineLevel="0" collapsed="false">
      <c r="I4898" s="15" t="str">
        <f aca="false">IF(A4898="","",INT(A4898))</f>
        <v/>
      </c>
      <c r="J4898" s="16" t="str">
        <f aca="false">IF(B4898="","",IF(A4898=_xlfn.MINIFS($A$2:$A$5001,$B$2:$B$5001,B4898),1,0))</f>
        <v/>
      </c>
      <c r="K4898" s="16" t="str">
        <f aca="false">IF(B4898="","",IF(AND(D4898="Formalização",E4898="Concluído"),IF(COUNTIFS($B$2:$B$5001,B4898,$E$2:$E$5001,"Em ajustes",$A$2:$A$5001,"&lt;"&amp;I4898)&gt;0,1,0),0))</f>
        <v/>
      </c>
      <c r="L4898" s="16" t="str">
        <f aca="false">IF(B4898="","",IF(A4898=_xlfn.MAXIFS($A$2:$A$5001,$B$2:$B$5001,B4898,$I$2:$I$5001,I4898),1,0))</f>
        <v/>
      </c>
    </row>
    <row r="4899" customFormat="false" ht="15" hidden="false" customHeight="false" outlineLevel="0" collapsed="false">
      <c r="I4899" s="15" t="str">
        <f aca="false">IF(A4899="","",INT(A4899))</f>
        <v/>
      </c>
      <c r="J4899" s="16" t="str">
        <f aca="false">IF(B4899="","",IF(A4899=_xlfn.MINIFS($A$2:$A$5001,$B$2:$B$5001,B4899),1,0))</f>
        <v/>
      </c>
      <c r="K4899" s="16" t="str">
        <f aca="false">IF(B4899="","",IF(AND(D4899="Formalização",E4899="Concluído"),IF(COUNTIFS($B$2:$B$5001,B4899,$E$2:$E$5001,"Em ajustes",$A$2:$A$5001,"&lt;"&amp;I4899)&gt;0,1,0),0))</f>
        <v/>
      </c>
      <c r="L4899" s="16" t="str">
        <f aca="false">IF(B4899="","",IF(A4899=_xlfn.MAXIFS($A$2:$A$5001,$B$2:$B$5001,B4899,$I$2:$I$5001,I4899),1,0))</f>
        <v/>
      </c>
    </row>
    <row r="4900" customFormat="false" ht="15" hidden="false" customHeight="false" outlineLevel="0" collapsed="false">
      <c r="I4900" s="15" t="str">
        <f aca="false">IF(A4900="","",INT(A4900))</f>
        <v/>
      </c>
      <c r="J4900" s="16" t="str">
        <f aca="false">IF(B4900="","",IF(A4900=_xlfn.MINIFS($A$2:$A$5001,$B$2:$B$5001,B4900),1,0))</f>
        <v/>
      </c>
      <c r="K4900" s="16" t="str">
        <f aca="false">IF(B4900="","",IF(AND(D4900="Formalização",E4900="Concluído"),IF(COUNTIFS($B$2:$B$5001,B4900,$E$2:$E$5001,"Em ajustes",$A$2:$A$5001,"&lt;"&amp;I4900)&gt;0,1,0),0))</f>
        <v/>
      </c>
      <c r="L4900" s="16" t="str">
        <f aca="false">IF(B4900="","",IF(A4900=_xlfn.MAXIFS($A$2:$A$5001,$B$2:$B$5001,B4900,$I$2:$I$5001,I4900),1,0))</f>
        <v/>
      </c>
    </row>
    <row r="4901" customFormat="false" ht="15" hidden="false" customHeight="false" outlineLevel="0" collapsed="false">
      <c r="I4901" s="15" t="str">
        <f aca="false">IF(A4901="","",INT(A4901))</f>
        <v/>
      </c>
      <c r="J4901" s="16" t="str">
        <f aca="false">IF(B4901="","",IF(A4901=_xlfn.MINIFS($A$2:$A$5001,$B$2:$B$5001,B4901),1,0))</f>
        <v/>
      </c>
      <c r="K4901" s="16" t="str">
        <f aca="false">IF(B4901="","",IF(AND(D4901="Formalização",E4901="Concluído"),IF(COUNTIFS($B$2:$B$5001,B4901,$E$2:$E$5001,"Em ajustes",$A$2:$A$5001,"&lt;"&amp;I4901)&gt;0,1,0),0))</f>
        <v/>
      </c>
      <c r="L4901" s="16" t="str">
        <f aca="false">IF(B4901="","",IF(A4901=_xlfn.MAXIFS($A$2:$A$5001,$B$2:$B$5001,B4901,$I$2:$I$5001,I4901),1,0))</f>
        <v/>
      </c>
    </row>
    <row r="4902" customFormat="false" ht="15" hidden="false" customHeight="false" outlineLevel="0" collapsed="false">
      <c r="I4902" s="15" t="str">
        <f aca="false">IF(A4902="","",INT(A4902))</f>
        <v/>
      </c>
      <c r="J4902" s="16" t="str">
        <f aca="false">IF(B4902="","",IF(A4902=_xlfn.MINIFS($A$2:$A$5001,$B$2:$B$5001,B4902),1,0))</f>
        <v/>
      </c>
      <c r="K4902" s="16" t="str">
        <f aca="false">IF(B4902="","",IF(AND(D4902="Formalização",E4902="Concluído"),IF(COUNTIFS($B$2:$B$5001,B4902,$E$2:$E$5001,"Em ajustes",$A$2:$A$5001,"&lt;"&amp;I4902)&gt;0,1,0),0))</f>
        <v/>
      </c>
      <c r="L4902" s="16" t="str">
        <f aca="false">IF(B4902="","",IF(A4902=_xlfn.MAXIFS($A$2:$A$5001,$B$2:$B$5001,B4902,$I$2:$I$5001,I4902),1,0))</f>
        <v/>
      </c>
    </row>
    <row r="4903" customFormat="false" ht="15" hidden="false" customHeight="false" outlineLevel="0" collapsed="false">
      <c r="I4903" s="15" t="str">
        <f aca="false">IF(A4903="","",INT(A4903))</f>
        <v/>
      </c>
      <c r="J4903" s="16" t="str">
        <f aca="false">IF(B4903="","",IF(A4903=_xlfn.MINIFS($A$2:$A$5001,$B$2:$B$5001,B4903),1,0))</f>
        <v/>
      </c>
      <c r="K4903" s="16" t="str">
        <f aca="false">IF(B4903="","",IF(AND(D4903="Formalização",E4903="Concluído"),IF(COUNTIFS($B$2:$B$5001,B4903,$E$2:$E$5001,"Em ajustes",$A$2:$A$5001,"&lt;"&amp;I4903)&gt;0,1,0),0))</f>
        <v/>
      </c>
      <c r="L4903" s="16" t="str">
        <f aca="false">IF(B4903="","",IF(A4903=_xlfn.MAXIFS($A$2:$A$5001,$B$2:$B$5001,B4903,$I$2:$I$5001,I4903),1,0))</f>
        <v/>
      </c>
    </row>
    <row r="4904" customFormat="false" ht="15" hidden="false" customHeight="false" outlineLevel="0" collapsed="false">
      <c r="I4904" s="15" t="str">
        <f aca="false">IF(A4904="","",INT(A4904))</f>
        <v/>
      </c>
      <c r="J4904" s="16" t="str">
        <f aca="false">IF(B4904="","",IF(A4904=_xlfn.MINIFS($A$2:$A$5001,$B$2:$B$5001,B4904),1,0))</f>
        <v/>
      </c>
      <c r="K4904" s="16" t="str">
        <f aca="false">IF(B4904="","",IF(AND(D4904="Formalização",E4904="Concluído"),IF(COUNTIFS($B$2:$B$5001,B4904,$E$2:$E$5001,"Em ajustes",$A$2:$A$5001,"&lt;"&amp;I4904)&gt;0,1,0),0))</f>
        <v/>
      </c>
      <c r="L4904" s="16" t="str">
        <f aca="false">IF(B4904="","",IF(A4904=_xlfn.MAXIFS($A$2:$A$5001,$B$2:$B$5001,B4904,$I$2:$I$5001,I4904),1,0))</f>
        <v/>
      </c>
    </row>
    <row r="4905" customFormat="false" ht="15" hidden="false" customHeight="false" outlineLevel="0" collapsed="false">
      <c r="I4905" s="15" t="str">
        <f aca="false">IF(A4905="","",INT(A4905))</f>
        <v/>
      </c>
      <c r="J4905" s="16" t="str">
        <f aca="false">IF(B4905="","",IF(A4905=_xlfn.MINIFS($A$2:$A$5001,$B$2:$B$5001,B4905),1,0))</f>
        <v/>
      </c>
      <c r="K4905" s="16" t="str">
        <f aca="false">IF(B4905="","",IF(AND(D4905="Formalização",E4905="Concluído"),IF(COUNTIFS($B$2:$B$5001,B4905,$E$2:$E$5001,"Em ajustes",$A$2:$A$5001,"&lt;"&amp;I4905)&gt;0,1,0),0))</f>
        <v/>
      </c>
      <c r="L4905" s="16" t="str">
        <f aca="false">IF(B4905="","",IF(A4905=_xlfn.MAXIFS($A$2:$A$5001,$B$2:$B$5001,B4905,$I$2:$I$5001,I4905),1,0))</f>
        <v/>
      </c>
    </row>
    <row r="4906" customFormat="false" ht="15" hidden="false" customHeight="false" outlineLevel="0" collapsed="false">
      <c r="I4906" s="15" t="str">
        <f aca="false">IF(A4906="","",INT(A4906))</f>
        <v/>
      </c>
      <c r="J4906" s="16" t="str">
        <f aca="false">IF(B4906="","",IF(A4906=_xlfn.MINIFS($A$2:$A$5001,$B$2:$B$5001,B4906),1,0))</f>
        <v/>
      </c>
      <c r="K4906" s="16" t="str">
        <f aca="false">IF(B4906="","",IF(AND(D4906="Formalização",E4906="Concluído"),IF(COUNTIFS($B$2:$B$5001,B4906,$E$2:$E$5001,"Em ajustes",$A$2:$A$5001,"&lt;"&amp;I4906)&gt;0,1,0),0))</f>
        <v/>
      </c>
      <c r="L4906" s="16" t="str">
        <f aca="false">IF(B4906="","",IF(A4906=_xlfn.MAXIFS($A$2:$A$5001,$B$2:$B$5001,B4906,$I$2:$I$5001,I4906),1,0))</f>
        <v/>
      </c>
    </row>
    <row r="4907" customFormat="false" ht="15" hidden="false" customHeight="false" outlineLevel="0" collapsed="false">
      <c r="I4907" s="15" t="str">
        <f aca="false">IF(A4907="","",INT(A4907))</f>
        <v/>
      </c>
      <c r="J4907" s="16" t="str">
        <f aca="false">IF(B4907="","",IF(A4907=_xlfn.MINIFS($A$2:$A$5001,$B$2:$B$5001,B4907),1,0))</f>
        <v/>
      </c>
      <c r="K4907" s="16" t="str">
        <f aca="false">IF(B4907="","",IF(AND(D4907="Formalização",E4907="Concluído"),IF(COUNTIFS($B$2:$B$5001,B4907,$E$2:$E$5001,"Em ajustes",$A$2:$A$5001,"&lt;"&amp;I4907)&gt;0,1,0),0))</f>
        <v/>
      </c>
      <c r="L4907" s="16" t="str">
        <f aca="false">IF(B4907="","",IF(A4907=_xlfn.MAXIFS($A$2:$A$5001,$B$2:$B$5001,B4907,$I$2:$I$5001,I4907),1,0))</f>
        <v/>
      </c>
    </row>
    <row r="4908" customFormat="false" ht="15" hidden="false" customHeight="false" outlineLevel="0" collapsed="false">
      <c r="I4908" s="15" t="str">
        <f aca="false">IF(A4908="","",INT(A4908))</f>
        <v/>
      </c>
      <c r="J4908" s="16" t="str">
        <f aca="false">IF(B4908="","",IF(A4908=_xlfn.MINIFS($A$2:$A$5001,$B$2:$B$5001,B4908),1,0))</f>
        <v/>
      </c>
      <c r="K4908" s="16" t="str">
        <f aca="false">IF(B4908="","",IF(AND(D4908="Formalização",E4908="Concluído"),IF(COUNTIFS($B$2:$B$5001,B4908,$E$2:$E$5001,"Em ajustes",$A$2:$A$5001,"&lt;"&amp;I4908)&gt;0,1,0),0))</f>
        <v/>
      </c>
      <c r="L4908" s="16" t="str">
        <f aca="false">IF(B4908="","",IF(A4908=_xlfn.MAXIFS($A$2:$A$5001,$B$2:$B$5001,B4908,$I$2:$I$5001,I4908),1,0))</f>
        <v/>
      </c>
    </row>
    <row r="4909" customFormat="false" ht="15" hidden="false" customHeight="false" outlineLevel="0" collapsed="false">
      <c r="I4909" s="15" t="str">
        <f aca="false">IF(A4909="","",INT(A4909))</f>
        <v/>
      </c>
      <c r="J4909" s="16" t="str">
        <f aca="false">IF(B4909="","",IF(A4909=_xlfn.MINIFS($A$2:$A$5001,$B$2:$B$5001,B4909),1,0))</f>
        <v/>
      </c>
      <c r="K4909" s="16" t="str">
        <f aca="false">IF(B4909="","",IF(AND(D4909="Formalização",E4909="Concluído"),IF(COUNTIFS($B$2:$B$5001,B4909,$E$2:$E$5001,"Em ajustes",$A$2:$A$5001,"&lt;"&amp;I4909)&gt;0,1,0),0))</f>
        <v/>
      </c>
      <c r="L4909" s="16" t="str">
        <f aca="false">IF(B4909="","",IF(A4909=_xlfn.MAXIFS($A$2:$A$5001,$B$2:$B$5001,B4909,$I$2:$I$5001,I4909),1,0))</f>
        <v/>
      </c>
    </row>
    <row r="4910" customFormat="false" ht="15" hidden="false" customHeight="false" outlineLevel="0" collapsed="false">
      <c r="I4910" s="15" t="str">
        <f aca="false">IF(A4910="","",INT(A4910))</f>
        <v/>
      </c>
      <c r="J4910" s="16" t="str">
        <f aca="false">IF(B4910="","",IF(A4910=_xlfn.MINIFS($A$2:$A$5001,$B$2:$B$5001,B4910),1,0))</f>
        <v/>
      </c>
      <c r="K4910" s="16" t="str">
        <f aca="false">IF(B4910="","",IF(AND(D4910="Formalização",E4910="Concluído"),IF(COUNTIFS($B$2:$B$5001,B4910,$E$2:$E$5001,"Em ajustes",$A$2:$A$5001,"&lt;"&amp;I4910)&gt;0,1,0),0))</f>
        <v/>
      </c>
      <c r="L4910" s="16" t="str">
        <f aca="false">IF(B4910="","",IF(A4910=_xlfn.MAXIFS($A$2:$A$5001,$B$2:$B$5001,B4910,$I$2:$I$5001,I4910),1,0))</f>
        <v/>
      </c>
    </row>
    <row r="4911" customFormat="false" ht="15" hidden="false" customHeight="false" outlineLevel="0" collapsed="false">
      <c r="I4911" s="15" t="str">
        <f aca="false">IF(A4911="","",INT(A4911))</f>
        <v/>
      </c>
      <c r="J4911" s="16" t="str">
        <f aca="false">IF(B4911="","",IF(A4911=_xlfn.MINIFS($A$2:$A$5001,$B$2:$B$5001,B4911),1,0))</f>
        <v/>
      </c>
      <c r="K4911" s="16" t="str">
        <f aca="false">IF(B4911="","",IF(AND(D4911="Formalização",E4911="Concluído"),IF(COUNTIFS($B$2:$B$5001,B4911,$E$2:$E$5001,"Em ajustes",$A$2:$A$5001,"&lt;"&amp;I4911)&gt;0,1,0),0))</f>
        <v/>
      </c>
      <c r="L4911" s="16" t="str">
        <f aca="false">IF(B4911="","",IF(A4911=_xlfn.MAXIFS($A$2:$A$5001,$B$2:$B$5001,B4911,$I$2:$I$5001,I4911),1,0))</f>
        <v/>
      </c>
    </row>
    <row r="4912" customFormat="false" ht="15" hidden="false" customHeight="false" outlineLevel="0" collapsed="false">
      <c r="I4912" s="15" t="str">
        <f aca="false">IF(A4912="","",INT(A4912))</f>
        <v/>
      </c>
      <c r="J4912" s="16" t="str">
        <f aca="false">IF(B4912="","",IF(A4912=_xlfn.MINIFS($A$2:$A$5001,$B$2:$B$5001,B4912),1,0))</f>
        <v/>
      </c>
      <c r="K4912" s="16" t="str">
        <f aca="false">IF(B4912="","",IF(AND(D4912="Formalização",E4912="Concluído"),IF(COUNTIFS($B$2:$B$5001,B4912,$E$2:$E$5001,"Em ajustes",$A$2:$A$5001,"&lt;"&amp;I4912)&gt;0,1,0),0))</f>
        <v/>
      </c>
      <c r="L4912" s="16" t="str">
        <f aca="false">IF(B4912="","",IF(A4912=_xlfn.MAXIFS($A$2:$A$5001,$B$2:$B$5001,B4912,$I$2:$I$5001,I4912),1,0))</f>
        <v/>
      </c>
    </row>
    <row r="4913" customFormat="false" ht="15" hidden="false" customHeight="false" outlineLevel="0" collapsed="false">
      <c r="I4913" s="15" t="str">
        <f aca="false">IF(A4913="","",INT(A4913))</f>
        <v/>
      </c>
      <c r="J4913" s="16" t="str">
        <f aca="false">IF(B4913="","",IF(A4913=_xlfn.MINIFS($A$2:$A$5001,$B$2:$B$5001,B4913),1,0))</f>
        <v/>
      </c>
      <c r="K4913" s="16" t="str">
        <f aca="false">IF(B4913="","",IF(AND(D4913="Formalização",E4913="Concluído"),IF(COUNTIFS($B$2:$B$5001,B4913,$E$2:$E$5001,"Em ajustes",$A$2:$A$5001,"&lt;"&amp;I4913)&gt;0,1,0),0))</f>
        <v/>
      </c>
      <c r="L4913" s="16" t="str">
        <f aca="false">IF(B4913="","",IF(A4913=_xlfn.MAXIFS($A$2:$A$5001,$B$2:$B$5001,B4913,$I$2:$I$5001,I4913),1,0))</f>
        <v/>
      </c>
    </row>
    <row r="4914" customFormat="false" ht="15" hidden="false" customHeight="false" outlineLevel="0" collapsed="false">
      <c r="I4914" s="15" t="str">
        <f aca="false">IF(A4914="","",INT(A4914))</f>
        <v/>
      </c>
      <c r="J4914" s="16" t="str">
        <f aca="false">IF(B4914="","",IF(A4914=_xlfn.MINIFS($A$2:$A$5001,$B$2:$B$5001,B4914),1,0))</f>
        <v/>
      </c>
      <c r="K4914" s="16" t="str">
        <f aca="false">IF(B4914="","",IF(AND(D4914="Formalização",E4914="Concluído"),IF(COUNTIFS($B$2:$B$5001,B4914,$E$2:$E$5001,"Em ajustes",$A$2:$A$5001,"&lt;"&amp;I4914)&gt;0,1,0),0))</f>
        <v/>
      </c>
      <c r="L4914" s="16" t="str">
        <f aca="false">IF(B4914="","",IF(A4914=_xlfn.MAXIFS($A$2:$A$5001,$B$2:$B$5001,B4914,$I$2:$I$5001,I4914),1,0))</f>
        <v/>
      </c>
    </row>
    <row r="4915" customFormat="false" ht="15" hidden="false" customHeight="false" outlineLevel="0" collapsed="false">
      <c r="I4915" s="15" t="str">
        <f aca="false">IF(A4915="","",INT(A4915))</f>
        <v/>
      </c>
      <c r="J4915" s="16" t="str">
        <f aca="false">IF(B4915="","",IF(A4915=_xlfn.MINIFS($A$2:$A$5001,$B$2:$B$5001,B4915),1,0))</f>
        <v/>
      </c>
      <c r="K4915" s="16" t="str">
        <f aca="false">IF(B4915="","",IF(AND(D4915="Formalização",E4915="Concluído"),IF(COUNTIFS($B$2:$B$5001,B4915,$E$2:$E$5001,"Em ajustes",$A$2:$A$5001,"&lt;"&amp;I4915)&gt;0,1,0),0))</f>
        <v/>
      </c>
      <c r="L4915" s="16" t="str">
        <f aca="false">IF(B4915="","",IF(A4915=_xlfn.MAXIFS($A$2:$A$5001,$B$2:$B$5001,B4915,$I$2:$I$5001,I4915),1,0))</f>
        <v/>
      </c>
    </row>
    <row r="4916" customFormat="false" ht="15" hidden="false" customHeight="false" outlineLevel="0" collapsed="false">
      <c r="I4916" s="15" t="str">
        <f aca="false">IF(A4916="","",INT(A4916))</f>
        <v/>
      </c>
      <c r="J4916" s="16" t="str">
        <f aca="false">IF(B4916="","",IF(A4916=_xlfn.MINIFS($A$2:$A$5001,$B$2:$B$5001,B4916),1,0))</f>
        <v/>
      </c>
      <c r="K4916" s="16" t="str">
        <f aca="false">IF(B4916="","",IF(AND(D4916="Formalização",E4916="Concluído"),IF(COUNTIFS($B$2:$B$5001,B4916,$E$2:$E$5001,"Em ajustes",$A$2:$A$5001,"&lt;"&amp;I4916)&gt;0,1,0),0))</f>
        <v/>
      </c>
      <c r="L4916" s="16" t="str">
        <f aca="false">IF(B4916="","",IF(A4916=_xlfn.MAXIFS($A$2:$A$5001,$B$2:$B$5001,B4916,$I$2:$I$5001,I4916),1,0))</f>
        <v/>
      </c>
    </row>
    <row r="4917" customFormat="false" ht="15" hidden="false" customHeight="false" outlineLevel="0" collapsed="false">
      <c r="I4917" s="15" t="str">
        <f aca="false">IF(A4917="","",INT(A4917))</f>
        <v/>
      </c>
      <c r="J4917" s="16" t="str">
        <f aca="false">IF(B4917="","",IF(A4917=_xlfn.MINIFS($A$2:$A$5001,$B$2:$B$5001,B4917),1,0))</f>
        <v/>
      </c>
      <c r="K4917" s="16" t="str">
        <f aca="false">IF(B4917="","",IF(AND(D4917="Formalização",E4917="Concluído"),IF(COUNTIFS($B$2:$B$5001,B4917,$E$2:$E$5001,"Em ajustes",$A$2:$A$5001,"&lt;"&amp;I4917)&gt;0,1,0),0))</f>
        <v/>
      </c>
      <c r="L4917" s="16" t="str">
        <f aca="false">IF(B4917="","",IF(A4917=_xlfn.MAXIFS($A$2:$A$5001,$B$2:$B$5001,B4917,$I$2:$I$5001,I4917),1,0))</f>
        <v/>
      </c>
    </row>
    <row r="4918" customFormat="false" ht="15" hidden="false" customHeight="false" outlineLevel="0" collapsed="false">
      <c r="I4918" s="15" t="str">
        <f aca="false">IF(A4918="","",INT(A4918))</f>
        <v/>
      </c>
      <c r="J4918" s="16" t="str">
        <f aca="false">IF(B4918="","",IF(A4918=_xlfn.MINIFS($A$2:$A$5001,$B$2:$B$5001,B4918),1,0))</f>
        <v/>
      </c>
      <c r="K4918" s="16" t="str">
        <f aca="false">IF(B4918="","",IF(AND(D4918="Formalização",E4918="Concluído"),IF(COUNTIFS($B$2:$B$5001,B4918,$E$2:$E$5001,"Em ajustes",$A$2:$A$5001,"&lt;"&amp;I4918)&gt;0,1,0),0))</f>
        <v/>
      </c>
      <c r="L4918" s="16" t="str">
        <f aca="false">IF(B4918="","",IF(A4918=_xlfn.MAXIFS($A$2:$A$5001,$B$2:$B$5001,B4918,$I$2:$I$5001,I4918),1,0))</f>
        <v/>
      </c>
    </row>
    <row r="4919" customFormat="false" ht="15" hidden="false" customHeight="false" outlineLevel="0" collapsed="false">
      <c r="I4919" s="15" t="str">
        <f aca="false">IF(A4919="","",INT(A4919))</f>
        <v/>
      </c>
      <c r="J4919" s="16" t="str">
        <f aca="false">IF(B4919="","",IF(A4919=_xlfn.MINIFS($A$2:$A$5001,$B$2:$B$5001,B4919),1,0))</f>
        <v/>
      </c>
      <c r="K4919" s="16" t="str">
        <f aca="false">IF(B4919="","",IF(AND(D4919="Formalização",E4919="Concluído"),IF(COUNTIFS($B$2:$B$5001,B4919,$E$2:$E$5001,"Em ajustes",$A$2:$A$5001,"&lt;"&amp;I4919)&gt;0,1,0),0))</f>
        <v/>
      </c>
      <c r="L4919" s="16" t="str">
        <f aca="false">IF(B4919="","",IF(A4919=_xlfn.MAXIFS($A$2:$A$5001,$B$2:$B$5001,B4919,$I$2:$I$5001,I4919),1,0))</f>
        <v/>
      </c>
    </row>
    <row r="4920" customFormat="false" ht="15" hidden="false" customHeight="false" outlineLevel="0" collapsed="false">
      <c r="I4920" s="15" t="str">
        <f aca="false">IF(A4920="","",INT(A4920))</f>
        <v/>
      </c>
      <c r="J4920" s="16" t="str">
        <f aca="false">IF(B4920="","",IF(A4920=_xlfn.MINIFS($A$2:$A$5001,$B$2:$B$5001,B4920),1,0))</f>
        <v/>
      </c>
      <c r="K4920" s="16" t="str">
        <f aca="false">IF(B4920="","",IF(AND(D4920="Formalização",E4920="Concluído"),IF(COUNTIFS($B$2:$B$5001,B4920,$E$2:$E$5001,"Em ajustes",$A$2:$A$5001,"&lt;"&amp;I4920)&gt;0,1,0),0))</f>
        <v/>
      </c>
      <c r="L4920" s="16" t="str">
        <f aca="false">IF(B4920="","",IF(A4920=_xlfn.MAXIFS($A$2:$A$5001,$B$2:$B$5001,B4920,$I$2:$I$5001,I4920),1,0))</f>
        <v/>
      </c>
    </row>
    <row r="4921" customFormat="false" ht="15" hidden="false" customHeight="false" outlineLevel="0" collapsed="false">
      <c r="I4921" s="15" t="str">
        <f aca="false">IF(A4921="","",INT(A4921))</f>
        <v/>
      </c>
      <c r="J4921" s="16" t="str">
        <f aca="false">IF(B4921="","",IF(A4921=_xlfn.MINIFS($A$2:$A$5001,$B$2:$B$5001,B4921),1,0))</f>
        <v/>
      </c>
      <c r="K4921" s="16" t="str">
        <f aca="false">IF(B4921="","",IF(AND(D4921="Formalização",E4921="Concluído"),IF(COUNTIFS($B$2:$B$5001,B4921,$E$2:$E$5001,"Em ajustes",$A$2:$A$5001,"&lt;"&amp;I4921)&gt;0,1,0),0))</f>
        <v/>
      </c>
      <c r="L4921" s="16" t="str">
        <f aca="false">IF(B4921="","",IF(A4921=_xlfn.MAXIFS($A$2:$A$5001,$B$2:$B$5001,B4921,$I$2:$I$5001,I4921),1,0))</f>
        <v/>
      </c>
    </row>
    <row r="4922" customFormat="false" ht="15" hidden="false" customHeight="false" outlineLevel="0" collapsed="false">
      <c r="I4922" s="15" t="str">
        <f aca="false">IF(A4922="","",INT(A4922))</f>
        <v/>
      </c>
      <c r="J4922" s="16" t="str">
        <f aca="false">IF(B4922="","",IF(A4922=_xlfn.MINIFS($A$2:$A$5001,$B$2:$B$5001,B4922),1,0))</f>
        <v/>
      </c>
      <c r="K4922" s="16" t="str">
        <f aca="false">IF(B4922="","",IF(AND(D4922="Formalização",E4922="Concluído"),IF(COUNTIFS($B$2:$B$5001,B4922,$E$2:$E$5001,"Em ajustes",$A$2:$A$5001,"&lt;"&amp;I4922)&gt;0,1,0),0))</f>
        <v/>
      </c>
      <c r="L4922" s="16" t="str">
        <f aca="false">IF(B4922="","",IF(A4922=_xlfn.MAXIFS($A$2:$A$5001,$B$2:$B$5001,B4922,$I$2:$I$5001,I4922),1,0))</f>
        <v/>
      </c>
    </row>
    <row r="4923" customFormat="false" ht="15" hidden="false" customHeight="false" outlineLevel="0" collapsed="false">
      <c r="I4923" s="15" t="str">
        <f aca="false">IF(A4923="","",INT(A4923))</f>
        <v/>
      </c>
      <c r="J4923" s="16" t="str">
        <f aca="false">IF(B4923="","",IF(A4923=_xlfn.MINIFS($A$2:$A$5001,$B$2:$B$5001,B4923),1,0))</f>
        <v/>
      </c>
      <c r="K4923" s="16" t="str">
        <f aca="false">IF(B4923="","",IF(AND(D4923="Formalização",E4923="Concluído"),IF(COUNTIFS($B$2:$B$5001,B4923,$E$2:$E$5001,"Em ajustes",$A$2:$A$5001,"&lt;"&amp;I4923)&gt;0,1,0),0))</f>
        <v/>
      </c>
      <c r="L4923" s="16" t="str">
        <f aca="false">IF(B4923="","",IF(A4923=_xlfn.MAXIFS($A$2:$A$5001,$B$2:$B$5001,B4923,$I$2:$I$5001,I4923),1,0))</f>
        <v/>
      </c>
    </row>
    <row r="4924" customFormat="false" ht="15" hidden="false" customHeight="false" outlineLevel="0" collapsed="false">
      <c r="I4924" s="15" t="str">
        <f aca="false">IF(A4924="","",INT(A4924))</f>
        <v/>
      </c>
      <c r="J4924" s="16" t="str">
        <f aca="false">IF(B4924="","",IF(A4924=_xlfn.MINIFS($A$2:$A$5001,$B$2:$B$5001,B4924),1,0))</f>
        <v/>
      </c>
      <c r="K4924" s="16" t="str">
        <f aca="false">IF(B4924="","",IF(AND(D4924="Formalização",E4924="Concluído"),IF(COUNTIFS($B$2:$B$5001,B4924,$E$2:$E$5001,"Em ajustes",$A$2:$A$5001,"&lt;"&amp;I4924)&gt;0,1,0),0))</f>
        <v/>
      </c>
      <c r="L4924" s="16" t="str">
        <f aca="false">IF(B4924="","",IF(A4924=_xlfn.MAXIFS($A$2:$A$5001,$B$2:$B$5001,B4924,$I$2:$I$5001,I4924),1,0))</f>
        <v/>
      </c>
    </row>
    <row r="4925" customFormat="false" ht="15" hidden="false" customHeight="false" outlineLevel="0" collapsed="false">
      <c r="I4925" s="15" t="str">
        <f aca="false">IF(A4925="","",INT(A4925))</f>
        <v/>
      </c>
      <c r="J4925" s="16" t="str">
        <f aca="false">IF(B4925="","",IF(A4925=_xlfn.MINIFS($A$2:$A$5001,$B$2:$B$5001,B4925),1,0))</f>
        <v/>
      </c>
      <c r="K4925" s="16" t="str">
        <f aca="false">IF(B4925="","",IF(AND(D4925="Formalização",E4925="Concluído"),IF(COUNTIFS($B$2:$B$5001,B4925,$E$2:$E$5001,"Em ajustes",$A$2:$A$5001,"&lt;"&amp;I4925)&gt;0,1,0),0))</f>
        <v/>
      </c>
      <c r="L4925" s="16" t="str">
        <f aca="false">IF(B4925="","",IF(A4925=_xlfn.MAXIFS($A$2:$A$5001,$B$2:$B$5001,B4925,$I$2:$I$5001,I4925),1,0))</f>
        <v/>
      </c>
    </row>
    <row r="4926" customFormat="false" ht="15" hidden="false" customHeight="false" outlineLevel="0" collapsed="false">
      <c r="I4926" s="15" t="str">
        <f aca="false">IF(A4926="","",INT(A4926))</f>
        <v/>
      </c>
      <c r="J4926" s="16" t="str">
        <f aca="false">IF(B4926="","",IF(A4926=_xlfn.MINIFS($A$2:$A$5001,$B$2:$B$5001,B4926),1,0))</f>
        <v/>
      </c>
      <c r="K4926" s="16" t="str">
        <f aca="false">IF(B4926="","",IF(AND(D4926="Formalização",E4926="Concluído"),IF(COUNTIFS($B$2:$B$5001,B4926,$E$2:$E$5001,"Em ajustes",$A$2:$A$5001,"&lt;"&amp;I4926)&gt;0,1,0),0))</f>
        <v/>
      </c>
      <c r="L4926" s="16" t="str">
        <f aca="false">IF(B4926="","",IF(A4926=_xlfn.MAXIFS($A$2:$A$5001,$B$2:$B$5001,B4926,$I$2:$I$5001,I4926),1,0))</f>
        <v/>
      </c>
    </row>
    <row r="4927" customFormat="false" ht="15" hidden="false" customHeight="false" outlineLevel="0" collapsed="false">
      <c r="I4927" s="15" t="str">
        <f aca="false">IF(A4927="","",INT(A4927))</f>
        <v/>
      </c>
      <c r="J4927" s="16" t="str">
        <f aca="false">IF(B4927="","",IF(A4927=_xlfn.MINIFS($A$2:$A$5001,$B$2:$B$5001,B4927),1,0))</f>
        <v/>
      </c>
      <c r="K4927" s="16" t="str">
        <f aca="false">IF(B4927="","",IF(AND(D4927="Formalização",E4927="Concluído"),IF(COUNTIFS($B$2:$B$5001,B4927,$E$2:$E$5001,"Em ajustes",$A$2:$A$5001,"&lt;"&amp;I4927)&gt;0,1,0),0))</f>
        <v/>
      </c>
      <c r="L4927" s="16" t="str">
        <f aca="false">IF(B4927="","",IF(A4927=_xlfn.MAXIFS($A$2:$A$5001,$B$2:$B$5001,B4927,$I$2:$I$5001,I4927),1,0))</f>
        <v/>
      </c>
    </row>
    <row r="4928" customFormat="false" ht="15" hidden="false" customHeight="false" outlineLevel="0" collapsed="false">
      <c r="I4928" s="15" t="str">
        <f aca="false">IF(A4928="","",INT(A4928))</f>
        <v/>
      </c>
      <c r="J4928" s="16" t="str">
        <f aca="false">IF(B4928="","",IF(A4928=_xlfn.MINIFS($A$2:$A$5001,$B$2:$B$5001,B4928),1,0))</f>
        <v/>
      </c>
      <c r="K4928" s="16" t="str">
        <f aca="false">IF(B4928="","",IF(AND(D4928="Formalização",E4928="Concluído"),IF(COUNTIFS($B$2:$B$5001,B4928,$E$2:$E$5001,"Em ajustes",$A$2:$A$5001,"&lt;"&amp;I4928)&gt;0,1,0),0))</f>
        <v/>
      </c>
      <c r="L4928" s="16" t="str">
        <f aca="false">IF(B4928="","",IF(A4928=_xlfn.MAXIFS($A$2:$A$5001,$B$2:$B$5001,B4928,$I$2:$I$5001,I4928),1,0))</f>
        <v/>
      </c>
    </row>
    <row r="4929" customFormat="false" ht="15" hidden="false" customHeight="false" outlineLevel="0" collapsed="false">
      <c r="I4929" s="15" t="str">
        <f aca="false">IF(A4929="","",INT(A4929))</f>
        <v/>
      </c>
      <c r="J4929" s="16" t="str">
        <f aca="false">IF(B4929="","",IF(A4929=_xlfn.MINIFS($A$2:$A$5001,$B$2:$B$5001,B4929),1,0))</f>
        <v/>
      </c>
      <c r="K4929" s="16" t="str">
        <f aca="false">IF(B4929="","",IF(AND(D4929="Formalização",E4929="Concluído"),IF(COUNTIFS($B$2:$B$5001,B4929,$E$2:$E$5001,"Em ajustes",$A$2:$A$5001,"&lt;"&amp;I4929)&gt;0,1,0),0))</f>
        <v/>
      </c>
      <c r="L4929" s="16" t="str">
        <f aca="false">IF(B4929="","",IF(A4929=_xlfn.MAXIFS($A$2:$A$5001,$B$2:$B$5001,B4929,$I$2:$I$5001,I4929),1,0))</f>
        <v/>
      </c>
    </row>
    <row r="4930" customFormat="false" ht="15" hidden="false" customHeight="false" outlineLevel="0" collapsed="false">
      <c r="I4930" s="15" t="str">
        <f aca="false">IF(A4930="","",INT(A4930))</f>
        <v/>
      </c>
      <c r="J4930" s="16" t="str">
        <f aca="false">IF(B4930="","",IF(A4930=_xlfn.MINIFS($A$2:$A$5001,$B$2:$B$5001,B4930),1,0))</f>
        <v/>
      </c>
      <c r="K4930" s="16" t="str">
        <f aca="false">IF(B4930="","",IF(AND(D4930="Formalização",E4930="Concluído"),IF(COUNTIFS($B$2:$B$5001,B4930,$E$2:$E$5001,"Em ajustes",$A$2:$A$5001,"&lt;"&amp;I4930)&gt;0,1,0),0))</f>
        <v/>
      </c>
      <c r="L4930" s="16" t="str">
        <f aca="false">IF(B4930="","",IF(A4930=_xlfn.MAXIFS($A$2:$A$5001,$B$2:$B$5001,B4930,$I$2:$I$5001,I4930),1,0))</f>
        <v/>
      </c>
    </row>
    <row r="4931" customFormat="false" ht="15" hidden="false" customHeight="false" outlineLevel="0" collapsed="false">
      <c r="I4931" s="15" t="str">
        <f aca="false">IF(A4931="","",INT(A4931))</f>
        <v/>
      </c>
      <c r="J4931" s="16" t="str">
        <f aca="false">IF(B4931="","",IF(A4931=_xlfn.MINIFS($A$2:$A$5001,$B$2:$B$5001,B4931),1,0))</f>
        <v/>
      </c>
      <c r="K4931" s="16" t="str">
        <f aca="false">IF(B4931="","",IF(AND(D4931="Formalização",E4931="Concluído"),IF(COUNTIFS($B$2:$B$5001,B4931,$E$2:$E$5001,"Em ajustes",$A$2:$A$5001,"&lt;"&amp;I4931)&gt;0,1,0),0))</f>
        <v/>
      </c>
      <c r="L4931" s="16" t="str">
        <f aca="false">IF(B4931="","",IF(A4931=_xlfn.MAXIFS($A$2:$A$5001,$B$2:$B$5001,B4931,$I$2:$I$5001,I4931),1,0))</f>
        <v/>
      </c>
    </row>
    <row r="4932" customFormat="false" ht="15" hidden="false" customHeight="false" outlineLevel="0" collapsed="false">
      <c r="I4932" s="15" t="str">
        <f aca="false">IF(A4932="","",INT(A4932))</f>
        <v/>
      </c>
      <c r="J4932" s="16" t="str">
        <f aca="false">IF(B4932="","",IF(A4932=_xlfn.MINIFS($A$2:$A$5001,$B$2:$B$5001,B4932),1,0))</f>
        <v/>
      </c>
      <c r="K4932" s="16" t="str">
        <f aca="false">IF(B4932="","",IF(AND(D4932="Formalização",E4932="Concluído"),IF(COUNTIFS($B$2:$B$5001,B4932,$E$2:$E$5001,"Em ajustes",$A$2:$A$5001,"&lt;"&amp;I4932)&gt;0,1,0),0))</f>
        <v/>
      </c>
      <c r="L4932" s="16" t="str">
        <f aca="false">IF(B4932="","",IF(A4932=_xlfn.MAXIFS($A$2:$A$5001,$B$2:$B$5001,B4932,$I$2:$I$5001,I4932),1,0))</f>
        <v/>
      </c>
    </row>
    <row r="4933" customFormat="false" ht="15" hidden="false" customHeight="false" outlineLevel="0" collapsed="false">
      <c r="I4933" s="15" t="str">
        <f aca="false">IF(A4933="","",INT(A4933))</f>
        <v/>
      </c>
      <c r="J4933" s="16" t="str">
        <f aca="false">IF(B4933="","",IF(A4933=_xlfn.MINIFS($A$2:$A$5001,$B$2:$B$5001,B4933),1,0))</f>
        <v/>
      </c>
      <c r="K4933" s="16" t="str">
        <f aca="false">IF(B4933="","",IF(AND(D4933="Formalização",E4933="Concluído"),IF(COUNTIFS($B$2:$B$5001,B4933,$E$2:$E$5001,"Em ajustes",$A$2:$A$5001,"&lt;"&amp;I4933)&gt;0,1,0),0))</f>
        <v/>
      </c>
      <c r="L4933" s="16" t="str">
        <f aca="false">IF(B4933="","",IF(A4933=_xlfn.MAXIFS($A$2:$A$5001,$B$2:$B$5001,B4933,$I$2:$I$5001,I4933),1,0))</f>
        <v/>
      </c>
    </row>
    <row r="4934" customFormat="false" ht="15" hidden="false" customHeight="false" outlineLevel="0" collapsed="false">
      <c r="I4934" s="15" t="str">
        <f aca="false">IF(A4934="","",INT(A4934))</f>
        <v/>
      </c>
      <c r="J4934" s="16" t="str">
        <f aca="false">IF(B4934="","",IF(A4934=_xlfn.MINIFS($A$2:$A$5001,$B$2:$B$5001,B4934),1,0))</f>
        <v/>
      </c>
      <c r="K4934" s="16" t="str">
        <f aca="false">IF(B4934="","",IF(AND(D4934="Formalização",E4934="Concluído"),IF(COUNTIFS($B$2:$B$5001,B4934,$E$2:$E$5001,"Em ajustes",$A$2:$A$5001,"&lt;"&amp;I4934)&gt;0,1,0),0))</f>
        <v/>
      </c>
      <c r="L4934" s="16" t="str">
        <f aca="false">IF(B4934="","",IF(A4934=_xlfn.MAXIFS($A$2:$A$5001,$B$2:$B$5001,B4934,$I$2:$I$5001,I4934),1,0))</f>
        <v/>
      </c>
    </row>
    <row r="4935" customFormat="false" ht="15" hidden="false" customHeight="false" outlineLevel="0" collapsed="false">
      <c r="I4935" s="15" t="str">
        <f aca="false">IF(A4935="","",INT(A4935))</f>
        <v/>
      </c>
      <c r="J4935" s="16" t="str">
        <f aca="false">IF(B4935="","",IF(A4935=_xlfn.MINIFS($A$2:$A$5001,$B$2:$B$5001,B4935),1,0))</f>
        <v/>
      </c>
      <c r="K4935" s="16" t="str">
        <f aca="false">IF(B4935="","",IF(AND(D4935="Formalização",E4935="Concluído"),IF(COUNTIFS($B$2:$B$5001,B4935,$E$2:$E$5001,"Em ajustes",$A$2:$A$5001,"&lt;"&amp;I4935)&gt;0,1,0),0))</f>
        <v/>
      </c>
      <c r="L4935" s="16" t="str">
        <f aca="false">IF(B4935="","",IF(A4935=_xlfn.MAXIFS($A$2:$A$5001,$B$2:$B$5001,B4935,$I$2:$I$5001,I4935),1,0))</f>
        <v/>
      </c>
    </row>
    <row r="4936" customFormat="false" ht="15" hidden="false" customHeight="false" outlineLevel="0" collapsed="false">
      <c r="I4936" s="15" t="str">
        <f aca="false">IF(A4936="","",INT(A4936))</f>
        <v/>
      </c>
      <c r="J4936" s="16" t="str">
        <f aca="false">IF(B4936="","",IF(A4936=_xlfn.MINIFS($A$2:$A$5001,$B$2:$B$5001,B4936),1,0))</f>
        <v/>
      </c>
      <c r="K4936" s="16" t="str">
        <f aca="false">IF(B4936="","",IF(AND(D4936="Formalização",E4936="Concluído"),IF(COUNTIFS($B$2:$B$5001,B4936,$E$2:$E$5001,"Em ajustes",$A$2:$A$5001,"&lt;"&amp;I4936)&gt;0,1,0),0))</f>
        <v/>
      </c>
      <c r="L4936" s="16" t="str">
        <f aca="false">IF(B4936="","",IF(A4936=_xlfn.MAXIFS($A$2:$A$5001,$B$2:$B$5001,B4936,$I$2:$I$5001,I4936),1,0))</f>
        <v/>
      </c>
    </row>
    <row r="4937" customFormat="false" ht="15" hidden="false" customHeight="false" outlineLevel="0" collapsed="false">
      <c r="I4937" s="15" t="str">
        <f aca="false">IF(A4937="","",INT(A4937))</f>
        <v/>
      </c>
      <c r="J4937" s="16" t="str">
        <f aca="false">IF(B4937="","",IF(A4937=_xlfn.MINIFS($A$2:$A$5001,$B$2:$B$5001,B4937),1,0))</f>
        <v/>
      </c>
      <c r="K4937" s="16" t="str">
        <f aca="false">IF(B4937="","",IF(AND(D4937="Formalização",E4937="Concluído"),IF(COUNTIFS($B$2:$B$5001,B4937,$E$2:$E$5001,"Em ajustes",$A$2:$A$5001,"&lt;"&amp;I4937)&gt;0,1,0),0))</f>
        <v/>
      </c>
      <c r="L4937" s="16" t="str">
        <f aca="false">IF(B4937="","",IF(A4937=_xlfn.MAXIFS($A$2:$A$5001,$B$2:$B$5001,B4937,$I$2:$I$5001,I4937),1,0))</f>
        <v/>
      </c>
    </row>
    <row r="4938" customFormat="false" ht="15" hidden="false" customHeight="false" outlineLevel="0" collapsed="false">
      <c r="I4938" s="15" t="str">
        <f aca="false">IF(A4938="","",INT(A4938))</f>
        <v/>
      </c>
      <c r="J4938" s="16" t="str">
        <f aca="false">IF(B4938="","",IF(A4938=_xlfn.MINIFS($A$2:$A$5001,$B$2:$B$5001,B4938),1,0))</f>
        <v/>
      </c>
      <c r="K4938" s="16" t="str">
        <f aca="false">IF(B4938="","",IF(AND(D4938="Formalização",E4938="Concluído"),IF(COUNTIFS($B$2:$B$5001,B4938,$E$2:$E$5001,"Em ajustes",$A$2:$A$5001,"&lt;"&amp;I4938)&gt;0,1,0),0))</f>
        <v/>
      </c>
      <c r="L4938" s="16" t="str">
        <f aca="false">IF(B4938="","",IF(A4938=_xlfn.MAXIFS($A$2:$A$5001,$B$2:$B$5001,B4938,$I$2:$I$5001,I4938),1,0))</f>
        <v/>
      </c>
    </row>
    <row r="4939" customFormat="false" ht="15" hidden="false" customHeight="false" outlineLevel="0" collapsed="false">
      <c r="I4939" s="15" t="str">
        <f aca="false">IF(A4939="","",INT(A4939))</f>
        <v/>
      </c>
      <c r="J4939" s="16" t="str">
        <f aca="false">IF(B4939="","",IF(A4939=_xlfn.MINIFS($A$2:$A$5001,$B$2:$B$5001,B4939),1,0))</f>
        <v/>
      </c>
      <c r="K4939" s="16" t="str">
        <f aca="false">IF(B4939="","",IF(AND(D4939="Formalização",E4939="Concluído"),IF(COUNTIFS($B$2:$B$5001,B4939,$E$2:$E$5001,"Em ajustes",$A$2:$A$5001,"&lt;"&amp;I4939)&gt;0,1,0),0))</f>
        <v/>
      </c>
      <c r="L4939" s="16" t="str">
        <f aca="false">IF(B4939="","",IF(A4939=_xlfn.MAXIFS($A$2:$A$5001,$B$2:$B$5001,B4939,$I$2:$I$5001,I4939),1,0))</f>
        <v/>
      </c>
    </row>
    <row r="4940" customFormat="false" ht="15" hidden="false" customHeight="false" outlineLevel="0" collapsed="false">
      <c r="I4940" s="15" t="str">
        <f aca="false">IF(A4940="","",INT(A4940))</f>
        <v/>
      </c>
      <c r="J4940" s="16" t="str">
        <f aca="false">IF(B4940="","",IF(A4940=_xlfn.MINIFS($A$2:$A$5001,$B$2:$B$5001,B4940),1,0))</f>
        <v/>
      </c>
      <c r="K4940" s="16" t="str">
        <f aca="false">IF(B4940="","",IF(AND(D4940="Formalização",E4940="Concluído"),IF(COUNTIFS($B$2:$B$5001,B4940,$E$2:$E$5001,"Em ajustes",$A$2:$A$5001,"&lt;"&amp;I4940)&gt;0,1,0),0))</f>
        <v/>
      </c>
      <c r="L4940" s="16" t="str">
        <f aca="false">IF(B4940="","",IF(A4940=_xlfn.MAXIFS($A$2:$A$5001,$B$2:$B$5001,B4940,$I$2:$I$5001,I4940),1,0))</f>
        <v/>
      </c>
    </row>
    <row r="4941" customFormat="false" ht="15" hidden="false" customHeight="false" outlineLevel="0" collapsed="false">
      <c r="I4941" s="15" t="str">
        <f aca="false">IF(A4941="","",INT(A4941))</f>
        <v/>
      </c>
      <c r="J4941" s="16" t="str">
        <f aca="false">IF(B4941="","",IF(A4941=_xlfn.MINIFS($A$2:$A$5001,$B$2:$B$5001,B4941),1,0))</f>
        <v/>
      </c>
      <c r="K4941" s="16" t="str">
        <f aca="false">IF(B4941="","",IF(AND(D4941="Formalização",E4941="Concluído"),IF(COUNTIFS($B$2:$B$5001,B4941,$E$2:$E$5001,"Em ajustes",$A$2:$A$5001,"&lt;"&amp;I4941)&gt;0,1,0),0))</f>
        <v/>
      </c>
      <c r="L4941" s="16" t="str">
        <f aca="false">IF(B4941="","",IF(A4941=_xlfn.MAXIFS($A$2:$A$5001,$B$2:$B$5001,B4941,$I$2:$I$5001,I4941),1,0))</f>
        <v/>
      </c>
    </row>
    <row r="4942" customFormat="false" ht="15" hidden="false" customHeight="false" outlineLevel="0" collapsed="false">
      <c r="I4942" s="15" t="str">
        <f aca="false">IF(A4942="","",INT(A4942))</f>
        <v/>
      </c>
      <c r="J4942" s="16" t="str">
        <f aca="false">IF(B4942="","",IF(A4942=_xlfn.MINIFS($A$2:$A$5001,$B$2:$B$5001,B4942),1,0))</f>
        <v/>
      </c>
      <c r="K4942" s="16" t="str">
        <f aca="false">IF(B4942="","",IF(AND(D4942="Formalização",E4942="Concluído"),IF(COUNTIFS($B$2:$B$5001,B4942,$E$2:$E$5001,"Em ajustes",$A$2:$A$5001,"&lt;"&amp;I4942)&gt;0,1,0),0))</f>
        <v/>
      </c>
      <c r="L4942" s="16" t="str">
        <f aca="false">IF(B4942="","",IF(A4942=_xlfn.MAXIFS($A$2:$A$5001,$B$2:$B$5001,B4942,$I$2:$I$5001,I4942),1,0))</f>
        <v/>
      </c>
    </row>
    <row r="4943" customFormat="false" ht="15" hidden="false" customHeight="false" outlineLevel="0" collapsed="false">
      <c r="I4943" s="15" t="str">
        <f aca="false">IF(A4943="","",INT(A4943))</f>
        <v/>
      </c>
      <c r="J4943" s="16" t="str">
        <f aca="false">IF(B4943="","",IF(A4943=_xlfn.MINIFS($A$2:$A$5001,$B$2:$B$5001,B4943),1,0))</f>
        <v/>
      </c>
      <c r="K4943" s="16" t="str">
        <f aca="false">IF(B4943="","",IF(AND(D4943="Formalização",E4943="Concluído"),IF(COUNTIFS($B$2:$B$5001,B4943,$E$2:$E$5001,"Em ajustes",$A$2:$A$5001,"&lt;"&amp;I4943)&gt;0,1,0),0))</f>
        <v/>
      </c>
      <c r="L4943" s="16" t="str">
        <f aca="false">IF(B4943="","",IF(A4943=_xlfn.MAXIFS($A$2:$A$5001,$B$2:$B$5001,B4943,$I$2:$I$5001,I4943),1,0))</f>
        <v/>
      </c>
    </row>
    <row r="4944" customFormat="false" ht="15" hidden="false" customHeight="false" outlineLevel="0" collapsed="false">
      <c r="I4944" s="15" t="str">
        <f aca="false">IF(A4944="","",INT(A4944))</f>
        <v/>
      </c>
      <c r="J4944" s="16" t="str">
        <f aca="false">IF(B4944="","",IF(A4944=_xlfn.MINIFS($A$2:$A$5001,$B$2:$B$5001,B4944),1,0))</f>
        <v/>
      </c>
      <c r="K4944" s="16" t="str">
        <f aca="false">IF(B4944="","",IF(AND(D4944="Formalização",E4944="Concluído"),IF(COUNTIFS($B$2:$B$5001,B4944,$E$2:$E$5001,"Em ajustes",$A$2:$A$5001,"&lt;"&amp;I4944)&gt;0,1,0),0))</f>
        <v/>
      </c>
      <c r="L4944" s="16" t="str">
        <f aca="false">IF(B4944="","",IF(A4944=_xlfn.MAXIFS($A$2:$A$5001,$B$2:$B$5001,B4944,$I$2:$I$5001,I4944),1,0))</f>
        <v/>
      </c>
    </row>
    <row r="4945" customFormat="false" ht="15" hidden="false" customHeight="false" outlineLevel="0" collapsed="false">
      <c r="I4945" s="15" t="str">
        <f aca="false">IF(A4945="","",INT(A4945))</f>
        <v/>
      </c>
      <c r="J4945" s="16" t="str">
        <f aca="false">IF(B4945="","",IF(A4945=_xlfn.MINIFS($A$2:$A$5001,$B$2:$B$5001,B4945),1,0))</f>
        <v/>
      </c>
      <c r="K4945" s="16" t="str">
        <f aca="false">IF(B4945="","",IF(AND(D4945="Formalização",E4945="Concluído"),IF(COUNTIFS($B$2:$B$5001,B4945,$E$2:$E$5001,"Em ajustes",$A$2:$A$5001,"&lt;"&amp;I4945)&gt;0,1,0),0))</f>
        <v/>
      </c>
      <c r="L4945" s="16" t="str">
        <f aca="false">IF(B4945="","",IF(A4945=_xlfn.MAXIFS($A$2:$A$5001,$B$2:$B$5001,B4945,$I$2:$I$5001,I4945),1,0))</f>
        <v/>
      </c>
    </row>
    <row r="4946" customFormat="false" ht="15" hidden="false" customHeight="false" outlineLevel="0" collapsed="false">
      <c r="I4946" s="15" t="str">
        <f aca="false">IF(A4946="","",INT(A4946))</f>
        <v/>
      </c>
      <c r="J4946" s="16" t="str">
        <f aca="false">IF(B4946="","",IF(A4946=_xlfn.MINIFS($A$2:$A$5001,$B$2:$B$5001,B4946),1,0))</f>
        <v/>
      </c>
      <c r="K4946" s="16" t="str">
        <f aca="false">IF(B4946="","",IF(AND(D4946="Formalização",E4946="Concluído"),IF(COUNTIFS($B$2:$B$5001,B4946,$E$2:$E$5001,"Em ajustes",$A$2:$A$5001,"&lt;"&amp;I4946)&gt;0,1,0),0))</f>
        <v/>
      </c>
      <c r="L4946" s="16" t="str">
        <f aca="false">IF(B4946="","",IF(A4946=_xlfn.MAXIFS($A$2:$A$5001,$B$2:$B$5001,B4946,$I$2:$I$5001,I4946),1,0))</f>
        <v/>
      </c>
    </row>
    <row r="4947" customFormat="false" ht="15" hidden="false" customHeight="false" outlineLevel="0" collapsed="false">
      <c r="I4947" s="15" t="str">
        <f aca="false">IF(A4947="","",INT(A4947))</f>
        <v/>
      </c>
      <c r="J4947" s="16" t="str">
        <f aca="false">IF(B4947="","",IF(A4947=_xlfn.MINIFS($A$2:$A$5001,$B$2:$B$5001,B4947),1,0))</f>
        <v/>
      </c>
      <c r="K4947" s="16" t="str">
        <f aca="false">IF(B4947="","",IF(AND(D4947="Formalização",E4947="Concluído"),IF(COUNTIFS($B$2:$B$5001,B4947,$E$2:$E$5001,"Em ajustes",$A$2:$A$5001,"&lt;"&amp;I4947)&gt;0,1,0),0))</f>
        <v/>
      </c>
      <c r="L4947" s="16" t="str">
        <f aca="false">IF(B4947="","",IF(A4947=_xlfn.MAXIFS($A$2:$A$5001,$B$2:$B$5001,B4947,$I$2:$I$5001,I4947),1,0))</f>
        <v/>
      </c>
    </row>
    <row r="4948" customFormat="false" ht="15" hidden="false" customHeight="false" outlineLevel="0" collapsed="false">
      <c r="I4948" s="15" t="str">
        <f aca="false">IF(A4948="","",INT(A4948))</f>
        <v/>
      </c>
      <c r="J4948" s="16" t="str">
        <f aca="false">IF(B4948="","",IF(A4948=_xlfn.MINIFS($A$2:$A$5001,$B$2:$B$5001,B4948),1,0))</f>
        <v/>
      </c>
      <c r="K4948" s="16" t="str">
        <f aca="false">IF(B4948="","",IF(AND(D4948="Formalização",E4948="Concluído"),IF(COUNTIFS($B$2:$B$5001,B4948,$E$2:$E$5001,"Em ajustes",$A$2:$A$5001,"&lt;"&amp;I4948)&gt;0,1,0),0))</f>
        <v/>
      </c>
      <c r="L4948" s="16" t="str">
        <f aca="false">IF(B4948="","",IF(A4948=_xlfn.MAXIFS($A$2:$A$5001,$B$2:$B$5001,B4948,$I$2:$I$5001,I4948),1,0))</f>
        <v/>
      </c>
    </row>
    <row r="4949" customFormat="false" ht="15" hidden="false" customHeight="false" outlineLevel="0" collapsed="false">
      <c r="I4949" s="15" t="str">
        <f aca="false">IF(A4949="","",INT(A4949))</f>
        <v/>
      </c>
      <c r="J4949" s="16" t="str">
        <f aca="false">IF(B4949="","",IF(A4949=_xlfn.MINIFS($A$2:$A$5001,$B$2:$B$5001,B4949),1,0))</f>
        <v/>
      </c>
      <c r="K4949" s="16" t="str">
        <f aca="false">IF(B4949="","",IF(AND(D4949="Formalização",E4949="Concluído"),IF(COUNTIFS($B$2:$B$5001,B4949,$E$2:$E$5001,"Em ajustes",$A$2:$A$5001,"&lt;"&amp;I4949)&gt;0,1,0),0))</f>
        <v/>
      </c>
      <c r="L4949" s="16" t="str">
        <f aca="false">IF(B4949="","",IF(A4949=_xlfn.MAXIFS($A$2:$A$5001,$B$2:$B$5001,B4949,$I$2:$I$5001,I4949),1,0))</f>
        <v/>
      </c>
    </row>
    <row r="4950" customFormat="false" ht="15" hidden="false" customHeight="false" outlineLevel="0" collapsed="false">
      <c r="I4950" s="15" t="str">
        <f aca="false">IF(A4950="","",INT(A4950))</f>
        <v/>
      </c>
      <c r="J4950" s="16" t="str">
        <f aca="false">IF(B4950="","",IF(A4950=_xlfn.MINIFS($A$2:$A$5001,$B$2:$B$5001,B4950),1,0))</f>
        <v/>
      </c>
      <c r="K4950" s="16" t="str">
        <f aca="false">IF(B4950="","",IF(AND(D4950="Formalização",E4950="Concluído"),IF(COUNTIFS($B$2:$B$5001,B4950,$E$2:$E$5001,"Em ajustes",$A$2:$A$5001,"&lt;"&amp;I4950)&gt;0,1,0),0))</f>
        <v/>
      </c>
      <c r="L4950" s="16" t="str">
        <f aca="false">IF(B4950="","",IF(A4950=_xlfn.MAXIFS($A$2:$A$5001,$B$2:$B$5001,B4950,$I$2:$I$5001,I4950),1,0))</f>
        <v/>
      </c>
    </row>
    <row r="4951" customFormat="false" ht="15" hidden="false" customHeight="false" outlineLevel="0" collapsed="false">
      <c r="I4951" s="15" t="str">
        <f aca="false">IF(A4951="","",INT(A4951))</f>
        <v/>
      </c>
      <c r="J4951" s="16" t="str">
        <f aca="false">IF(B4951="","",IF(A4951=_xlfn.MINIFS($A$2:$A$5001,$B$2:$B$5001,B4951),1,0))</f>
        <v/>
      </c>
      <c r="K4951" s="16" t="str">
        <f aca="false">IF(B4951="","",IF(AND(D4951="Formalização",E4951="Concluído"),IF(COUNTIFS($B$2:$B$5001,B4951,$E$2:$E$5001,"Em ajustes",$A$2:$A$5001,"&lt;"&amp;I4951)&gt;0,1,0),0))</f>
        <v/>
      </c>
      <c r="L4951" s="16" t="str">
        <f aca="false">IF(B4951="","",IF(A4951=_xlfn.MAXIFS($A$2:$A$5001,$B$2:$B$5001,B4951,$I$2:$I$5001,I4951),1,0))</f>
        <v/>
      </c>
    </row>
    <row r="4952" customFormat="false" ht="15" hidden="false" customHeight="false" outlineLevel="0" collapsed="false">
      <c r="I4952" s="15" t="str">
        <f aca="false">IF(A4952="","",INT(A4952))</f>
        <v/>
      </c>
      <c r="J4952" s="16" t="str">
        <f aca="false">IF(B4952="","",IF(A4952=_xlfn.MINIFS($A$2:$A$5001,$B$2:$B$5001,B4952),1,0))</f>
        <v/>
      </c>
      <c r="K4952" s="16" t="str">
        <f aca="false">IF(B4952="","",IF(AND(D4952="Formalização",E4952="Concluído"),IF(COUNTIFS($B$2:$B$5001,B4952,$E$2:$E$5001,"Em ajustes",$A$2:$A$5001,"&lt;"&amp;I4952)&gt;0,1,0),0))</f>
        <v/>
      </c>
      <c r="L4952" s="16" t="str">
        <f aca="false">IF(B4952="","",IF(A4952=_xlfn.MAXIFS($A$2:$A$5001,$B$2:$B$5001,B4952,$I$2:$I$5001,I4952),1,0))</f>
        <v/>
      </c>
    </row>
    <row r="4953" customFormat="false" ht="15" hidden="false" customHeight="false" outlineLevel="0" collapsed="false">
      <c r="I4953" s="15" t="str">
        <f aca="false">IF(A4953="","",INT(A4953))</f>
        <v/>
      </c>
      <c r="J4953" s="16" t="str">
        <f aca="false">IF(B4953="","",IF(A4953=_xlfn.MINIFS($A$2:$A$5001,$B$2:$B$5001,B4953),1,0))</f>
        <v/>
      </c>
      <c r="K4953" s="16" t="str">
        <f aca="false">IF(B4953="","",IF(AND(D4953="Formalização",E4953="Concluído"),IF(COUNTIFS($B$2:$B$5001,B4953,$E$2:$E$5001,"Em ajustes",$A$2:$A$5001,"&lt;"&amp;I4953)&gt;0,1,0),0))</f>
        <v/>
      </c>
      <c r="L4953" s="16" t="str">
        <f aca="false">IF(B4953="","",IF(A4953=_xlfn.MAXIFS($A$2:$A$5001,$B$2:$B$5001,B4953,$I$2:$I$5001,I4953),1,0))</f>
        <v/>
      </c>
    </row>
    <row r="4954" customFormat="false" ht="15" hidden="false" customHeight="false" outlineLevel="0" collapsed="false">
      <c r="I4954" s="15" t="str">
        <f aca="false">IF(A4954="","",INT(A4954))</f>
        <v/>
      </c>
      <c r="J4954" s="16" t="str">
        <f aca="false">IF(B4954="","",IF(A4954=_xlfn.MINIFS($A$2:$A$5001,$B$2:$B$5001,B4954),1,0))</f>
        <v/>
      </c>
      <c r="K4954" s="16" t="str">
        <f aca="false">IF(B4954="","",IF(AND(D4954="Formalização",E4954="Concluído"),IF(COUNTIFS($B$2:$B$5001,B4954,$E$2:$E$5001,"Em ajustes",$A$2:$A$5001,"&lt;"&amp;I4954)&gt;0,1,0),0))</f>
        <v/>
      </c>
      <c r="L4954" s="16" t="str">
        <f aca="false">IF(B4954="","",IF(A4954=_xlfn.MAXIFS($A$2:$A$5001,$B$2:$B$5001,B4954,$I$2:$I$5001,I4954),1,0))</f>
        <v/>
      </c>
    </row>
    <row r="4955" customFormat="false" ht="15" hidden="false" customHeight="false" outlineLevel="0" collapsed="false">
      <c r="I4955" s="15" t="str">
        <f aca="false">IF(A4955="","",INT(A4955))</f>
        <v/>
      </c>
      <c r="J4955" s="16" t="str">
        <f aca="false">IF(B4955="","",IF(A4955=_xlfn.MINIFS($A$2:$A$5001,$B$2:$B$5001,B4955),1,0))</f>
        <v/>
      </c>
      <c r="K4955" s="16" t="str">
        <f aca="false">IF(B4955="","",IF(AND(D4955="Formalização",E4955="Concluído"),IF(COUNTIFS($B$2:$B$5001,B4955,$E$2:$E$5001,"Em ajustes",$A$2:$A$5001,"&lt;"&amp;I4955)&gt;0,1,0),0))</f>
        <v/>
      </c>
      <c r="L4955" s="16" t="str">
        <f aca="false">IF(B4955="","",IF(A4955=_xlfn.MAXIFS($A$2:$A$5001,$B$2:$B$5001,B4955,$I$2:$I$5001,I4955),1,0))</f>
        <v/>
      </c>
    </row>
    <row r="4956" customFormat="false" ht="15" hidden="false" customHeight="false" outlineLevel="0" collapsed="false">
      <c r="I4956" s="15" t="str">
        <f aca="false">IF(A4956="","",INT(A4956))</f>
        <v/>
      </c>
      <c r="J4956" s="16" t="str">
        <f aca="false">IF(B4956="","",IF(A4956=_xlfn.MINIFS($A$2:$A$5001,$B$2:$B$5001,B4956),1,0))</f>
        <v/>
      </c>
      <c r="K4956" s="16" t="str">
        <f aca="false">IF(B4956="","",IF(AND(D4956="Formalização",E4956="Concluído"),IF(COUNTIFS($B$2:$B$5001,B4956,$E$2:$E$5001,"Em ajustes",$A$2:$A$5001,"&lt;"&amp;I4956)&gt;0,1,0),0))</f>
        <v/>
      </c>
      <c r="L4956" s="16" t="str">
        <f aca="false">IF(B4956="","",IF(A4956=_xlfn.MAXIFS($A$2:$A$5001,$B$2:$B$5001,B4956,$I$2:$I$5001,I4956),1,0))</f>
        <v/>
      </c>
    </row>
    <row r="4957" customFormat="false" ht="15" hidden="false" customHeight="false" outlineLevel="0" collapsed="false">
      <c r="I4957" s="15" t="str">
        <f aca="false">IF(A4957="","",INT(A4957))</f>
        <v/>
      </c>
      <c r="J4957" s="16" t="str">
        <f aca="false">IF(B4957="","",IF(A4957=_xlfn.MINIFS($A$2:$A$5001,$B$2:$B$5001,B4957),1,0))</f>
        <v/>
      </c>
      <c r="K4957" s="16" t="str">
        <f aca="false">IF(B4957="","",IF(AND(D4957="Formalização",E4957="Concluído"),IF(COUNTIFS($B$2:$B$5001,B4957,$E$2:$E$5001,"Em ajustes",$A$2:$A$5001,"&lt;"&amp;I4957)&gt;0,1,0),0))</f>
        <v/>
      </c>
      <c r="L4957" s="16" t="str">
        <f aca="false">IF(B4957="","",IF(A4957=_xlfn.MAXIFS($A$2:$A$5001,$B$2:$B$5001,B4957,$I$2:$I$5001,I4957),1,0))</f>
        <v/>
      </c>
    </row>
    <row r="4958" customFormat="false" ht="15" hidden="false" customHeight="false" outlineLevel="0" collapsed="false">
      <c r="I4958" s="15" t="str">
        <f aca="false">IF(A4958="","",INT(A4958))</f>
        <v/>
      </c>
      <c r="J4958" s="16" t="str">
        <f aca="false">IF(B4958="","",IF(A4958=_xlfn.MINIFS($A$2:$A$5001,$B$2:$B$5001,B4958),1,0))</f>
        <v/>
      </c>
      <c r="K4958" s="16" t="str">
        <f aca="false">IF(B4958="","",IF(AND(D4958="Formalização",E4958="Concluído"),IF(COUNTIFS($B$2:$B$5001,B4958,$E$2:$E$5001,"Em ajustes",$A$2:$A$5001,"&lt;"&amp;I4958)&gt;0,1,0),0))</f>
        <v/>
      </c>
      <c r="L4958" s="16" t="str">
        <f aca="false">IF(B4958="","",IF(A4958=_xlfn.MAXIFS($A$2:$A$5001,$B$2:$B$5001,B4958,$I$2:$I$5001,I4958),1,0))</f>
        <v/>
      </c>
    </row>
    <row r="4959" customFormat="false" ht="15" hidden="false" customHeight="false" outlineLevel="0" collapsed="false">
      <c r="I4959" s="15" t="str">
        <f aca="false">IF(A4959="","",INT(A4959))</f>
        <v/>
      </c>
      <c r="J4959" s="16" t="str">
        <f aca="false">IF(B4959="","",IF(A4959=_xlfn.MINIFS($A$2:$A$5001,$B$2:$B$5001,B4959),1,0))</f>
        <v/>
      </c>
      <c r="K4959" s="16" t="str">
        <f aca="false">IF(B4959="","",IF(AND(D4959="Formalização",E4959="Concluído"),IF(COUNTIFS($B$2:$B$5001,B4959,$E$2:$E$5001,"Em ajustes",$A$2:$A$5001,"&lt;"&amp;I4959)&gt;0,1,0),0))</f>
        <v/>
      </c>
      <c r="L4959" s="16" t="str">
        <f aca="false">IF(B4959="","",IF(A4959=_xlfn.MAXIFS($A$2:$A$5001,$B$2:$B$5001,B4959,$I$2:$I$5001,I4959),1,0))</f>
        <v/>
      </c>
    </row>
    <row r="4960" customFormat="false" ht="15" hidden="false" customHeight="false" outlineLevel="0" collapsed="false">
      <c r="I4960" s="15" t="str">
        <f aca="false">IF(A4960="","",INT(A4960))</f>
        <v/>
      </c>
      <c r="J4960" s="16" t="str">
        <f aca="false">IF(B4960="","",IF(A4960=_xlfn.MINIFS($A$2:$A$5001,$B$2:$B$5001,B4960),1,0))</f>
        <v/>
      </c>
      <c r="K4960" s="16" t="str">
        <f aca="false">IF(B4960="","",IF(AND(D4960="Formalização",E4960="Concluído"),IF(COUNTIFS($B$2:$B$5001,B4960,$E$2:$E$5001,"Em ajustes",$A$2:$A$5001,"&lt;"&amp;I4960)&gt;0,1,0),0))</f>
        <v/>
      </c>
      <c r="L4960" s="16" t="str">
        <f aca="false">IF(B4960="","",IF(A4960=_xlfn.MAXIFS($A$2:$A$5001,$B$2:$B$5001,B4960,$I$2:$I$5001,I4960),1,0))</f>
        <v/>
      </c>
    </row>
    <row r="4961" customFormat="false" ht="15" hidden="false" customHeight="false" outlineLevel="0" collapsed="false">
      <c r="I4961" s="15" t="str">
        <f aca="false">IF(A4961="","",INT(A4961))</f>
        <v/>
      </c>
      <c r="J4961" s="16" t="str">
        <f aca="false">IF(B4961="","",IF(A4961=_xlfn.MINIFS($A$2:$A$5001,$B$2:$B$5001,B4961),1,0))</f>
        <v/>
      </c>
      <c r="K4961" s="16" t="str">
        <f aca="false">IF(B4961="","",IF(AND(D4961="Formalização",E4961="Concluído"),IF(COUNTIFS($B$2:$B$5001,B4961,$E$2:$E$5001,"Em ajustes",$A$2:$A$5001,"&lt;"&amp;I4961)&gt;0,1,0),0))</f>
        <v/>
      </c>
      <c r="L4961" s="16" t="str">
        <f aca="false">IF(B4961="","",IF(A4961=_xlfn.MAXIFS($A$2:$A$5001,$B$2:$B$5001,B4961,$I$2:$I$5001,I4961),1,0))</f>
        <v/>
      </c>
    </row>
    <row r="4962" customFormat="false" ht="15" hidden="false" customHeight="false" outlineLevel="0" collapsed="false">
      <c r="I4962" s="15" t="str">
        <f aca="false">IF(A4962="","",INT(A4962))</f>
        <v/>
      </c>
      <c r="J4962" s="16" t="str">
        <f aca="false">IF(B4962="","",IF(A4962=_xlfn.MINIFS($A$2:$A$5001,$B$2:$B$5001,B4962),1,0))</f>
        <v/>
      </c>
      <c r="K4962" s="16" t="str">
        <f aca="false">IF(B4962="","",IF(AND(D4962="Formalização",E4962="Concluído"),IF(COUNTIFS($B$2:$B$5001,B4962,$E$2:$E$5001,"Em ajustes",$A$2:$A$5001,"&lt;"&amp;I4962)&gt;0,1,0),0))</f>
        <v/>
      </c>
      <c r="L4962" s="16" t="str">
        <f aca="false">IF(B4962="","",IF(A4962=_xlfn.MAXIFS($A$2:$A$5001,$B$2:$B$5001,B4962,$I$2:$I$5001,I4962),1,0))</f>
        <v/>
      </c>
    </row>
    <row r="4963" customFormat="false" ht="15" hidden="false" customHeight="false" outlineLevel="0" collapsed="false">
      <c r="I4963" s="15" t="str">
        <f aca="false">IF(A4963="","",INT(A4963))</f>
        <v/>
      </c>
      <c r="J4963" s="16" t="str">
        <f aca="false">IF(B4963="","",IF(A4963=_xlfn.MINIFS($A$2:$A$5001,$B$2:$B$5001,B4963),1,0))</f>
        <v/>
      </c>
      <c r="K4963" s="16" t="str">
        <f aca="false">IF(B4963="","",IF(AND(D4963="Formalização",E4963="Concluído"),IF(COUNTIFS($B$2:$B$5001,B4963,$E$2:$E$5001,"Em ajustes",$A$2:$A$5001,"&lt;"&amp;I4963)&gt;0,1,0),0))</f>
        <v/>
      </c>
      <c r="L4963" s="16" t="str">
        <f aca="false">IF(B4963="","",IF(A4963=_xlfn.MAXIFS($A$2:$A$5001,$B$2:$B$5001,B4963,$I$2:$I$5001,I4963),1,0))</f>
        <v/>
      </c>
    </row>
    <row r="4964" customFormat="false" ht="15" hidden="false" customHeight="false" outlineLevel="0" collapsed="false">
      <c r="I4964" s="15" t="str">
        <f aca="false">IF(A4964="","",INT(A4964))</f>
        <v/>
      </c>
      <c r="J4964" s="16" t="str">
        <f aca="false">IF(B4964="","",IF(A4964=_xlfn.MINIFS($A$2:$A$5001,$B$2:$B$5001,B4964),1,0))</f>
        <v/>
      </c>
      <c r="K4964" s="16" t="str">
        <f aca="false">IF(B4964="","",IF(AND(D4964="Formalização",E4964="Concluído"),IF(COUNTIFS($B$2:$B$5001,B4964,$E$2:$E$5001,"Em ajustes",$A$2:$A$5001,"&lt;"&amp;I4964)&gt;0,1,0),0))</f>
        <v/>
      </c>
      <c r="L4964" s="16" t="str">
        <f aca="false">IF(B4964="","",IF(A4964=_xlfn.MAXIFS($A$2:$A$5001,$B$2:$B$5001,B4964,$I$2:$I$5001,I4964),1,0))</f>
        <v/>
      </c>
    </row>
    <row r="4965" customFormat="false" ht="15" hidden="false" customHeight="false" outlineLevel="0" collapsed="false">
      <c r="I4965" s="15" t="str">
        <f aca="false">IF(A4965="","",INT(A4965))</f>
        <v/>
      </c>
      <c r="J4965" s="16" t="str">
        <f aca="false">IF(B4965="","",IF(A4965=_xlfn.MINIFS($A$2:$A$5001,$B$2:$B$5001,B4965),1,0))</f>
        <v/>
      </c>
      <c r="K4965" s="16" t="str">
        <f aca="false">IF(B4965="","",IF(AND(D4965="Formalização",E4965="Concluído"),IF(COUNTIFS($B$2:$B$5001,B4965,$E$2:$E$5001,"Em ajustes",$A$2:$A$5001,"&lt;"&amp;I4965)&gt;0,1,0),0))</f>
        <v/>
      </c>
      <c r="L4965" s="16" t="str">
        <f aca="false">IF(B4965="","",IF(A4965=_xlfn.MAXIFS($A$2:$A$5001,$B$2:$B$5001,B4965,$I$2:$I$5001,I4965),1,0))</f>
        <v/>
      </c>
    </row>
    <row r="4966" customFormat="false" ht="15" hidden="false" customHeight="false" outlineLevel="0" collapsed="false">
      <c r="I4966" s="15" t="str">
        <f aca="false">IF(A4966="","",INT(A4966))</f>
        <v/>
      </c>
      <c r="J4966" s="16" t="str">
        <f aca="false">IF(B4966="","",IF(A4966=_xlfn.MINIFS($A$2:$A$5001,$B$2:$B$5001,B4966),1,0))</f>
        <v/>
      </c>
      <c r="K4966" s="16" t="str">
        <f aca="false">IF(B4966="","",IF(AND(D4966="Formalização",E4966="Concluído"),IF(COUNTIFS($B$2:$B$5001,B4966,$E$2:$E$5001,"Em ajustes",$A$2:$A$5001,"&lt;"&amp;I4966)&gt;0,1,0),0))</f>
        <v/>
      </c>
      <c r="L4966" s="16" t="str">
        <f aca="false">IF(B4966="","",IF(A4966=_xlfn.MAXIFS($A$2:$A$5001,$B$2:$B$5001,B4966,$I$2:$I$5001,I4966),1,0))</f>
        <v/>
      </c>
    </row>
    <row r="4967" customFormat="false" ht="15" hidden="false" customHeight="false" outlineLevel="0" collapsed="false">
      <c r="I4967" s="15" t="str">
        <f aca="false">IF(A4967="","",INT(A4967))</f>
        <v/>
      </c>
      <c r="J4967" s="16" t="str">
        <f aca="false">IF(B4967="","",IF(A4967=_xlfn.MINIFS($A$2:$A$5001,$B$2:$B$5001,B4967),1,0))</f>
        <v/>
      </c>
      <c r="K4967" s="16" t="str">
        <f aca="false">IF(B4967="","",IF(AND(D4967="Formalização",E4967="Concluído"),IF(COUNTIFS($B$2:$B$5001,B4967,$E$2:$E$5001,"Em ajustes",$A$2:$A$5001,"&lt;"&amp;I4967)&gt;0,1,0),0))</f>
        <v/>
      </c>
      <c r="L4967" s="16" t="str">
        <f aca="false">IF(B4967="","",IF(A4967=_xlfn.MAXIFS($A$2:$A$5001,$B$2:$B$5001,B4967,$I$2:$I$5001,I4967),1,0))</f>
        <v/>
      </c>
    </row>
    <row r="4968" customFormat="false" ht="15" hidden="false" customHeight="false" outlineLevel="0" collapsed="false">
      <c r="I4968" s="15" t="str">
        <f aca="false">IF(A4968="","",INT(A4968))</f>
        <v/>
      </c>
      <c r="J4968" s="16" t="str">
        <f aca="false">IF(B4968="","",IF(A4968=_xlfn.MINIFS($A$2:$A$5001,$B$2:$B$5001,B4968),1,0))</f>
        <v/>
      </c>
      <c r="K4968" s="16" t="str">
        <f aca="false">IF(B4968="","",IF(AND(D4968="Formalização",E4968="Concluído"),IF(COUNTIFS($B$2:$B$5001,B4968,$E$2:$E$5001,"Em ajustes",$A$2:$A$5001,"&lt;"&amp;I4968)&gt;0,1,0),0))</f>
        <v/>
      </c>
      <c r="L4968" s="16" t="str">
        <f aca="false">IF(B4968="","",IF(A4968=_xlfn.MAXIFS($A$2:$A$5001,$B$2:$B$5001,B4968,$I$2:$I$5001,I4968),1,0))</f>
        <v/>
      </c>
    </row>
    <row r="4969" customFormat="false" ht="15" hidden="false" customHeight="false" outlineLevel="0" collapsed="false">
      <c r="I4969" s="15" t="str">
        <f aca="false">IF(A4969="","",INT(A4969))</f>
        <v/>
      </c>
      <c r="J4969" s="16" t="str">
        <f aca="false">IF(B4969="","",IF(A4969=_xlfn.MINIFS($A$2:$A$5001,$B$2:$B$5001,B4969),1,0))</f>
        <v/>
      </c>
      <c r="K4969" s="16" t="str">
        <f aca="false">IF(B4969="","",IF(AND(D4969="Formalização",E4969="Concluído"),IF(COUNTIFS($B$2:$B$5001,B4969,$E$2:$E$5001,"Em ajustes",$A$2:$A$5001,"&lt;"&amp;I4969)&gt;0,1,0),0))</f>
        <v/>
      </c>
      <c r="L4969" s="16" t="str">
        <f aca="false">IF(B4969="","",IF(A4969=_xlfn.MAXIFS($A$2:$A$5001,$B$2:$B$5001,B4969,$I$2:$I$5001,I4969),1,0))</f>
        <v/>
      </c>
    </row>
    <row r="4970" customFormat="false" ht="15" hidden="false" customHeight="false" outlineLevel="0" collapsed="false">
      <c r="I4970" s="15" t="str">
        <f aca="false">IF(A4970="","",INT(A4970))</f>
        <v/>
      </c>
      <c r="J4970" s="16" t="str">
        <f aca="false">IF(B4970="","",IF(A4970=_xlfn.MINIFS($A$2:$A$5001,$B$2:$B$5001,B4970),1,0))</f>
        <v/>
      </c>
      <c r="K4970" s="16" t="str">
        <f aca="false">IF(B4970="","",IF(AND(D4970="Formalização",E4970="Concluído"),IF(COUNTIFS($B$2:$B$5001,B4970,$E$2:$E$5001,"Em ajustes",$A$2:$A$5001,"&lt;"&amp;I4970)&gt;0,1,0),0))</f>
        <v/>
      </c>
      <c r="L4970" s="16" t="str">
        <f aca="false">IF(B4970="","",IF(A4970=_xlfn.MAXIFS($A$2:$A$5001,$B$2:$B$5001,B4970,$I$2:$I$5001,I4970),1,0))</f>
        <v/>
      </c>
    </row>
    <row r="4971" customFormat="false" ht="15" hidden="false" customHeight="false" outlineLevel="0" collapsed="false">
      <c r="I4971" s="15" t="str">
        <f aca="false">IF(A4971="","",INT(A4971))</f>
        <v/>
      </c>
      <c r="J4971" s="16" t="str">
        <f aca="false">IF(B4971="","",IF(A4971=_xlfn.MINIFS($A$2:$A$5001,$B$2:$B$5001,B4971),1,0))</f>
        <v/>
      </c>
      <c r="K4971" s="16" t="str">
        <f aca="false">IF(B4971="","",IF(AND(D4971="Formalização",E4971="Concluído"),IF(COUNTIFS($B$2:$B$5001,B4971,$E$2:$E$5001,"Em ajustes",$A$2:$A$5001,"&lt;"&amp;I4971)&gt;0,1,0),0))</f>
        <v/>
      </c>
      <c r="L4971" s="16" t="str">
        <f aca="false">IF(B4971="","",IF(A4971=_xlfn.MAXIFS($A$2:$A$5001,$B$2:$B$5001,B4971,$I$2:$I$5001,I4971),1,0))</f>
        <v/>
      </c>
    </row>
    <row r="4972" customFormat="false" ht="15" hidden="false" customHeight="false" outlineLevel="0" collapsed="false">
      <c r="I4972" s="15" t="str">
        <f aca="false">IF(A4972="","",INT(A4972))</f>
        <v/>
      </c>
      <c r="J4972" s="16" t="str">
        <f aca="false">IF(B4972="","",IF(A4972=_xlfn.MINIFS($A$2:$A$5001,$B$2:$B$5001,B4972),1,0))</f>
        <v/>
      </c>
      <c r="K4972" s="16" t="str">
        <f aca="false">IF(B4972="","",IF(AND(D4972="Formalização",E4972="Concluído"),IF(COUNTIFS($B$2:$B$5001,B4972,$E$2:$E$5001,"Em ajustes",$A$2:$A$5001,"&lt;"&amp;I4972)&gt;0,1,0),0))</f>
        <v/>
      </c>
      <c r="L4972" s="16" t="str">
        <f aca="false">IF(B4972="","",IF(A4972=_xlfn.MAXIFS($A$2:$A$5001,$B$2:$B$5001,B4972,$I$2:$I$5001,I4972),1,0))</f>
        <v/>
      </c>
    </row>
    <row r="4973" customFormat="false" ht="15" hidden="false" customHeight="false" outlineLevel="0" collapsed="false">
      <c r="I4973" s="15" t="str">
        <f aca="false">IF(A4973="","",INT(A4973))</f>
        <v/>
      </c>
      <c r="J4973" s="16" t="str">
        <f aca="false">IF(B4973="","",IF(A4973=_xlfn.MINIFS($A$2:$A$5001,$B$2:$B$5001,B4973),1,0))</f>
        <v/>
      </c>
      <c r="K4973" s="16" t="str">
        <f aca="false">IF(B4973="","",IF(AND(D4973="Formalização",E4973="Concluído"),IF(COUNTIFS($B$2:$B$5001,B4973,$E$2:$E$5001,"Em ajustes",$A$2:$A$5001,"&lt;"&amp;I4973)&gt;0,1,0),0))</f>
        <v/>
      </c>
      <c r="L4973" s="16" t="str">
        <f aca="false">IF(B4973="","",IF(A4973=_xlfn.MAXIFS($A$2:$A$5001,$B$2:$B$5001,B4973,$I$2:$I$5001,I4973),1,0))</f>
        <v/>
      </c>
    </row>
    <row r="4974" customFormat="false" ht="15" hidden="false" customHeight="false" outlineLevel="0" collapsed="false">
      <c r="I4974" s="15" t="str">
        <f aca="false">IF(A4974="","",INT(A4974))</f>
        <v/>
      </c>
      <c r="J4974" s="16" t="str">
        <f aca="false">IF(B4974="","",IF(A4974=_xlfn.MINIFS($A$2:$A$5001,$B$2:$B$5001,B4974),1,0))</f>
        <v/>
      </c>
      <c r="K4974" s="16" t="str">
        <f aca="false">IF(B4974="","",IF(AND(D4974="Formalização",E4974="Concluído"),IF(COUNTIFS($B$2:$B$5001,B4974,$E$2:$E$5001,"Em ajustes",$A$2:$A$5001,"&lt;"&amp;I4974)&gt;0,1,0),0))</f>
        <v/>
      </c>
      <c r="L4974" s="16" t="str">
        <f aca="false">IF(B4974="","",IF(A4974=_xlfn.MAXIFS($A$2:$A$5001,$B$2:$B$5001,B4974,$I$2:$I$5001,I4974),1,0))</f>
        <v/>
      </c>
    </row>
    <row r="4975" customFormat="false" ht="15" hidden="false" customHeight="false" outlineLevel="0" collapsed="false">
      <c r="I4975" s="15" t="str">
        <f aca="false">IF(A4975="","",INT(A4975))</f>
        <v/>
      </c>
      <c r="J4975" s="16" t="str">
        <f aca="false">IF(B4975="","",IF(A4975=_xlfn.MINIFS($A$2:$A$5001,$B$2:$B$5001,B4975),1,0))</f>
        <v/>
      </c>
      <c r="K4975" s="16" t="str">
        <f aca="false">IF(B4975="","",IF(AND(D4975="Formalização",E4975="Concluído"),IF(COUNTIFS($B$2:$B$5001,B4975,$E$2:$E$5001,"Em ajustes",$A$2:$A$5001,"&lt;"&amp;I4975)&gt;0,1,0),0))</f>
        <v/>
      </c>
      <c r="L4975" s="16" t="str">
        <f aca="false">IF(B4975="","",IF(A4975=_xlfn.MAXIFS($A$2:$A$5001,$B$2:$B$5001,B4975,$I$2:$I$5001,I4975),1,0))</f>
        <v/>
      </c>
    </row>
    <row r="4976" customFormat="false" ht="15" hidden="false" customHeight="false" outlineLevel="0" collapsed="false">
      <c r="I4976" s="15" t="str">
        <f aca="false">IF(A4976="","",INT(A4976))</f>
        <v/>
      </c>
      <c r="J4976" s="16" t="str">
        <f aca="false">IF(B4976="","",IF(A4976=_xlfn.MINIFS($A$2:$A$5001,$B$2:$B$5001,B4976),1,0))</f>
        <v/>
      </c>
      <c r="K4976" s="16" t="str">
        <f aca="false">IF(B4976="","",IF(AND(D4976="Formalização",E4976="Concluído"),IF(COUNTIFS($B$2:$B$5001,B4976,$E$2:$E$5001,"Em ajustes",$A$2:$A$5001,"&lt;"&amp;I4976)&gt;0,1,0),0))</f>
        <v/>
      </c>
      <c r="L4976" s="16" t="str">
        <f aca="false">IF(B4976="","",IF(A4976=_xlfn.MAXIFS($A$2:$A$5001,$B$2:$B$5001,B4976,$I$2:$I$5001,I4976),1,0))</f>
        <v/>
      </c>
    </row>
    <row r="4977" customFormat="false" ht="15" hidden="false" customHeight="false" outlineLevel="0" collapsed="false">
      <c r="I4977" s="15" t="str">
        <f aca="false">IF(A4977="","",INT(A4977))</f>
        <v/>
      </c>
      <c r="J4977" s="16" t="str">
        <f aca="false">IF(B4977="","",IF(A4977=_xlfn.MINIFS($A$2:$A$5001,$B$2:$B$5001,B4977),1,0))</f>
        <v/>
      </c>
      <c r="K4977" s="16" t="str">
        <f aca="false">IF(B4977="","",IF(AND(D4977="Formalização",E4977="Concluído"),IF(COUNTIFS($B$2:$B$5001,B4977,$E$2:$E$5001,"Em ajustes",$A$2:$A$5001,"&lt;"&amp;I4977)&gt;0,1,0),0))</f>
        <v/>
      </c>
      <c r="L4977" s="16" t="str">
        <f aca="false">IF(B4977="","",IF(A4977=_xlfn.MAXIFS($A$2:$A$5001,$B$2:$B$5001,B4977,$I$2:$I$5001,I4977),1,0))</f>
        <v/>
      </c>
    </row>
    <row r="4978" customFormat="false" ht="15" hidden="false" customHeight="false" outlineLevel="0" collapsed="false">
      <c r="I4978" s="15" t="str">
        <f aca="false">IF(A4978="","",INT(A4978))</f>
        <v/>
      </c>
      <c r="J4978" s="16" t="str">
        <f aca="false">IF(B4978="","",IF(A4978=_xlfn.MINIFS($A$2:$A$5001,$B$2:$B$5001,B4978),1,0))</f>
        <v/>
      </c>
      <c r="K4978" s="16" t="str">
        <f aca="false">IF(B4978="","",IF(AND(D4978="Formalização",E4978="Concluído"),IF(COUNTIFS($B$2:$B$5001,B4978,$E$2:$E$5001,"Em ajustes",$A$2:$A$5001,"&lt;"&amp;I4978)&gt;0,1,0),0))</f>
        <v/>
      </c>
      <c r="L4978" s="16" t="str">
        <f aca="false">IF(B4978="","",IF(A4978=_xlfn.MAXIFS($A$2:$A$5001,$B$2:$B$5001,B4978,$I$2:$I$5001,I4978),1,0))</f>
        <v/>
      </c>
    </row>
    <row r="4979" customFormat="false" ht="15" hidden="false" customHeight="false" outlineLevel="0" collapsed="false">
      <c r="I4979" s="15" t="str">
        <f aca="false">IF(A4979="","",INT(A4979))</f>
        <v/>
      </c>
      <c r="J4979" s="16" t="str">
        <f aca="false">IF(B4979="","",IF(A4979=_xlfn.MINIFS($A$2:$A$5001,$B$2:$B$5001,B4979),1,0))</f>
        <v/>
      </c>
      <c r="K4979" s="16" t="str">
        <f aca="false">IF(B4979="","",IF(AND(D4979="Formalização",E4979="Concluído"),IF(COUNTIFS($B$2:$B$5001,B4979,$E$2:$E$5001,"Em ajustes",$A$2:$A$5001,"&lt;"&amp;I4979)&gt;0,1,0),0))</f>
        <v/>
      </c>
      <c r="L4979" s="16" t="str">
        <f aca="false">IF(B4979="","",IF(A4979=_xlfn.MAXIFS($A$2:$A$5001,$B$2:$B$5001,B4979,$I$2:$I$5001,I4979),1,0))</f>
        <v/>
      </c>
    </row>
    <row r="4980" customFormat="false" ht="15" hidden="false" customHeight="false" outlineLevel="0" collapsed="false">
      <c r="I4980" s="15" t="str">
        <f aca="false">IF(A4980="","",INT(A4980))</f>
        <v/>
      </c>
      <c r="J4980" s="16" t="str">
        <f aca="false">IF(B4980="","",IF(A4980=_xlfn.MINIFS($A$2:$A$5001,$B$2:$B$5001,B4980),1,0))</f>
        <v/>
      </c>
      <c r="K4980" s="16" t="str">
        <f aca="false">IF(B4980="","",IF(AND(D4980="Formalização",E4980="Concluído"),IF(COUNTIFS($B$2:$B$5001,B4980,$E$2:$E$5001,"Em ajustes",$A$2:$A$5001,"&lt;"&amp;I4980)&gt;0,1,0),0))</f>
        <v/>
      </c>
      <c r="L4980" s="16" t="str">
        <f aca="false">IF(B4980="","",IF(A4980=_xlfn.MAXIFS($A$2:$A$5001,$B$2:$B$5001,B4980,$I$2:$I$5001,I4980),1,0))</f>
        <v/>
      </c>
    </row>
    <row r="4981" customFormat="false" ht="15" hidden="false" customHeight="false" outlineLevel="0" collapsed="false">
      <c r="I4981" s="15" t="str">
        <f aca="false">IF(A4981="","",INT(A4981))</f>
        <v/>
      </c>
      <c r="J4981" s="16" t="str">
        <f aca="false">IF(B4981="","",IF(A4981=_xlfn.MINIFS($A$2:$A$5001,$B$2:$B$5001,B4981),1,0))</f>
        <v/>
      </c>
      <c r="K4981" s="16" t="str">
        <f aca="false">IF(B4981="","",IF(AND(D4981="Formalização",E4981="Concluído"),IF(COUNTIFS($B$2:$B$5001,B4981,$E$2:$E$5001,"Em ajustes",$A$2:$A$5001,"&lt;"&amp;I4981)&gt;0,1,0),0))</f>
        <v/>
      </c>
      <c r="L4981" s="16" t="str">
        <f aca="false">IF(B4981="","",IF(A4981=_xlfn.MAXIFS($A$2:$A$5001,$B$2:$B$5001,B4981,$I$2:$I$5001,I4981),1,0))</f>
        <v/>
      </c>
    </row>
    <row r="4982" customFormat="false" ht="15" hidden="false" customHeight="false" outlineLevel="0" collapsed="false">
      <c r="I4982" s="15" t="str">
        <f aca="false">IF(A4982="","",INT(A4982))</f>
        <v/>
      </c>
      <c r="J4982" s="16" t="str">
        <f aca="false">IF(B4982="","",IF(A4982=_xlfn.MINIFS($A$2:$A$5001,$B$2:$B$5001,B4982),1,0))</f>
        <v/>
      </c>
      <c r="K4982" s="16" t="str">
        <f aca="false">IF(B4982="","",IF(AND(D4982="Formalização",E4982="Concluído"),IF(COUNTIFS($B$2:$B$5001,B4982,$E$2:$E$5001,"Em ajustes",$A$2:$A$5001,"&lt;"&amp;I4982)&gt;0,1,0),0))</f>
        <v/>
      </c>
      <c r="L4982" s="16" t="str">
        <f aca="false">IF(B4982="","",IF(A4982=_xlfn.MAXIFS($A$2:$A$5001,$B$2:$B$5001,B4982,$I$2:$I$5001,I4982),1,0))</f>
        <v/>
      </c>
    </row>
    <row r="4983" customFormat="false" ht="15" hidden="false" customHeight="false" outlineLevel="0" collapsed="false">
      <c r="I4983" s="15" t="str">
        <f aca="false">IF(A4983="","",INT(A4983))</f>
        <v/>
      </c>
      <c r="J4983" s="16" t="str">
        <f aca="false">IF(B4983="","",IF(A4983=_xlfn.MINIFS($A$2:$A$5001,$B$2:$B$5001,B4983),1,0))</f>
        <v/>
      </c>
      <c r="K4983" s="16" t="str">
        <f aca="false">IF(B4983="","",IF(AND(D4983="Formalização",E4983="Concluído"),IF(COUNTIFS($B$2:$B$5001,B4983,$E$2:$E$5001,"Em ajustes",$A$2:$A$5001,"&lt;"&amp;I4983)&gt;0,1,0),0))</f>
        <v/>
      </c>
      <c r="L4983" s="16" t="str">
        <f aca="false">IF(B4983="","",IF(A4983=_xlfn.MAXIFS($A$2:$A$5001,$B$2:$B$5001,B4983,$I$2:$I$5001,I4983),1,0))</f>
        <v/>
      </c>
    </row>
    <row r="4984" customFormat="false" ht="15" hidden="false" customHeight="false" outlineLevel="0" collapsed="false">
      <c r="I4984" s="15" t="str">
        <f aca="false">IF(A4984="","",INT(A4984))</f>
        <v/>
      </c>
      <c r="J4984" s="16" t="str">
        <f aca="false">IF(B4984="","",IF(A4984=_xlfn.MINIFS($A$2:$A$5001,$B$2:$B$5001,B4984),1,0))</f>
        <v/>
      </c>
      <c r="K4984" s="16" t="str">
        <f aca="false">IF(B4984="","",IF(AND(D4984="Formalização",E4984="Concluído"),IF(COUNTIFS($B$2:$B$5001,B4984,$E$2:$E$5001,"Em ajustes",$A$2:$A$5001,"&lt;"&amp;I4984)&gt;0,1,0),0))</f>
        <v/>
      </c>
      <c r="L4984" s="16" t="str">
        <f aca="false">IF(B4984="","",IF(A4984=_xlfn.MAXIFS($A$2:$A$5001,$B$2:$B$5001,B4984,$I$2:$I$5001,I4984),1,0))</f>
        <v/>
      </c>
    </row>
    <row r="4985" customFormat="false" ht="15" hidden="false" customHeight="false" outlineLevel="0" collapsed="false">
      <c r="I4985" s="15" t="str">
        <f aca="false">IF(A4985="","",INT(A4985))</f>
        <v/>
      </c>
      <c r="J4985" s="16" t="str">
        <f aca="false">IF(B4985="","",IF(A4985=_xlfn.MINIFS($A$2:$A$5001,$B$2:$B$5001,B4985),1,0))</f>
        <v/>
      </c>
      <c r="K4985" s="16" t="str">
        <f aca="false">IF(B4985="","",IF(AND(D4985="Formalização",E4985="Concluído"),IF(COUNTIFS($B$2:$B$5001,B4985,$E$2:$E$5001,"Em ajustes",$A$2:$A$5001,"&lt;"&amp;I4985)&gt;0,1,0),0))</f>
        <v/>
      </c>
      <c r="L4985" s="16" t="str">
        <f aca="false">IF(B4985="","",IF(A4985=_xlfn.MAXIFS($A$2:$A$5001,$B$2:$B$5001,B4985,$I$2:$I$5001,I4985),1,0))</f>
        <v/>
      </c>
    </row>
    <row r="4986" customFormat="false" ht="15" hidden="false" customHeight="false" outlineLevel="0" collapsed="false">
      <c r="I4986" s="15" t="str">
        <f aca="false">IF(A4986="","",INT(A4986))</f>
        <v/>
      </c>
      <c r="J4986" s="16" t="str">
        <f aca="false">IF(B4986="","",IF(A4986=_xlfn.MINIFS($A$2:$A$5001,$B$2:$B$5001,B4986),1,0))</f>
        <v/>
      </c>
      <c r="K4986" s="16" t="str">
        <f aca="false">IF(B4986="","",IF(AND(D4986="Formalização",E4986="Concluído"),IF(COUNTIFS($B$2:$B$5001,B4986,$E$2:$E$5001,"Em ajustes",$A$2:$A$5001,"&lt;"&amp;I4986)&gt;0,1,0),0))</f>
        <v/>
      </c>
      <c r="L4986" s="16" t="str">
        <f aca="false">IF(B4986="","",IF(A4986=_xlfn.MAXIFS($A$2:$A$5001,$B$2:$B$5001,B4986,$I$2:$I$5001,I4986),1,0))</f>
        <v/>
      </c>
    </row>
    <row r="4987" customFormat="false" ht="15" hidden="false" customHeight="false" outlineLevel="0" collapsed="false">
      <c r="I4987" s="15" t="str">
        <f aca="false">IF(A4987="","",INT(A4987))</f>
        <v/>
      </c>
      <c r="J4987" s="16" t="str">
        <f aca="false">IF(B4987="","",IF(A4987=_xlfn.MINIFS($A$2:$A$5001,$B$2:$B$5001,B4987),1,0))</f>
        <v/>
      </c>
      <c r="K4987" s="16" t="str">
        <f aca="false">IF(B4987="","",IF(AND(D4987="Formalização",E4987="Concluído"),IF(COUNTIFS($B$2:$B$5001,B4987,$E$2:$E$5001,"Em ajustes",$A$2:$A$5001,"&lt;"&amp;I4987)&gt;0,1,0),0))</f>
        <v/>
      </c>
      <c r="L4987" s="16" t="str">
        <f aca="false">IF(B4987="","",IF(A4987=_xlfn.MAXIFS($A$2:$A$5001,$B$2:$B$5001,B4987,$I$2:$I$5001,I4987),1,0))</f>
        <v/>
      </c>
    </row>
    <row r="4988" customFormat="false" ht="15" hidden="false" customHeight="false" outlineLevel="0" collapsed="false">
      <c r="I4988" s="15" t="str">
        <f aca="false">IF(A4988="","",INT(A4988))</f>
        <v/>
      </c>
      <c r="J4988" s="16" t="str">
        <f aca="false">IF(B4988="","",IF(A4988=_xlfn.MINIFS($A$2:$A$5001,$B$2:$B$5001,B4988),1,0))</f>
        <v/>
      </c>
      <c r="K4988" s="16" t="str">
        <f aca="false">IF(B4988="","",IF(AND(D4988="Formalização",E4988="Concluído"),IF(COUNTIFS($B$2:$B$5001,B4988,$E$2:$E$5001,"Em ajustes",$A$2:$A$5001,"&lt;"&amp;I4988)&gt;0,1,0),0))</f>
        <v/>
      </c>
      <c r="L4988" s="16" t="str">
        <f aca="false">IF(B4988="","",IF(A4988=_xlfn.MAXIFS($A$2:$A$5001,$B$2:$B$5001,B4988,$I$2:$I$5001,I4988),1,0))</f>
        <v/>
      </c>
    </row>
    <row r="4989" customFormat="false" ht="15" hidden="false" customHeight="false" outlineLevel="0" collapsed="false">
      <c r="I4989" s="15" t="str">
        <f aca="false">IF(A4989="","",INT(A4989))</f>
        <v/>
      </c>
      <c r="J4989" s="16" t="str">
        <f aca="false">IF(B4989="","",IF(A4989=_xlfn.MINIFS($A$2:$A$5001,$B$2:$B$5001,B4989),1,0))</f>
        <v/>
      </c>
      <c r="K4989" s="16" t="str">
        <f aca="false">IF(B4989="","",IF(AND(D4989="Formalização",E4989="Concluído"),IF(COUNTIFS($B$2:$B$5001,B4989,$E$2:$E$5001,"Em ajustes",$A$2:$A$5001,"&lt;"&amp;I4989)&gt;0,1,0),0))</f>
        <v/>
      </c>
      <c r="L4989" s="16" t="str">
        <f aca="false">IF(B4989="","",IF(A4989=_xlfn.MAXIFS($A$2:$A$5001,$B$2:$B$5001,B4989,$I$2:$I$5001,I4989),1,0))</f>
        <v/>
      </c>
    </row>
    <row r="4990" customFormat="false" ht="15" hidden="false" customHeight="false" outlineLevel="0" collapsed="false">
      <c r="I4990" s="15" t="str">
        <f aca="false">IF(A4990="","",INT(A4990))</f>
        <v/>
      </c>
      <c r="J4990" s="16" t="str">
        <f aca="false">IF(B4990="","",IF(A4990=_xlfn.MINIFS($A$2:$A$5001,$B$2:$B$5001,B4990),1,0))</f>
        <v/>
      </c>
      <c r="K4990" s="16" t="str">
        <f aca="false">IF(B4990="","",IF(AND(D4990="Formalização",E4990="Concluído"),IF(COUNTIFS($B$2:$B$5001,B4990,$E$2:$E$5001,"Em ajustes",$A$2:$A$5001,"&lt;"&amp;I4990)&gt;0,1,0),0))</f>
        <v/>
      </c>
      <c r="L4990" s="16" t="str">
        <f aca="false">IF(B4990="","",IF(A4990=_xlfn.MAXIFS($A$2:$A$5001,$B$2:$B$5001,B4990,$I$2:$I$5001,I4990),1,0))</f>
        <v/>
      </c>
    </row>
    <row r="4991" customFormat="false" ht="15" hidden="false" customHeight="false" outlineLevel="0" collapsed="false">
      <c r="I4991" s="15" t="str">
        <f aca="false">IF(A4991="","",INT(A4991))</f>
        <v/>
      </c>
      <c r="J4991" s="16" t="str">
        <f aca="false">IF(B4991="","",IF(A4991=_xlfn.MINIFS($A$2:$A$5001,$B$2:$B$5001,B4991),1,0))</f>
        <v/>
      </c>
      <c r="K4991" s="16" t="str">
        <f aca="false">IF(B4991="","",IF(AND(D4991="Formalização",E4991="Concluído"),IF(COUNTIFS($B$2:$B$5001,B4991,$E$2:$E$5001,"Em ajustes",$A$2:$A$5001,"&lt;"&amp;I4991)&gt;0,1,0),0))</f>
        <v/>
      </c>
      <c r="L4991" s="16" t="str">
        <f aca="false">IF(B4991="","",IF(A4991=_xlfn.MAXIFS($A$2:$A$5001,$B$2:$B$5001,B4991,$I$2:$I$5001,I4991),1,0))</f>
        <v/>
      </c>
    </row>
    <row r="4992" customFormat="false" ht="15" hidden="false" customHeight="false" outlineLevel="0" collapsed="false">
      <c r="I4992" s="15" t="str">
        <f aca="false">IF(A4992="","",INT(A4992))</f>
        <v/>
      </c>
      <c r="J4992" s="16" t="str">
        <f aca="false">IF(B4992="","",IF(A4992=_xlfn.MINIFS($A$2:$A$5001,$B$2:$B$5001,B4992),1,0))</f>
        <v/>
      </c>
      <c r="K4992" s="16" t="str">
        <f aca="false">IF(B4992="","",IF(AND(D4992="Formalização",E4992="Concluído"),IF(COUNTIFS($B$2:$B$5001,B4992,$E$2:$E$5001,"Em ajustes",$A$2:$A$5001,"&lt;"&amp;I4992)&gt;0,1,0),0))</f>
        <v/>
      </c>
      <c r="L4992" s="16" t="str">
        <f aca="false">IF(B4992="","",IF(A4992=_xlfn.MAXIFS($A$2:$A$5001,$B$2:$B$5001,B4992,$I$2:$I$5001,I4992),1,0))</f>
        <v/>
      </c>
    </row>
    <row r="4993" customFormat="false" ht="15" hidden="false" customHeight="false" outlineLevel="0" collapsed="false">
      <c r="I4993" s="15" t="str">
        <f aca="false">IF(A4993="","",INT(A4993))</f>
        <v/>
      </c>
      <c r="J4993" s="16" t="str">
        <f aca="false">IF(B4993="","",IF(A4993=_xlfn.MINIFS($A$2:$A$5001,$B$2:$B$5001,B4993),1,0))</f>
        <v/>
      </c>
      <c r="K4993" s="16" t="str">
        <f aca="false">IF(B4993="","",IF(AND(D4993="Formalização",E4993="Concluído"),IF(COUNTIFS($B$2:$B$5001,B4993,$E$2:$E$5001,"Em ajustes",$A$2:$A$5001,"&lt;"&amp;I4993)&gt;0,1,0),0))</f>
        <v/>
      </c>
      <c r="L4993" s="16" t="str">
        <f aca="false">IF(B4993="","",IF(A4993=_xlfn.MAXIFS($A$2:$A$5001,$B$2:$B$5001,B4993,$I$2:$I$5001,I4993),1,0))</f>
        <v/>
      </c>
    </row>
    <row r="4994" customFormat="false" ht="15" hidden="false" customHeight="false" outlineLevel="0" collapsed="false">
      <c r="I4994" s="15" t="str">
        <f aca="false">IF(A4994="","",INT(A4994))</f>
        <v/>
      </c>
      <c r="J4994" s="16" t="str">
        <f aca="false">IF(B4994="","",IF(A4994=_xlfn.MINIFS($A$2:$A$5001,$B$2:$B$5001,B4994),1,0))</f>
        <v/>
      </c>
      <c r="K4994" s="16" t="str">
        <f aca="false">IF(B4994="","",IF(AND(D4994="Formalização",E4994="Concluído"),IF(COUNTIFS($B$2:$B$5001,B4994,$E$2:$E$5001,"Em ajustes",$A$2:$A$5001,"&lt;"&amp;I4994)&gt;0,1,0),0))</f>
        <v/>
      </c>
      <c r="L4994" s="16" t="str">
        <f aca="false">IF(B4994="","",IF(A4994=_xlfn.MAXIFS($A$2:$A$5001,$B$2:$B$5001,B4994,$I$2:$I$5001,I4994),1,0))</f>
        <v/>
      </c>
    </row>
    <row r="4995" customFormat="false" ht="15" hidden="false" customHeight="false" outlineLevel="0" collapsed="false">
      <c r="I4995" s="15" t="str">
        <f aca="false">IF(A4995="","",INT(A4995))</f>
        <v/>
      </c>
      <c r="J4995" s="16" t="str">
        <f aca="false">IF(B4995="","",IF(A4995=_xlfn.MINIFS($A$2:$A$5001,$B$2:$B$5001,B4995),1,0))</f>
        <v/>
      </c>
      <c r="K4995" s="16" t="str">
        <f aca="false">IF(B4995="","",IF(AND(D4995="Formalização",E4995="Concluído"),IF(COUNTIFS($B$2:$B$5001,B4995,$E$2:$E$5001,"Em ajustes",$A$2:$A$5001,"&lt;"&amp;I4995)&gt;0,1,0),0))</f>
        <v/>
      </c>
      <c r="L4995" s="16" t="str">
        <f aca="false">IF(B4995="","",IF(A4995=_xlfn.MAXIFS($A$2:$A$5001,$B$2:$B$5001,B4995,$I$2:$I$5001,I4995),1,0))</f>
        <v/>
      </c>
    </row>
    <row r="4996" customFormat="false" ht="15" hidden="false" customHeight="false" outlineLevel="0" collapsed="false">
      <c r="I4996" s="15" t="str">
        <f aca="false">IF(A4996="","",INT(A4996))</f>
        <v/>
      </c>
      <c r="J4996" s="16" t="str">
        <f aca="false">IF(B4996="","",IF(A4996=_xlfn.MINIFS($A$2:$A$5001,$B$2:$B$5001,B4996),1,0))</f>
        <v/>
      </c>
      <c r="K4996" s="16" t="str">
        <f aca="false">IF(B4996="","",IF(AND(D4996="Formalização",E4996="Concluído"),IF(COUNTIFS($B$2:$B$5001,B4996,$E$2:$E$5001,"Em ajustes",$A$2:$A$5001,"&lt;"&amp;I4996)&gt;0,1,0),0))</f>
        <v/>
      </c>
      <c r="L4996" s="16" t="str">
        <f aca="false">IF(B4996="","",IF(A4996=_xlfn.MAXIFS($A$2:$A$5001,$B$2:$B$5001,B4996,$I$2:$I$5001,I4996),1,0))</f>
        <v/>
      </c>
    </row>
    <row r="4997" customFormat="false" ht="15" hidden="false" customHeight="false" outlineLevel="0" collapsed="false">
      <c r="I4997" s="15" t="str">
        <f aca="false">IF(A4997="","",INT(A4997))</f>
        <v/>
      </c>
      <c r="J4997" s="16" t="str">
        <f aca="false">IF(B4997="","",IF(A4997=_xlfn.MINIFS($A$2:$A$5001,$B$2:$B$5001,B4997),1,0))</f>
        <v/>
      </c>
      <c r="K4997" s="16" t="str">
        <f aca="false">IF(B4997="","",IF(AND(D4997="Formalização",E4997="Concluído"),IF(COUNTIFS($B$2:$B$5001,B4997,$E$2:$E$5001,"Em ajustes",$A$2:$A$5001,"&lt;"&amp;I4997)&gt;0,1,0),0))</f>
        <v/>
      </c>
      <c r="L4997" s="16" t="str">
        <f aca="false">IF(B4997="","",IF(A4997=_xlfn.MAXIFS($A$2:$A$5001,$B$2:$B$5001,B4997,$I$2:$I$5001,I4997),1,0))</f>
        <v/>
      </c>
    </row>
    <row r="4998" customFormat="false" ht="15" hidden="false" customHeight="false" outlineLevel="0" collapsed="false">
      <c r="I4998" s="15" t="str">
        <f aca="false">IF(A4998="","",INT(A4998))</f>
        <v/>
      </c>
      <c r="J4998" s="16" t="str">
        <f aca="false">IF(B4998="","",IF(A4998=_xlfn.MINIFS($A$2:$A$5001,$B$2:$B$5001,B4998),1,0))</f>
        <v/>
      </c>
      <c r="K4998" s="16" t="str">
        <f aca="false">IF(B4998="","",IF(AND(D4998="Formalização",E4998="Concluído"),IF(COUNTIFS($B$2:$B$5001,B4998,$E$2:$E$5001,"Em ajustes",$A$2:$A$5001,"&lt;"&amp;I4998)&gt;0,1,0),0))</f>
        <v/>
      </c>
      <c r="L4998" s="16" t="str">
        <f aca="false">IF(B4998="","",IF(A4998=_xlfn.MAXIFS($A$2:$A$5001,$B$2:$B$5001,B4998,$I$2:$I$5001,I4998),1,0))</f>
        <v/>
      </c>
    </row>
    <row r="4999" customFormat="false" ht="15" hidden="false" customHeight="false" outlineLevel="0" collapsed="false">
      <c r="I4999" s="15" t="str">
        <f aca="false">IF(A4999="","",INT(A4999))</f>
        <v/>
      </c>
      <c r="J4999" s="16" t="str">
        <f aca="false">IF(B4999="","",IF(A4999=_xlfn.MINIFS($A$2:$A$5001,$B$2:$B$5001,B4999),1,0))</f>
        <v/>
      </c>
      <c r="K4999" s="16" t="str">
        <f aca="false">IF(B4999="","",IF(AND(D4999="Formalização",E4999="Concluído"),IF(COUNTIFS($B$2:$B$5001,B4999,$E$2:$E$5001,"Em ajustes",$A$2:$A$5001,"&lt;"&amp;I4999)&gt;0,1,0),0))</f>
        <v/>
      </c>
      <c r="L4999" s="16" t="str">
        <f aca="false">IF(B4999="","",IF(A4999=_xlfn.MAXIFS($A$2:$A$5001,$B$2:$B$5001,B4999,$I$2:$I$5001,I4999),1,0))</f>
        <v/>
      </c>
    </row>
    <row r="5000" customFormat="false" ht="15" hidden="false" customHeight="false" outlineLevel="0" collapsed="false">
      <c r="I5000" s="15" t="str">
        <f aca="false">IF(A5000="","",INT(A5000))</f>
        <v/>
      </c>
      <c r="J5000" s="16" t="str">
        <f aca="false">IF(B5000="","",IF(A5000=_xlfn.MINIFS($A$2:$A$5001,$B$2:$B$5001,B5000),1,0))</f>
        <v/>
      </c>
      <c r="K5000" s="16" t="str">
        <f aca="false">IF(B5000="","",IF(AND(D5000="Formalização",E5000="Concluído"),IF(COUNTIFS($B$2:$B$5001,B5000,$E$2:$E$5001,"Em ajustes",$A$2:$A$5001,"&lt;"&amp;I5000)&gt;0,1,0),0))</f>
        <v/>
      </c>
      <c r="L5000" s="16" t="str">
        <f aca="false">IF(B5000="","",IF(A5000=_xlfn.MAXIFS($A$2:$A$5001,$B$2:$B$5001,B5000,$I$2:$I$5001,I5000),1,0))</f>
        <v/>
      </c>
    </row>
    <row r="5001" customFormat="false" ht="15" hidden="false" customHeight="false" outlineLevel="0" collapsed="false">
      <c r="I5001" s="15" t="str">
        <f aca="false">IF(A5001="","",INT(A5001))</f>
        <v/>
      </c>
      <c r="J5001" s="16" t="str">
        <f aca="false">IF(B5001="","",IF(A5001=_xlfn.MINIFS($A$2:$A$5001,$B$2:$B$5001,B5001),1,0))</f>
        <v/>
      </c>
      <c r="K5001" s="16" t="str">
        <f aca="false">IF(B5001="","",IF(AND(D5001="Formalização",E5001="Concluído"),IF(COUNTIFS($B$2:$B$5001,B5001,$E$2:$E$5001,"Em ajustes",$A$2:$A$5001,"&lt;"&amp;I5001)&gt;0,1,0),0))</f>
        <v/>
      </c>
      <c r="L5001" s="16" t="str">
        <f aca="false">IF(B5001="","",IF(A5001=_xlfn.MAXIFS($A$2:$A$5001,$B$2:$B$5001,B5001,$I$2:$I$5001,I5001),1,0))</f>
        <v/>
      </c>
    </row>
    <row r="5003" customFormat="false" ht="15" hidden="false" customHeight="false" outlineLevel="0" collapsed="false">
      <c r="A5003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1" t="s">
        <v>23</v>
      </c>
      <c r="B1" s="11" t="s">
        <v>10</v>
      </c>
      <c r="C1" s="11" t="s">
        <v>47</v>
      </c>
      <c r="D1" s="11" t="s">
        <v>6</v>
      </c>
      <c r="E1" s="11" t="s">
        <v>7</v>
      </c>
    </row>
    <row r="2" customFormat="false" ht="15" hidden="false" customHeight="false" outlineLevel="0" collapsed="false">
      <c r="A2" s="17" t="n">
        <v>46235</v>
      </c>
      <c r="B2" s="9" t="n">
        <f aca="false">SUMPRODUCT((Dados!$I$2:$I$5001=A2)*(Dados!$J$2:$J$5001=1))</f>
        <v>0</v>
      </c>
      <c r="C2" s="9" t="n">
        <f aca="false">SUMPRODUCT((Dados!$I$2:$I$5001=A2)*(Dados!$E$2:$E$5001="Em ajustes")*(Dados!$L$2:$L$5001=1))</f>
        <v>0</v>
      </c>
      <c r="D2" s="9" t="n">
        <f aca="false">SUMPRODUCT((Dados!$I$2:$I$5001=A2)*(Dados!$K$2:$K$5001=1)*(Dados!$L$2:$L$5001=1))</f>
        <v>0</v>
      </c>
      <c r="E2" s="9" t="n">
        <f aca="false">SUMPRODUCT((Dados!$I$2:$I$5001=A2)*(Dados!$D$2:$D$5001="Formalização")*(Dados!$E$2:$E$5001="Concluído")*(Dados!$K$2:$K$5001=0)*(Dados!$L$2:$L$5001=1))</f>
        <v>0</v>
      </c>
    </row>
    <row r="3" customFormat="false" ht="15" hidden="false" customHeight="false" outlineLevel="0" collapsed="false">
      <c r="A3" s="17" t="n">
        <f aca="false">A2+1</f>
        <v>46236</v>
      </c>
      <c r="B3" s="9" t="n">
        <f aca="false">SUMPRODUCT((Dados!$I$2:$I$5001=A3)*(Dados!$J$2:$J$5001=1))</f>
        <v>0</v>
      </c>
      <c r="C3" s="9" t="n">
        <f aca="false">SUMPRODUCT((Dados!$I$2:$I$5001=A3)*(Dados!$E$2:$E$5001="Em ajustes")*(Dados!$L$2:$L$5001=1))</f>
        <v>0</v>
      </c>
      <c r="D3" s="9" t="n">
        <f aca="false">SUMPRODUCT((Dados!$I$2:$I$5001=A3)*(Dados!$K$2:$K$5001=1)*(Dados!$L$2:$L$5001=1))</f>
        <v>0</v>
      </c>
      <c r="E3" s="9" t="n">
        <f aca="false">SUMPRODUCT((Dados!$I$2:$I$5001=A3)*(Dados!$D$2:$D$5001="Formalização")*(Dados!$E$2:$E$5001="Concluído")*(Dados!$K$2:$K$5001=0)*(Dados!$L$2:$L$5001=1))</f>
        <v>0</v>
      </c>
    </row>
    <row r="4" customFormat="false" ht="15" hidden="false" customHeight="false" outlineLevel="0" collapsed="false">
      <c r="A4" s="17" t="n">
        <f aca="false">A3+1</f>
        <v>46237</v>
      </c>
      <c r="B4" s="9" t="n">
        <f aca="false">SUMPRODUCT((Dados!$I$2:$I$5001=A4)*(Dados!$J$2:$J$5001=1))</f>
        <v>0</v>
      </c>
      <c r="C4" s="9" t="n">
        <f aca="false">SUMPRODUCT((Dados!$I$2:$I$5001=A4)*(Dados!$E$2:$E$5001="Em ajustes")*(Dados!$L$2:$L$5001=1))</f>
        <v>0</v>
      </c>
      <c r="D4" s="9" t="n">
        <f aca="false">SUMPRODUCT((Dados!$I$2:$I$5001=A4)*(Dados!$K$2:$K$5001=1)*(Dados!$L$2:$L$5001=1))</f>
        <v>0</v>
      </c>
      <c r="E4" s="9" t="n">
        <f aca="false">SUMPRODUCT((Dados!$I$2:$I$5001=A4)*(Dados!$D$2:$D$5001="Formalização")*(Dados!$E$2:$E$5001="Concluído")*(Dados!$K$2:$K$5001=0)*(Dados!$L$2:$L$5001=1))</f>
        <v>0</v>
      </c>
    </row>
    <row r="5" customFormat="false" ht="15" hidden="false" customHeight="false" outlineLevel="0" collapsed="false">
      <c r="A5" s="17" t="n">
        <f aca="false">A4+1</f>
        <v>46238</v>
      </c>
      <c r="B5" s="9" t="n">
        <f aca="false">SUMPRODUCT((Dados!$I$2:$I$5001=A5)*(Dados!$J$2:$J$5001=1))</f>
        <v>0</v>
      </c>
      <c r="C5" s="9" t="n">
        <f aca="false">SUMPRODUCT((Dados!$I$2:$I$5001=A5)*(Dados!$E$2:$E$5001="Em ajustes")*(Dados!$L$2:$L$5001=1))</f>
        <v>0</v>
      </c>
      <c r="D5" s="9" t="n">
        <f aca="false">SUMPRODUCT((Dados!$I$2:$I$5001=A5)*(Dados!$K$2:$K$5001=1)*(Dados!$L$2:$L$5001=1))</f>
        <v>0</v>
      </c>
      <c r="E5" s="9" t="n">
        <f aca="false">SUMPRODUCT((Dados!$I$2:$I$5001=A5)*(Dados!$D$2:$D$5001="Formalização")*(Dados!$E$2:$E$5001="Concluído")*(Dados!$K$2:$K$5001=0)*(Dados!$L$2:$L$5001=1))</f>
        <v>0</v>
      </c>
    </row>
    <row r="6" customFormat="false" ht="15" hidden="false" customHeight="false" outlineLevel="0" collapsed="false">
      <c r="A6" s="17" t="n">
        <f aca="false">A5+1</f>
        <v>46239</v>
      </c>
      <c r="B6" s="9" t="n">
        <f aca="false">SUMPRODUCT((Dados!$I$2:$I$5001=A6)*(Dados!$J$2:$J$5001=1))</f>
        <v>0</v>
      </c>
      <c r="C6" s="9" t="n">
        <f aca="false">SUMPRODUCT((Dados!$I$2:$I$5001=A6)*(Dados!$E$2:$E$5001="Em ajustes")*(Dados!$L$2:$L$5001=1))</f>
        <v>0</v>
      </c>
      <c r="D6" s="9" t="n">
        <f aca="false">SUMPRODUCT((Dados!$I$2:$I$5001=A6)*(Dados!$K$2:$K$5001=1)*(Dados!$L$2:$L$5001=1))</f>
        <v>0</v>
      </c>
      <c r="E6" s="9" t="n">
        <f aca="false">SUMPRODUCT((Dados!$I$2:$I$5001=A6)*(Dados!$D$2:$D$5001="Formalização")*(Dados!$E$2:$E$5001="Concluído")*(Dados!$K$2:$K$5001=0)*(Dados!$L$2:$L$5001=1))</f>
        <v>0</v>
      </c>
    </row>
    <row r="7" customFormat="false" ht="15" hidden="false" customHeight="false" outlineLevel="0" collapsed="false">
      <c r="A7" s="17" t="n">
        <f aca="false">A6+1</f>
        <v>46240</v>
      </c>
      <c r="B7" s="9" t="n">
        <f aca="false">SUMPRODUCT((Dados!$I$2:$I$5001=A7)*(Dados!$J$2:$J$5001=1))</f>
        <v>0</v>
      </c>
      <c r="C7" s="9" t="n">
        <f aca="false">SUMPRODUCT((Dados!$I$2:$I$5001=A7)*(Dados!$E$2:$E$5001="Em ajustes")*(Dados!$L$2:$L$5001=1))</f>
        <v>0</v>
      </c>
      <c r="D7" s="9" t="n">
        <f aca="false">SUMPRODUCT((Dados!$I$2:$I$5001=A7)*(Dados!$K$2:$K$5001=1)*(Dados!$L$2:$L$5001=1))</f>
        <v>0</v>
      </c>
      <c r="E7" s="9" t="n">
        <f aca="false">SUMPRODUCT((Dados!$I$2:$I$5001=A7)*(Dados!$D$2:$D$5001="Formalização")*(Dados!$E$2:$E$5001="Concluído")*(Dados!$K$2:$K$5001=0)*(Dados!$L$2:$L$5001=1))</f>
        <v>0</v>
      </c>
    </row>
    <row r="8" customFormat="false" ht="15" hidden="false" customHeight="false" outlineLevel="0" collapsed="false">
      <c r="A8" s="17" t="n">
        <f aca="false">A7+1</f>
        <v>46241</v>
      </c>
      <c r="B8" s="9" t="n">
        <f aca="false">SUMPRODUCT((Dados!$I$2:$I$5001=A8)*(Dados!$J$2:$J$5001=1))</f>
        <v>0</v>
      </c>
      <c r="C8" s="9" t="n">
        <f aca="false">SUMPRODUCT((Dados!$I$2:$I$5001=A8)*(Dados!$E$2:$E$5001="Em ajustes")*(Dados!$L$2:$L$5001=1))</f>
        <v>0</v>
      </c>
      <c r="D8" s="9" t="n">
        <f aca="false">SUMPRODUCT((Dados!$I$2:$I$5001=A8)*(Dados!$K$2:$K$5001=1)*(Dados!$L$2:$L$5001=1))</f>
        <v>0</v>
      </c>
      <c r="E8" s="9" t="n">
        <f aca="false">SUMPRODUCT((Dados!$I$2:$I$5001=A8)*(Dados!$D$2:$D$5001="Formalização")*(Dados!$E$2:$E$5001="Concluído")*(Dados!$K$2:$K$5001=0)*(Dados!$L$2:$L$5001=1))</f>
        <v>0</v>
      </c>
    </row>
    <row r="9" customFormat="false" ht="15" hidden="false" customHeight="false" outlineLevel="0" collapsed="false">
      <c r="A9" s="17" t="n">
        <f aca="false">A8+1</f>
        <v>46242</v>
      </c>
      <c r="B9" s="9" t="n">
        <f aca="false">SUMPRODUCT((Dados!$I$2:$I$5001=A9)*(Dados!$J$2:$J$5001=1))</f>
        <v>0</v>
      </c>
      <c r="C9" s="9" t="n">
        <f aca="false">SUMPRODUCT((Dados!$I$2:$I$5001=A9)*(Dados!$E$2:$E$5001="Em ajustes")*(Dados!$L$2:$L$5001=1))</f>
        <v>0</v>
      </c>
      <c r="D9" s="9" t="n">
        <f aca="false">SUMPRODUCT((Dados!$I$2:$I$5001=A9)*(Dados!$K$2:$K$5001=1)*(Dados!$L$2:$L$5001=1))</f>
        <v>0</v>
      </c>
      <c r="E9" s="9" t="n">
        <f aca="false">SUMPRODUCT((Dados!$I$2:$I$5001=A9)*(Dados!$D$2:$D$5001="Formalização")*(Dados!$E$2:$E$5001="Concluído")*(Dados!$K$2:$K$5001=0)*(Dados!$L$2:$L$5001=1))</f>
        <v>0</v>
      </c>
    </row>
    <row r="10" customFormat="false" ht="15" hidden="false" customHeight="false" outlineLevel="0" collapsed="false">
      <c r="A10" s="17" t="n">
        <f aca="false">A9+1</f>
        <v>46243</v>
      </c>
      <c r="B10" s="9" t="n">
        <f aca="false">SUMPRODUCT((Dados!$I$2:$I$5001=A10)*(Dados!$J$2:$J$5001=1))</f>
        <v>1</v>
      </c>
      <c r="C10" s="9" t="n">
        <f aca="false">SUMPRODUCT((Dados!$I$2:$I$5001=A10)*(Dados!$E$2:$E$5001="Em ajustes")*(Dados!$L$2:$L$5001=1))</f>
        <v>0</v>
      </c>
      <c r="D10" s="9" t="n">
        <f aca="false">SUMPRODUCT((Dados!$I$2:$I$5001=A10)*(Dados!$K$2:$K$5001=1)*(Dados!$L$2:$L$5001=1))</f>
        <v>0</v>
      </c>
      <c r="E10" s="9" t="n">
        <f aca="false">SUMPRODUCT((Dados!$I$2:$I$5001=A10)*(Dados!$D$2:$D$5001="Formalização")*(Dados!$E$2:$E$5001="Concluído")*(Dados!$K$2:$K$5001=0)*(Dados!$L$2:$L$5001=1))</f>
        <v>0</v>
      </c>
    </row>
    <row r="11" customFormat="false" ht="15" hidden="false" customHeight="false" outlineLevel="0" collapsed="false">
      <c r="A11" s="17" t="n">
        <f aca="false">A10+1</f>
        <v>46244</v>
      </c>
      <c r="B11" s="9" t="n">
        <f aca="false">SUMPRODUCT((Dados!$I$2:$I$5001=A11)*(Dados!$J$2:$J$5001=1))</f>
        <v>0</v>
      </c>
      <c r="C11" s="9" t="n">
        <f aca="false">SUMPRODUCT((Dados!$I$2:$I$5001=A11)*(Dados!$E$2:$E$5001="Em ajustes")*(Dados!$L$2:$L$5001=1))</f>
        <v>1</v>
      </c>
      <c r="D11" s="9" t="n">
        <f aca="false">SUMPRODUCT((Dados!$I$2:$I$5001=A11)*(Dados!$K$2:$K$5001=1)*(Dados!$L$2:$L$5001=1))</f>
        <v>0</v>
      </c>
      <c r="E11" s="9" t="n">
        <f aca="false">SUMPRODUCT((Dados!$I$2:$I$5001=A11)*(Dados!$D$2:$D$5001="Formalização")*(Dados!$E$2:$E$5001="Concluído")*(Dados!$K$2:$K$5001=0)*(Dados!$L$2:$L$5001=1))</f>
        <v>0</v>
      </c>
    </row>
    <row r="12" customFormat="false" ht="15" hidden="false" customHeight="false" outlineLevel="0" collapsed="false">
      <c r="A12" s="17" t="n">
        <f aca="false">A11+1</f>
        <v>46245</v>
      </c>
      <c r="B12" s="9" t="n">
        <f aca="false">SUMPRODUCT((Dados!$I$2:$I$5001=A12)*(Dados!$J$2:$J$5001=1))</f>
        <v>0</v>
      </c>
      <c r="C12" s="9" t="n">
        <f aca="false">SUMPRODUCT((Dados!$I$2:$I$5001=A12)*(Dados!$E$2:$E$5001="Em ajustes")*(Dados!$L$2:$L$5001=1))</f>
        <v>0</v>
      </c>
      <c r="D12" s="9" t="n">
        <f aca="false">SUMPRODUCT((Dados!$I$2:$I$5001=A12)*(Dados!$K$2:$K$5001=1)*(Dados!$L$2:$L$5001=1))</f>
        <v>0</v>
      </c>
      <c r="E12" s="9" t="n">
        <f aca="false">SUMPRODUCT((Dados!$I$2:$I$5001=A12)*(Dados!$D$2:$D$5001="Formalização")*(Dados!$E$2:$E$5001="Concluído")*(Dados!$K$2:$K$5001=0)*(Dados!$L$2:$L$5001=1))</f>
        <v>0</v>
      </c>
    </row>
    <row r="13" customFormat="false" ht="15" hidden="false" customHeight="false" outlineLevel="0" collapsed="false">
      <c r="A13" s="17" t="n">
        <f aca="false">A12+1</f>
        <v>46246</v>
      </c>
      <c r="B13" s="9" t="n">
        <f aca="false">SUMPRODUCT((Dados!$I$2:$I$5001=A13)*(Dados!$J$2:$J$5001=1))</f>
        <v>0</v>
      </c>
      <c r="C13" s="9" t="n">
        <f aca="false">SUMPRODUCT((Dados!$I$2:$I$5001=A13)*(Dados!$E$2:$E$5001="Em ajustes")*(Dados!$L$2:$L$5001=1))</f>
        <v>0</v>
      </c>
      <c r="D13" s="9" t="n">
        <f aca="false">SUMPRODUCT((Dados!$I$2:$I$5001=A13)*(Dados!$K$2:$K$5001=1)*(Dados!$L$2:$L$5001=1))</f>
        <v>0</v>
      </c>
      <c r="E13" s="9" t="n">
        <f aca="false">SUMPRODUCT((Dados!$I$2:$I$5001=A13)*(Dados!$D$2:$D$5001="Formalização")*(Dados!$E$2:$E$5001="Concluído")*(Dados!$K$2:$K$5001=0)*(Dados!$L$2:$L$5001=1))</f>
        <v>0</v>
      </c>
    </row>
    <row r="14" customFormat="false" ht="15" hidden="false" customHeight="false" outlineLevel="0" collapsed="false">
      <c r="A14" s="17" t="n">
        <f aca="false">A13+1</f>
        <v>46247</v>
      </c>
      <c r="B14" s="9" t="n">
        <f aca="false">SUMPRODUCT((Dados!$I$2:$I$5001=A14)*(Dados!$J$2:$J$5001=1))</f>
        <v>0</v>
      </c>
      <c r="C14" s="9" t="n">
        <f aca="false">SUMPRODUCT((Dados!$I$2:$I$5001=A14)*(Dados!$E$2:$E$5001="Em ajustes")*(Dados!$L$2:$L$5001=1))</f>
        <v>0</v>
      </c>
      <c r="D14" s="9" t="n">
        <f aca="false">SUMPRODUCT((Dados!$I$2:$I$5001=A14)*(Dados!$K$2:$K$5001=1)*(Dados!$L$2:$L$5001=1))</f>
        <v>0</v>
      </c>
      <c r="E14" s="9" t="n">
        <f aca="false">SUMPRODUCT((Dados!$I$2:$I$5001=A14)*(Dados!$D$2:$D$5001="Formalização")*(Dados!$E$2:$E$5001="Concluído")*(Dados!$K$2:$K$5001=0)*(Dados!$L$2:$L$5001=1))</f>
        <v>0</v>
      </c>
    </row>
    <row r="15" customFormat="false" ht="15" hidden="false" customHeight="false" outlineLevel="0" collapsed="false">
      <c r="A15" s="17" t="n">
        <f aca="false">A14+1</f>
        <v>46248</v>
      </c>
      <c r="B15" s="9" t="n">
        <f aca="false">SUMPRODUCT((Dados!$I$2:$I$5001=A15)*(Dados!$J$2:$J$5001=1))</f>
        <v>1</v>
      </c>
      <c r="C15" s="9" t="n">
        <f aca="false">SUMPRODUCT((Dados!$I$2:$I$5001=A15)*(Dados!$E$2:$E$5001="Em ajustes")*(Dados!$L$2:$L$5001=1))</f>
        <v>1</v>
      </c>
      <c r="D15" s="9" t="n">
        <f aca="false">SUMPRODUCT((Dados!$I$2:$I$5001=A15)*(Dados!$K$2:$K$5001=1)*(Dados!$L$2:$L$5001=1))</f>
        <v>0</v>
      </c>
      <c r="E15" s="9" t="n">
        <f aca="false">SUMPRODUCT((Dados!$I$2:$I$5001=A15)*(Dados!$D$2:$D$5001="Formalização")*(Dados!$E$2:$E$5001="Concluído")*(Dados!$K$2:$K$5001=0)*(Dados!$L$2:$L$5001=1))</f>
        <v>0</v>
      </c>
    </row>
    <row r="16" customFormat="false" ht="15" hidden="false" customHeight="false" outlineLevel="0" collapsed="false">
      <c r="A16" s="17" t="n">
        <f aca="false">A15+1</f>
        <v>46249</v>
      </c>
      <c r="B16" s="9" t="n">
        <f aca="false">SUMPRODUCT((Dados!$I$2:$I$5001=A16)*(Dados!$J$2:$J$5001=1))</f>
        <v>0</v>
      </c>
      <c r="C16" s="9" t="n">
        <f aca="false">SUMPRODUCT((Dados!$I$2:$I$5001=A16)*(Dados!$E$2:$E$5001="Em ajustes")*(Dados!$L$2:$L$5001=1))</f>
        <v>0</v>
      </c>
      <c r="D16" s="9" t="n">
        <f aca="false">SUMPRODUCT((Dados!$I$2:$I$5001=A16)*(Dados!$K$2:$K$5001=1)*(Dados!$L$2:$L$5001=1))</f>
        <v>1</v>
      </c>
      <c r="E16" s="9" t="n">
        <f aca="false">SUMPRODUCT((Dados!$I$2:$I$5001=A16)*(Dados!$D$2:$D$5001="Formalização")*(Dados!$E$2:$E$5001="Concluído")*(Dados!$K$2:$K$5001=0)*(Dados!$L$2:$L$5001=1))</f>
        <v>0</v>
      </c>
    </row>
    <row r="17" customFormat="false" ht="15" hidden="false" customHeight="false" outlineLevel="0" collapsed="false">
      <c r="A17" s="17" t="n">
        <f aca="false">A16+1</f>
        <v>46250</v>
      </c>
      <c r="B17" s="9" t="n">
        <f aca="false">SUMPRODUCT((Dados!$I$2:$I$5001=A17)*(Dados!$J$2:$J$5001=1))</f>
        <v>0</v>
      </c>
      <c r="C17" s="9" t="n">
        <f aca="false">SUMPRODUCT((Dados!$I$2:$I$5001=A17)*(Dados!$E$2:$E$5001="Em ajustes")*(Dados!$L$2:$L$5001=1))</f>
        <v>0</v>
      </c>
      <c r="D17" s="9" t="n">
        <f aca="false">SUMPRODUCT((Dados!$I$2:$I$5001=A17)*(Dados!$K$2:$K$5001=1)*(Dados!$L$2:$L$5001=1))</f>
        <v>1</v>
      </c>
      <c r="E17" s="9" t="n">
        <f aca="false">SUMPRODUCT((Dados!$I$2:$I$5001=A17)*(Dados!$D$2:$D$5001="Formalização")*(Dados!$E$2:$E$5001="Concluído")*(Dados!$K$2:$K$5001=0)*(Dados!$L$2:$L$5001=1))</f>
        <v>0</v>
      </c>
    </row>
    <row r="18" customFormat="false" ht="15" hidden="false" customHeight="false" outlineLevel="0" collapsed="false">
      <c r="A18" s="17" t="n">
        <f aca="false">A17+1</f>
        <v>46251</v>
      </c>
      <c r="B18" s="9" t="n">
        <f aca="false">SUMPRODUCT((Dados!$I$2:$I$5001=A18)*(Dados!$J$2:$J$5001=1))</f>
        <v>3</v>
      </c>
      <c r="C18" s="9" t="n">
        <f aca="false">SUMPRODUCT((Dados!$I$2:$I$5001=A18)*(Dados!$E$2:$E$5001="Em ajustes")*(Dados!$L$2:$L$5001=1))</f>
        <v>2</v>
      </c>
      <c r="D18" s="9" t="n">
        <f aca="false">SUMPRODUCT((Dados!$I$2:$I$5001=A18)*(Dados!$K$2:$K$5001=1)*(Dados!$L$2:$L$5001=1))</f>
        <v>0</v>
      </c>
      <c r="E18" s="9" t="n">
        <f aca="false">SUMPRODUCT((Dados!$I$2:$I$5001=A18)*(Dados!$D$2:$D$5001="Formalização")*(Dados!$E$2:$E$5001="Concluído")*(Dados!$K$2:$K$5001=0)*(Dados!$L$2:$L$5001=1))</f>
        <v>0</v>
      </c>
    </row>
    <row r="19" customFormat="false" ht="15" hidden="false" customHeight="false" outlineLevel="0" collapsed="false">
      <c r="A19" s="17" t="n">
        <f aca="false">A18+1</f>
        <v>46252</v>
      </c>
      <c r="B19" s="9" t="n">
        <f aca="false">SUMPRODUCT((Dados!$I$2:$I$5001=A19)*(Dados!$J$2:$J$5001=1))</f>
        <v>0</v>
      </c>
      <c r="C19" s="9" t="n">
        <f aca="false">SUMPRODUCT((Dados!$I$2:$I$5001=A19)*(Dados!$E$2:$E$5001="Em ajustes")*(Dados!$L$2:$L$5001=1))</f>
        <v>0</v>
      </c>
      <c r="D19" s="9" t="n">
        <f aca="false">SUMPRODUCT((Dados!$I$2:$I$5001=A19)*(Dados!$K$2:$K$5001=1)*(Dados!$L$2:$L$5001=1))</f>
        <v>0</v>
      </c>
      <c r="E19" s="9" t="n">
        <f aca="false">SUMPRODUCT((Dados!$I$2:$I$5001=A19)*(Dados!$D$2:$D$5001="Formalização")*(Dados!$E$2:$E$5001="Concluído")*(Dados!$K$2:$K$5001=0)*(Dados!$L$2:$L$5001=1))</f>
        <v>0</v>
      </c>
    </row>
    <row r="20" customFormat="false" ht="15" hidden="false" customHeight="false" outlineLevel="0" collapsed="false">
      <c r="A20" s="17" t="n">
        <f aca="false">A19+1</f>
        <v>46253</v>
      </c>
      <c r="B20" s="9" t="n">
        <f aca="false">SUMPRODUCT((Dados!$I$2:$I$5001=A20)*(Dados!$J$2:$J$5001=1))</f>
        <v>0</v>
      </c>
      <c r="C20" s="9" t="n">
        <f aca="false">SUMPRODUCT((Dados!$I$2:$I$5001=A20)*(Dados!$E$2:$E$5001="Em ajustes")*(Dados!$L$2:$L$5001=1))</f>
        <v>0</v>
      </c>
      <c r="D20" s="9" t="n">
        <f aca="false">SUMPRODUCT((Dados!$I$2:$I$5001=A20)*(Dados!$K$2:$K$5001=1)*(Dados!$L$2:$L$5001=1))</f>
        <v>0</v>
      </c>
      <c r="E20" s="9" t="n">
        <f aca="false">SUMPRODUCT((Dados!$I$2:$I$5001=A20)*(Dados!$D$2:$D$5001="Formalização")*(Dados!$E$2:$E$5001="Concluído")*(Dados!$K$2:$K$5001=0)*(Dados!$L$2:$L$5001=1))</f>
        <v>0</v>
      </c>
    </row>
    <row r="21" customFormat="false" ht="15" hidden="false" customHeight="false" outlineLevel="0" collapsed="false">
      <c r="A21" s="17" t="n">
        <f aca="false">A20+1</f>
        <v>46254</v>
      </c>
      <c r="B21" s="9" t="n">
        <f aca="false">SUMPRODUCT((Dados!$I$2:$I$5001=A21)*(Dados!$J$2:$J$5001=1))</f>
        <v>0</v>
      </c>
      <c r="C21" s="9" t="n">
        <f aca="false">SUMPRODUCT((Dados!$I$2:$I$5001=A21)*(Dados!$E$2:$E$5001="Em ajustes")*(Dados!$L$2:$L$5001=1))</f>
        <v>0</v>
      </c>
      <c r="D21" s="9" t="n">
        <f aca="false">SUMPRODUCT((Dados!$I$2:$I$5001=A21)*(Dados!$K$2:$K$5001=1)*(Dados!$L$2:$L$5001=1))</f>
        <v>0</v>
      </c>
      <c r="E21" s="9" t="n">
        <f aca="false">SUMPRODUCT((Dados!$I$2:$I$5001=A21)*(Dados!$D$2:$D$5001="Formalização")*(Dados!$E$2:$E$5001="Concluído")*(Dados!$K$2:$K$5001=0)*(Dados!$L$2:$L$5001=1))</f>
        <v>0</v>
      </c>
    </row>
    <row r="22" customFormat="false" ht="15" hidden="false" customHeight="false" outlineLevel="0" collapsed="false">
      <c r="A22" s="17" t="n">
        <f aca="false">A21+1</f>
        <v>46255</v>
      </c>
      <c r="B22" s="9" t="n">
        <f aca="false">SUMPRODUCT((Dados!$I$2:$I$5001=A22)*(Dados!$J$2:$J$5001=1))</f>
        <v>0</v>
      </c>
      <c r="C22" s="9" t="n">
        <f aca="false">SUMPRODUCT((Dados!$I$2:$I$5001=A22)*(Dados!$E$2:$E$5001="Em ajustes")*(Dados!$L$2:$L$5001=1))</f>
        <v>0</v>
      </c>
      <c r="D22" s="9" t="n">
        <f aca="false">SUMPRODUCT((Dados!$I$2:$I$5001=A22)*(Dados!$K$2:$K$5001=1)*(Dados!$L$2:$L$5001=1))</f>
        <v>0</v>
      </c>
      <c r="E22" s="9" t="n">
        <f aca="false">SUMPRODUCT((Dados!$I$2:$I$5001=A22)*(Dados!$D$2:$D$5001="Formalização")*(Dados!$E$2:$E$5001="Concluído")*(Dados!$K$2:$K$5001=0)*(Dados!$L$2:$L$5001=1))</f>
        <v>0</v>
      </c>
    </row>
    <row r="23" customFormat="false" ht="15" hidden="false" customHeight="false" outlineLevel="0" collapsed="false">
      <c r="A23" s="17" t="n">
        <f aca="false">A22+1</f>
        <v>46256</v>
      </c>
      <c r="B23" s="9" t="n">
        <f aca="false">SUMPRODUCT((Dados!$I$2:$I$5001=A23)*(Dados!$J$2:$J$5001=1))</f>
        <v>0</v>
      </c>
      <c r="C23" s="9" t="n">
        <f aca="false">SUMPRODUCT((Dados!$I$2:$I$5001=A23)*(Dados!$E$2:$E$5001="Em ajustes")*(Dados!$L$2:$L$5001=1))</f>
        <v>0</v>
      </c>
      <c r="D23" s="9" t="n">
        <f aca="false">SUMPRODUCT((Dados!$I$2:$I$5001=A23)*(Dados!$K$2:$K$5001=1)*(Dados!$L$2:$L$5001=1))</f>
        <v>0</v>
      </c>
      <c r="E23" s="9" t="n">
        <f aca="false">SUMPRODUCT((Dados!$I$2:$I$5001=A23)*(Dados!$D$2:$D$5001="Formalização")*(Dados!$E$2:$E$5001="Concluído")*(Dados!$K$2:$K$5001=0)*(Dados!$L$2:$L$5001=1))</f>
        <v>0</v>
      </c>
    </row>
    <row r="24" customFormat="false" ht="15" hidden="false" customHeight="false" outlineLevel="0" collapsed="false">
      <c r="A24" s="17" t="n">
        <f aca="false">A23+1</f>
        <v>46257</v>
      </c>
      <c r="B24" s="9" t="n">
        <f aca="false">SUMPRODUCT((Dados!$I$2:$I$5001=A24)*(Dados!$J$2:$J$5001=1))</f>
        <v>0</v>
      </c>
      <c r="C24" s="9" t="n">
        <f aca="false">SUMPRODUCT((Dados!$I$2:$I$5001=A24)*(Dados!$E$2:$E$5001="Em ajustes")*(Dados!$L$2:$L$5001=1))</f>
        <v>0</v>
      </c>
      <c r="D24" s="9" t="n">
        <f aca="false">SUMPRODUCT((Dados!$I$2:$I$5001=A24)*(Dados!$K$2:$K$5001=1)*(Dados!$L$2:$L$5001=1))</f>
        <v>0</v>
      </c>
      <c r="E24" s="9" t="n">
        <f aca="false">SUMPRODUCT((Dados!$I$2:$I$5001=A24)*(Dados!$D$2:$D$5001="Formalização")*(Dados!$E$2:$E$5001="Concluído")*(Dados!$K$2:$K$5001=0)*(Dados!$L$2:$L$5001=1))</f>
        <v>0</v>
      </c>
    </row>
    <row r="25" customFormat="false" ht="15" hidden="false" customHeight="false" outlineLevel="0" collapsed="false">
      <c r="A25" s="17" t="n">
        <f aca="false">A24+1</f>
        <v>46258</v>
      </c>
      <c r="B25" s="9" t="n">
        <f aca="false">SUMPRODUCT((Dados!$I$2:$I$5001=A25)*(Dados!$J$2:$J$5001=1))</f>
        <v>0</v>
      </c>
      <c r="C25" s="9" t="n">
        <f aca="false">SUMPRODUCT((Dados!$I$2:$I$5001=A25)*(Dados!$E$2:$E$5001="Em ajustes")*(Dados!$L$2:$L$5001=1))</f>
        <v>0</v>
      </c>
      <c r="D25" s="9" t="n">
        <f aca="false">SUMPRODUCT((Dados!$I$2:$I$5001=A25)*(Dados!$K$2:$K$5001=1)*(Dados!$L$2:$L$5001=1))</f>
        <v>0</v>
      </c>
      <c r="E25" s="9" t="n">
        <f aca="false">SUMPRODUCT((Dados!$I$2:$I$5001=A25)*(Dados!$D$2:$D$5001="Formalização")*(Dados!$E$2:$E$5001="Concluído")*(Dados!$K$2:$K$5001=0)*(Dados!$L$2:$L$5001=1))</f>
        <v>0</v>
      </c>
    </row>
    <row r="26" customFormat="false" ht="15" hidden="false" customHeight="false" outlineLevel="0" collapsed="false">
      <c r="A26" s="17" t="n">
        <f aca="false">A25+1</f>
        <v>46259</v>
      </c>
      <c r="B26" s="9" t="n">
        <f aca="false">SUMPRODUCT((Dados!$I$2:$I$5001=A26)*(Dados!$J$2:$J$5001=1))</f>
        <v>0</v>
      </c>
      <c r="C26" s="9" t="n">
        <f aca="false">SUMPRODUCT((Dados!$I$2:$I$5001=A26)*(Dados!$E$2:$E$5001="Em ajustes")*(Dados!$L$2:$L$5001=1))</f>
        <v>0</v>
      </c>
      <c r="D26" s="9" t="n">
        <f aca="false">SUMPRODUCT((Dados!$I$2:$I$5001=A26)*(Dados!$K$2:$K$5001=1)*(Dados!$L$2:$L$5001=1))</f>
        <v>0</v>
      </c>
      <c r="E26" s="9" t="n">
        <f aca="false">SUMPRODUCT((Dados!$I$2:$I$5001=A26)*(Dados!$D$2:$D$5001="Formalização")*(Dados!$E$2:$E$5001="Concluído")*(Dados!$K$2:$K$5001=0)*(Dados!$L$2:$L$5001=1))</f>
        <v>0</v>
      </c>
    </row>
    <row r="27" customFormat="false" ht="15" hidden="false" customHeight="false" outlineLevel="0" collapsed="false">
      <c r="A27" s="17" t="n">
        <f aca="false">A26+1</f>
        <v>46260</v>
      </c>
      <c r="B27" s="9" t="n">
        <f aca="false">SUMPRODUCT((Dados!$I$2:$I$5001=A27)*(Dados!$J$2:$J$5001=1))</f>
        <v>0</v>
      </c>
      <c r="C27" s="9" t="n">
        <f aca="false">SUMPRODUCT((Dados!$I$2:$I$5001=A27)*(Dados!$E$2:$E$5001="Em ajustes")*(Dados!$L$2:$L$5001=1))</f>
        <v>0</v>
      </c>
      <c r="D27" s="9" t="n">
        <f aca="false">SUMPRODUCT((Dados!$I$2:$I$5001=A27)*(Dados!$K$2:$K$5001=1)*(Dados!$L$2:$L$5001=1))</f>
        <v>0</v>
      </c>
      <c r="E27" s="9" t="n">
        <f aca="false">SUMPRODUCT((Dados!$I$2:$I$5001=A27)*(Dados!$D$2:$D$5001="Formalização")*(Dados!$E$2:$E$5001="Concluído")*(Dados!$K$2:$K$5001=0)*(Dados!$L$2:$L$5001=1))</f>
        <v>0</v>
      </c>
    </row>
    <row r="28" customFormat="false" ht="15" hidden="false" customHeight="false" outlineLevel="0" collapsed="false">
      <c r="A28" s="17" t="n">
        <f aca="false">A27+1</f>
        <v>46261</v>
      </c>
      <c r="B28" s="9" t="n">
        <f aca="false">SUMPRODUCT((Dados!$I$2:$I$5001=A28)*(Dados!$J$2:$J$5001=1))</f>
        <v>0</v>
      </c>
      <c r="C28" s="9" t="n">
        <f aca="false">SUMPRODUCT((Dados!$I$2:$I$5001=A28)*(Dados!$E$2:$E$5001="Em ajustes")*(Dados!$L$2:$L$5001=1))</f>
        <v>0</v>
      </c>
      <c r="D28" s="9" t="n">
        <f aca="false">SUMPRODUCT((Dados!$I$2:$I$5001=A28)*(Dados!$K$2:$K$5001=1)*(Dados!$L$2:$L$5001=1))</f>
        <v>0</v>
      </c>
      <c r="E28" s="9" t="n">
        <f aca="false">SUMPRODUCT((Dados!$I$2:$I$5001=A28)*(Dados!$D$2:$D$5001="Formalização")*(Dados!$E$2:$E$5001="Concluído")*(Dados!$K$2:$K$5001=0)*(Dados!$L$2:$L$5001=1))</f>
        <v>0</v>
      </c>
    </row>
    <row r="29" customFormat="false" ht="15" hidden="false" customHeight="false" outlineLevel="0" collapsed="false">
      <c r="A29" s="17" t="n">
        <f aca="false">A28+1</f>
        <v>46262</v>
      </c>
      <c r="B29" s="9" t="n">
        <f aca="false">SUMPRODUCT((Dados!$I$2:$I$5001=A29)*(Dados!$J$2:$J$5001=1))</f>
        <v>0</v>
      </c>
      <c r="C29" s="9" t="n">
        <f aca="false">SUMPRODUCT((Dados!$I$2:$I$5001=A29)*(Dados!$E$2:$E$5001="Em ajustes")*(Dados!$L$2:$L$5001=1))</f>
        <v>0</v>
      </c>
      <c r="D29" s="9" t="n">
        <f aca="false">SUMPRODUCT((Dados!$I$2:$I$5001=A29)*(Dados!$K$2:$K$5001=1)*(Dados!$L$2:$L$5001=1))</f>
        <v>0</v>
      </c>
      <c r="E29" s="9" t="n">
        <f aca="false">SUMPRODUCT((Dados!$I$2:$I$5001=A29)*(Dados!$D$2:$D$5001="Formalização")*(Dados!$E$2:$E$5001="Concluído")*(Dados!$K$2:$K$5001=0)*(Dados!$L$2:$L$5001=1))</f>
        <v>0</v>
      </c>
    </row>
    <row r="30" customFormat="false" ht="15" hidden="false" customHeight="false" outlineLevel="0" collapsed="false">
      <c r="A30" s="17" t="n">
        <f aca="false">A29+1</f>
        <v>46263</v>
      </c>
      <c r="B30" s="9" t="n">
        <f aca="false">SUMPRODUCT((Dados!$I$2:$I$5001=A30)*(Dados!$J$2:$J$5001=1))</f>
        <v>0</v>
      </c>
      <c r="C30" s="9" t="n">
        <f aca="false">SUMPRODUCT((Dados!$I$2:$I$5001=A30)*(Dados!$E$2:$E$5001="Em ajustes")*(Dados!$L$2:$L$5001=1))</f>
        <v>0</v>
      </c>
      <c r="D30" s="9" t="n">
        <f aca="false">SUMPRODUCT((Dados!$I$2:$I$5001=A30)*(Dados!$K$2:$K$5001=1)*(Dados!$L$2:$L$5001=1))</f>
        <v>0</v>
      </c>
      <c r="E30" s="9" t="n">
        <f aca="false">SUMPRODUCT((Dados!$I$2:$I$5001=A30)*(Dados!$D$2:$D$5001="Formalização")*(Dados!$E$2:$E$5001="Concluído")*(Dados!$K$2:$K$5001=0)*(Dados!$L$2:$L$5001=1))</f>
        <v>0</v>
      </c>
    </row>
    <row r="31" customFormat="false" ht="15" hidden="false" customHeight="false" outlineLevel="0" collapsed="false">
      <c r="A31" s="17" t="n">
        <f aca="false">A30+1</f>
        <v>46264</v>
      </c>
      <c r="B31" s="9" t="n">
        <f aca="false">SUMPRODUCT((Dados!$I$2:$I$5001=A31)*(Dados!$J$2:$J$5001=1))</f>
        <v>0</v>
      </c>
      <c r="C31" s="9" t="n">
        <f aca="false">SUMPRODUCT((Dados!$I$2:$I$5001=A31)*(Dados!$E$2:$E$5001="Em ajustes")*(Dados!$L$2:$L$5001=1))</f>
        <v>0</v>
      </c>
      <c r="D31" s="9" t="n">
        <f aca="false">SUMPRODUCT((Dados!$I$2:$I$5001=A31)*(Dados!$K$2:$K$5001=1)*(Dados!$L$2:$L$5001=1))</f>
        <v>0</v>
      </c>
      <c r="E31" s="9" t="n">
        <f aca="false">SUMPRODUCT((Dados!$I$2:$I$5001=A31)*(Dados!$D$2:$D$5001="Formalização")*(Dados!$E$2:$E$5001="Concluído")*(Dados!$K$2:$K$5001=0)*(Dados!$L$2:$L$5001=1))</f>
        <v>0</v>
      </c>
    </row>
    <row r="32" customFormat="false" ht="15" hidden="false" customHeight="false" outlineLevel="0" collapsed="false">
      <c r="A32" s="17" t="n">
        <f aca="false">A31+1</f>
        <v>46265</v>
      </c>
      <c r="B32" s="9" t="n">
        <f aca="false">SUMPRODUCT((Dados!$I$2:$I$5001=A32)*(Dados!$J$2:$J$5001=1))</f>
        <v>0</v>
      </c>
      <c r="C32" s="9" t="n">
        <f aca="false">SUMPRODUCT((Dados!$I$2:$I$5001=A32)*(Dados!$E$2:$E$5001="Em ajustes")*(Dados!$L$2:$L$5001=1))</f>
        <v>0</v>
      </c>
      <c r="D32" s="9" t="n">
        <f aca="false">SUMPRODUCT((Dados!$I$2:$I$5001=A32)*(Dados!$K$2:$K$5001=1)*(Dados!$L$2:$L$5001=1))</f>
        <v>0</v>
      </c>
      <c r="E32" s="9" t="n">
        <f aca="false">SUMPRODUCT((Dados!$I$2:$I$5001=A32)*(Dados!$D$2:$D$5001="Formalização")*(Dados!$E$2:$E$5001="Concluído")*(Dados!$K$2:$K$5001=0)*(Dados!$L$2:$L$5001=1))</f>
        <v>0</v>
      </c>
    </row>
    <row r="33" customFormat="false" ht="15" hidden="false" customHeight="false" outlineLevel="0" collapsed="false">
      <c r="A33" s="17" t="n">
        <f aca="false">A32+1</f>
        <v>46266</v>
      </c>
      <c r="B33" s="9" t="n">
        <f aca="false">SUMPRODUCT((Dados!$I$2:$I$5001=A33)*(Dados!$J$2:$J$5001=1))</f>
        <v>0</v>
      </c>
      <c r="C33" s="9" t="n">
        <f aca="false">SUMPRODUCT((Dados!$I$2:$I$5001=A33)*(Dados!$E$2:$E$5001="Em ajustes")*(Dados!$L$2:$L$5001=1))</f>
        <v>0</v>
      </c>
      <c r="D33" s="9" t="n">
        <f aca="false">SUMPRODUCT((Dados!$I$2:$I$5001=A33)*(Dados!$K$2:$K$5001=1)*(Dados!$L$2:$L$5001=1))</f>
        <v>0</v>
      </c>
      <c r="E33" s="9" t="n">
        <f aca="false">SUMPRODUCT((Dados!$I$2:$I$5001=A33)*(Dados!$D$2:$D$5001="Formalização")*(Dados!$E$2:$E$5001="Concluído")*(Dados!$K$2:$K$5001=0)*(Dados!$L$2:$L$5001=1))</f>
        <v>0</v>
      </c>
    </row>
    <row r="34" customFormat="false" ht="15" hidden="false" customHeight="false" outlineLevel="0" collapsed="false">
      <c r="A34" s="17" t="n">
        <f aca="false">A33+1</f>
        <v>46267</v>
      </c>
      <c r="B34" s="9" t="n">
        <f aca="false">SUMPRODUCT((Dados!$I$2:$I$5001=A34)*(Dados!$J$2:$J$5001=1))</f>
        <v>0</v>
      </c>
      <c r="C34" s="9" t="n">
        <f aca="false">SUMPRODUCT((Dados!$I$2:$I$5001=A34)*(Dados!$E$2:$E$5001="Em ajustes")*(Dados!$L$2:$L$5001=1))</f>
        <v>0</v>
      </c>
      <c r="D34" s="9" t="n">
        <f aca="false">SUMPRODUCT((Dados!$I$2:$I$5001=A34)*(Dados!$K$2:$K$5001=1)*(Dados!$L$2:$L$5001=1))</f>
        <v>0</v>
      </c>
      <c r="E34" s="9" t="n">
        <f aca="false">SUMPRODUCT((Dados!$I$2:$I$5001=A34)*(Dados!$D$2:$D$5001="Formalização")*(Dados!$E$2:$E$5001="Concluído")*(Dados!$K$2:$K$5001=0)*(Dados!$L$2:$L$5001=1))</f>
        <v>0</v>
      </c>
    </row>
    <row r="35" customFormat="false" ht="15" hidden="false" customHeight="false" outlineLevel="0" collapsed="false">
      <c r="A35" s="17" t="n">
        <f aca="false">A34+1</f>
        <v>46268</v>
      </c>
      <c r="B35" s="9" t="n">
        <f aca="false">SUMPRODUCT((Dados!$I$2:$I$5001=A35)*(Dados!$J$2:$J$5001=1))</f>
        <v>0</v>
      </c>
      <c r="C35" s="9" t="n">
        <f aca="false">SUMPRODUCT((Dados!$I$2:$I$5001=A35)*(Dados!$E$2:$E$5001="Em ajustes")*(Dados!$L$2:$L$5001=1))</f>
        <v>0</v>
      </c>
      <c r="D35" s="9" t="n">
        <f aca="false">SUMPRODUCT((Dados!$I$2:$I$5001=A35)*(Dados!$K$2:$K$5001=1)*(Dados!$L$2:$L$5001=1))</f>
        <v>0</v>
      </c>
      <c r="E35" s="9" t="n">
        <f aca="false">SUMPRODUCT((Dados!$I$2:$I$5001=A35)*(Dados!$D$2:$D$5001="Formalização")*(Dados!$E$2:$E$5001="Concluído")*(Dados!$K$2:$K$5001=0)*(Dados!$L$2:$L$5001=1))</f>
        <v>0</v>
      </c>
    </row>
    <row r="36" customFormat="false" ht="15" hidden="false" customHeight="false" outlineLevel="0" collapsed="false">
      <c r="A36" s="17" t="n">
        <f aca="false">A35+1</f>
        <v>46269</v>
      </c>
      <c r="B36" s="9" t="n">
        <f aca="false">SUMPRODUCT((Dados!$I$2:$I$5001=A36)*(Dados!$J$2:$J$5001=1))</f>
        <v>0</v>
      </c>
      <c r="C36" s="9" t="n">
        <f aca="false">SUMPRODUCT((Dados!$I$2:$I$5001=A36)*(Dados!$E$2:$E$5001="Em ajustes")*(Dados!$L$2:$L$5001=1))</f>
        <v>0</v>
      </c>
      <c r="D36" s="9" t="n">
        <f aca="false">SUMPRODUCT((Dados!$I$2:$I$5001=A36)*(Dados!$K$2:$K$5001=1)*(Dados!$L$2:$L$5001=1))</f>
        <v>0</v>
      </c>
      <c r="E36" s="9" t="n">
        <f aca="false">SUMPRODUCT((Dados!$I$2:$I$5001=A36)*(Dados!$D$2:$D$5001="Formalização")*(Dados!$E$2:$E$5001="Concluído")*(Dados!$K$2:$K$5001=0)*(Dados!$L$2:$L$5001=1))</f>
        <v>0</v>
      </c>
    </row>
    <row r="37" customFormat="false" ht="15" hidden="false" customHeight="false" outlineLevel="0" collapsed="false">
      <c r="A37" s="17" t="n">
        <f aca="false">A36+1</f>
        <v>46270</v>
      </c>
      <c r="B37" s="9" t="n">
        <f aca="false">SUMPRODUCT((Dados!$I$2:$I$5001=A37)*(Dados!$J$2:$J$5001=1))</f>
        <v>0</v>
      </c>
      <c r="C37" s="9" t="n">
        <f aca="false">SUMPRODUCT((Dados!$I$2:$I$5001=A37)*(Dados!$E$2:$E$5001="Em ajustes")*(Dados!$L$2:$L$5001=1))</f>
        <v>0</v>
      </c>
      <c r="D37" s="9" t="n">
        <f aca="false">SUMPRODUCT((Dados!$I$2:$I$5001=A37)*(Dados!$K$2:$K$5001=1)*(Dados!$L$2:$L$5001=1))</f>
        <v>0</v>
      </c>
      <c r="E37" s="9" t="n">
        <f aca="false">SUMPRODUCT((Dados!$I$2:$I$5001=A37)*(Dados!$D$2:$D$5001="Formalização")*(Dados!$E$2:$E$5001="Concluído")*(Dados!$K$2:$K$5001=0)*(Dados!$L$2:$L$5001=1))</f>
        <v>0</v>
      </c>
    </row>
    <row r="38" customFormat="false" ht="15" hidden="false" customHeight="false" outlineLevel="0" collapsed="false">
      <c r="A38" s="17" t="n">
        <f aca="false">A37+1</f>
        <v>46271</v>
      </c>
      <c r="B38" s="9" t="n">
        <f aca="false">SUMPRODUCT((Dados!$I$2:$I$5001=A38)*(Dados!$J$2:$J$5001=1))</f>
        <v>0</v>
      </c>
      <c r="C38" s="9" t="n">
        <f aca="false">SUMPRODUCT((Dados!$I$2:$I$5001=A38)*(Dados!$E$2:$E$5001="Em ajustes")*(Dados!$L$2:$L$5001=1))</f>
        <v>0</v>
      </c>
      <c r="D38" s="9" t="n">
        <f aca="false">SUMPRODUCT((Dados!$I$2:$I$5001=A38)*(Dados!$K$2:$K$5001=1)*(Dados!$L$2:$L$5001=1))</f>
        <v>0</v>
      </c>
      <c r="E38" s="9" t="n">
        <f aca="false">SUMPRODUCT((Dados!$I$2:$I$5001=A38)*(Dados!$D$2:$D$5001="Formalização")*(Dados!$E$2:$E$5001="Concluído")*(Dados!$K$2:$K$5001=0)*(Dados!$L$2:$L$5001=1))</f>
        <v>0</v>
      </c>
    </row>
    <row r="39" customFormat="false" ht="15" hidden="false" customHeight="false" outlineLevel="0" collapsed="false">
      <c r="A39" s="17" t="n">
        <f aca="false">A38+1</f>
        <v>46272</v>
      </c>
      <c r="B39" s="9" t="n">
        <f aca="false">SUMPRODUCT((Dados!$I$2:$I$5001=A39)*(Dados!$J$2:$J$5001=1))</f>
        <v>0</v>
      </c>
      <c r="C39" s="9" t="n">
        <f aca="false">SUMPRODUCT((Dados!$I$2:$I$5001=A39)*(Dados!$E$2:$E$5001="Em ajustes")*(Dados!$L$2:$L$5001=1))</f>
        <v>0</v>
      </c>
      <c r="D39" s="9" t="n">
        <f aca="false">SUMPRODUCT((Dados!$I$2:$I$5001=A39)*(Dados!$K$2:$K$5001=1)*(Dados!$L$2:$L$5001=1))</f>
        <v>0</v>
      </c>
      <c r="E39" s="9" t="n">
        <f aca="false">SUMPRODUCT((Dados!$I$2:$I$5001=A39)*(Dados!$D$2:$D$5001="Formalização")*(Dados!$E$2:$E$5001="Concluído")*(Dados!$K$2:$K$5001=0)*(Dados!$L$2:$L$5001=1))</f>
        <v>0</v>
      </c>
    </row>
    <row r="40" customFormat="false" ht="15" hidden="false" customHeight="false" outlineLevel="0" collapsed="false">
      <c r="A40" s="17" t="n">
        <f aca="false">A39+1</f>
        <v>46273</v>
      </c>
      <c r="B40" s="9" t="n">
        <f aca="false">SUMPRODUCT((Dados!$I$2:$I$5001=A40)*(Dados!$J$2:$J$5001=1))</f>
        <v>0</v>
      </c>
      <c r="C40" s="9" t="n">
        <f aca="false">SUMPRODUCT((Dados!$I$2:$I$5001=A40)*(Dados!$E$2:$E$5001="Em ajustes")*(Dados!$L$2:$L$5001=1))</f>
        <v>0</v>
      </c>
      <c r="D40" s="9" t="n">
        <f aca="false">SUMPRODUCT((Dados!$I$2:$I$5001=A40)*(Dados!$K$2:$K$5001=1)*(Dados!$L$2:$L$5001=1))</f>
        <v>0</v>
      </c>
      <c r="E40" s="9" t="n">
        <f aca="false">SUMPRODUCT((Dados!$I$2:$I$5001=A40)*(Dados!$D$2:$D$5001="Formalização")*(Dados!$E$2:$E$5001="Concluído")*(Dados!$K$2:$K$5001=0)*(Dados!$L$2:$L$5001=1))</f>
        <v>0</v>
      </c>
    </row>
    <row r="41" customFormat="false" ht="15" hidden="false" customHeight="false" outlineLevel="0" collapsed="false">
      <c r="A41" s="17" t="n">
        <f aca="false">A40+1</f>
        <v>46274</v>
      </c>
      <c r="B41" s="9" t="n">
        <f aca="false">SUMPRODUCT((Dados!$I$2:$I$5001=A41)*(Dados!$J$2:$J$5001=1))</f>
        <v>0</v>
      </c>
      <c r="C41" s="9" t="n">
        <f aca="false">SUMPRODUCT((Dados!$I$2:$I$5001=A41)*(Dados!$E$2:$E$5001="Em ajustes")*(Dados!$L$2:$L$5001=1))</f>
        <v>0</v>
      </c>
      <c r="D41" s="9" t="n">
        <f aca="false">SUMPRODUCT((Dados!$I$2:$I$5001=A41)*(Dados!$K$2:$K$5001=1)*(Dados!$L$2:$L$5001=1))</f>
        <v>0</v>
      </c>
      <c r="E41" s="9" t="n">
        <f aca="false">SUMPRODUCT((Dados!$I$2:$I$5001=A41)*(Dados!$D$2:$D$5001="Formalização")*(Dados!$E$2:$E$5001="Concluído")*(Dados!$K$2:$K$5001=0)*(Dados!$L$2:$L$5001=1))</f>
        <v>0</v>
      </c>
    </row>
    <row r="42" customFormat="false" ht="15" hidden="false" customHeight="false" outlineLevel="0" collapsed="false">
      <c r="A42" s="17" t="n">
        <f aca="false">A41+1</f>
        <v>46275</v>
      </c>
      <c r="B42" s="9" t="n">
        <f aca="false">SUMPRODUCT((Dados!$I$2:$I$5001=A42)*(Dados!$J$2:$J$5001=1))</f>
        <v>0</v>
      </c>
      <c r="C42" s="9" t="n">
        <f aca="false">SUMPRODUCT((Dados!$I$2:$I$5001=A42)*(Dados!$E$2:$E$5001="Em ajustes")*(Dados!$L$2:$L$5001=1))</f>
        <v>0</v>
      </c>
      <c r="D42" s="9" t="n">
        <f aca="false">SUMPRODUCT((Dados!$I$2:$I$5001=A42)*(Dados!$K$2:$K$5001=1)*(Dados!$L$2:$L$5001=1))</f>
        <v>0</v>
      </c>
      <c r="E42" s="9" t="n">
        <f aca="false">SUMPRODUCT((Dados!$I$2:$I$5001=A42)*(Dados!$D$2:$D$5001="Formalização")*(Dados!$E$2:$E$5001="Concluído")*(Dados!$K$2:$K$5001=0)*(Dados!$L$2:$L$5001=1))</f>
        <v>0</v>
      </c>
    </row>
    <row r="43" customFormat="false" ht="15" hidden="false" customHeight="false" outlineLevel="0" collapsed="false">
      <c r="A43" s="17" t="n">
        <f aca="false">A42+1</f>
        <v>46276</v>
      </c>
      <c r="B43" s="9" t="n">
        <f aca="false">SUMPRODUCT((Dados!$I$2:$I$5001=A43)*(Dados!$J$2:$J$5001=1))</f>
        <v>0</v>
      </c>
      <c r="C43" s="9" t="n">
        <f aca="false">SUMPRODUCT((Dados!$I$2:$I$5001=A43)*(Dados!$E$2:$E$5001="Em ajustes")*(Dados!$L$2:$L$5001=1))</f>
        <v>0</v>
      </c>
      <c r="D43" s="9" t="n">
        <f aca="false">SUMPRODUCT((Dados!$I$2:$I$5001=A43)*(Dados!$K$2:$K$5001=1)*(Dados!$L$2:$L$5001=1))</f>
        <v>0</v>
      </c>
      <c r="E43" s="9" t="n">
        <f aca="false">SUMPRODUCT((Dados!$I$2:$I$5001=A43)*(Dados!$D$2:$D$5001="Formalização")*(Dados!$E$2:$E$5001="Concluído")*(Dados!$K$2:$K$5001=0)*(Dados!$L$2:$L$5001=1))</f>
        <v>0</v>
      </c>
    </row>
    <row r="44" customFormat="false" ht="15" hidden="false" customHeight="false" outlineLevel="0" collapsed="false">
      <c r="A44" s="17" t="n">
        <f aca="false">A43+1</f>
        <v>46277</v>
      </c>
      <c r="B44" s="9" t="n">
        <f aca="false">SUMPRODUCT((Dados!$I$2:$I$5001=A44)*(Dados!$J$2:$J$5001=1))</f>
        <v>0</v>
      </c>
      <c r="C44" s="9" t="n">
        <f aca="false">SUMPRODUCT((Dados!$I$2:$I$5001=A44)*(Dados!$E$2:$E$5001="Em ajustes")*(Dados!$L$2:$L$5001=1))</f>
        <v>0</v>
      </c>
      <c r="D44" s="9" t="n">
        <f aca="false">SUMPRODUCT((Dados!$I$2:$I$5001=A44)*(Dados!$K$2:$K$5001=1)*(Dados!$L$2:$L$5001=1))</f>
        <v>0</v>
      </c>
      <c r="E44" s="9" t="n">
        <f aca="false">SUMPRODUCT((Dados!$I$2:$I$5001=A44)*(Dados!$D$2:$D$5001="Formalização")*(Dados!$E$2:$E$5001="Concluído")*(Dados!$K$2:$K$5001=0)*(Dados!$L$2:$L$5001=1))</f>
        <v>0</v>
      </c>
    </row>
    <row r="45" customFormat="false" ht="15" hidden="false" customHeight="false" outlineLevel="0" collapsed="false">
      <c r="A45" s="17" t="n">
        <f aca="false">A44+1</f>
        <v>46278</v>
      </c>
      <c r="B45" s="9" t="n">
        <f aca="false">SUMPRODUCT((Dados!$I$2:$I$5001=A45)*(Dados!$J$2:$J$5001=1))</f>
        <v>0</v>
      </c>
      <c r="C45" s="9" t="n">
        <f aca="false">SUMPRODUCT((Dados!$I$2:$I$5001=A45)*(Dados!$E$2:$E$5001="Em ajustes")*(Dados!$L$2:$L$5001=1))</f>
        <v>0</v>
      </c>
      <c r="D45" s="9" t="n">
        <f aca="false">SUMPRODUCT((Dados!$I$2:$I$5001=A45)*(Dados!$K$2:$K$5001=1)*(Dados!$L$2:$L$5001=1))</f>
        <v>0</v>
      </c>
      <c r="E45" s="9" t="n">
        <f aca="false">SUMPRODUCT((Dados!$I$2:$I$5001=A45)*(Dados!$D$2:$D$5001="Formalização")*(Dados!$E$2:$E$5001="Concluído")*(Dados!$K$2:$K$5001=0)*(Dados!$L$2:$L$5001=1))</f>
        <v>0</v>
      </c>
    </row>
    <row r="46" customFormat="false" ht="15" hidden="false" customHeight="false" outlineLevel="0" collapsed="false">
      <c r="A46" s="17" t="n">
        <f aca="false">A45+1</f>
        <v>46279</v>
      </c>
      <c r="B46" s="9" t="n">
        <f aca="false">SUMPRODUCT((Dados!$I$2:$I$5001=A46)*(Dados!$J$2:$J$5001=1))</f>
        <v>0</v>
      </c>
      <c r="C46" s="9" t="n">
        <f aca="false">SUMPRODUCT((Dados!$I$2:$I$5001=A46)*(Dados!$E$2:$E$5001="Em ajustes")*(Dados!$L$2:$L$5001=1))</f>
        <v>0</v>
      </c>
      <c r="D46" s="9" t="n">
        <f aca="false">SUMPRODUCT((Dados!$I$2:$I$5001=A46)*(Dados!$K$2:$K$5001=1)*(Dados!$L$2:$L$5001=1))</f>
        <v>0</v>
      </c>
      <c r="E46" s="9" t="n">
        <f aca="false">SUMPRODUCT((Dados!$I$2:$I$5001=A46)*(Dados!$D$2:$D$5001="Formalização")*(Dados!$E$2:$E$5001="Concluído")*(Dados!$K$2:$K$5001=0)*(Dados!$L$2:$L$5001=1))</f>
        <v>0</v>
      </c>
    </row>
    <row r="47" customFormat="false" ht="15" hidden="false" customHeight="false" outlineLevel="0" collapsed="false">
      <c r="A47" s="17" t="n">
        <f aca="false">A46+1</f>
        <v>46280</v>
      </c>
      <c r="B47" s="9" t="n">
        <f aca="false">SUMPRODUCT((Dados!$I$2:$I$5001=A47)*(Dados!$J$2:$J$5001=1))</f>
        <v>0</v>
      </c>
      <c r="C47" s="9" t="n">
        <f aca="false">SUMPRODUCT((Dados!$I$2:$I$5001=A47)*(Dados!$E$2:$E$5001="Em ajustes")*(Dados!$L$2:$L$5001=1))</f>
        <v>0</v>
      </c>
      <c r="D47" s="9" t="n">
        <f aca="false">SUMPRODUCT((Dados!$I$2:$I$5001=A47)*(Dados!$K$2:$K$5001=1)*(Dados!$L$2:$L$5001=1))</f>
        <v>0</v>
      </c>
      <c r="E47" s="9" t="n">
        <f aca="false">SUMPRODUCT((Dados!$I$2:$I$5001=A47)*(Dados!$D$2:$D$5001="Formalização")*(Dados!$E$2:$E$5001="Concluído")*(Dados!$K$2:$K$5001=0)*(Dados!$L$2:$L$5001=1))</f>
        <v>0</v>
      </c>
    </row>
    <row r="48" customFormat="false" ht="15" hidden="false" customHeight="false" outlineLevel="0" collapsed="false">
      <c r="A48" s="17" t="n">
        <f aca="false">A47+1</f>
        <v>46281</v>
      </c>
      <c r="B48" s="9" t="n">
        <f aca="false">SUMPRODUCT((Dados!$I$2:$I$5001=A48)*(Dados!$J$2:$J$5001=1))</f>
        <v>0</v>
      </c>
      <c r="C48" s="9" t="n">
        <f aca="false">SUMPRODUCT((Dados!$I$2:$I$5001=A48)*(Dados!$E$2:$E$5001="Em ajustes")*(Dados!$L$2:$L$5001=1))</f>
        <v>0</v>
      </c>
      <c r="D48" s="9" t="n">
        <f aca="false">SUMPRODUCT((Dados!$I$2:$I$5001=A48)*(Dados!$K$2:$K$5001=1)*(Dados!$L$2:$L$5001=1))</f>
        <v>0</v>
      </c>
      <c r="E48" s="9" t="n">
        <f aca="false">SUMPRODUCT((Dados!$I$2:$I$5001=A48)*(Dados!$D$2:$D$5001="Formalização")*(Dados!$E$2:$E$5001="Concluído")*(Dados!$K$2:$K$5001=0)*(Dados!$L$2:$L$5001=1))</f>
        <v>0</v>
      </c>
    </row>
    <row r="49" customFormat="false" ht="15" hidden="false" customHeight="false" outlineLevel="0" collapsed="false">
      <c r="A49" s="17" t="n">
        <f aca="false">A48+1</f>
        <v>46282</v>
      </c>
      <c r="B49" s="9" t="n">
        <f aca="false">SUMPRODUCT((Dados!$I$2:$I$5001=A49)*(Dados!$J$2:$J$5001=1))</f>
        <v>0</v>
      </c>
      <c r="C49" s="9" t="n">
        <f aca="false">SUMPRODUCT((Dados!$I$2:$I$5001=A49)*(Dados!$E$2:$E$5001="Em ajustes")*(Dados!$L$2:$L$5001=1))</f>
        <v>0</v>
      </c>
      <c r="D49" s="9" t="n">
        <f aca="false">SUMPRODUCT((Dados!$I$2:$I$5001=A49)*(Dados!$K$2:$K$5001=1)*(Dados!$L$2:$L$5001=1))</f>
        <v>0</v>
      </c>
      <c r="E49" s="9" t="n">
        <f aca="false">SUMPRODUCT((Dados!$I$2:$I$5001=A49)*(Dados!$D$2:$D$5001="Formalização")*(Dados!$E$2:$E$5001="Concluído")*(Dados!$K$2:$K$5001=0)*(Dados!$L$2:$L$5001=1))</f>
        <v>0</v>
      </c>
    </row>
    <row r="50" customFormat="false" ht="15" hidden="false" customHeight="false" outlineLevel="0" collapsed="false">
      <c r="A50" s="17" t="n">
        <f aca="false">A49+1</f>
        <v>46283</v>
      </c>
      <c r="B50" s="9" t="n">
        <f aca="false">SUMPRODUCT((Dados!$I$2:$I$5001=A50)*(Dados!$J$2:$J$5001=1))</f>
        <v>0</v>
      </c>
      <c r="C50" s="9" t="n">
        <f aca="false">SUMPRODUCT((Dados!$I$2:$I$5001=A50)*(Dados!$E$2:$E$5001="Em ajustes")*(Dados!$L$2:$L$5001=1))</f>
        <v>0</v>
      </c>
      <c r="D50" s="9" t="n">
        <f aca="false">SUMPRODUCT((Dados!$I$2:$I$5001=A50)*(Dados!$K$2:$K$5001=1)*(Dados!$L$2:$L$5001=1))</f>
        <v>0</v>
      </c>
      <c r="E50" s="9" t="n">
        <f aca="false">SUMPRODUCT((Dados!$I$2:$I$5001=A50)*(Dados!$D$2:$D$5001="Formalização")*(Dados!$E$2:$E$5001="Concluído")*(Dados!$K$2:$K$5001=0)*(Dados!$L$2:$L$5001=1))</f>
        <v>0</v>
      </c>
    </row>
    <row r="51" customFormat="false" ht="15" hidden="false" customHeight="false" outlineLevel="0" collapsed="false">
      <c r="A51" s="17" t="n">
        <f aca="false">A50+1</f>
        <v>46284</v>
      </c>
      <c r="B51" s="9" t="n">
        <f aca="false">SUMPRODUCT((Dados!$I$2:$I$5001=A51)*(Dados!$J$2:$J$5001=1))</f>
        <v>0</v>
      </c>
      <c r="C51" s="9" t="n">
        <f aca="false">SUMPRODUCT((Dados!$I$2:$I$5001=A51)*(Dados!$E$2:$E$5001="Em ajustes")*(Dados!$L$2:$L$5001=1))</f>
        <v>0</v>
      </c>
      <c r="D51" s="9" t="n">
        <f aca="false">SUMPRODUCT((Dados!$I$2:$I$5001=A51)*(Dados!$K$2:$K$5001=1)*(Dados!$L$2:$L$5001=1))</f>
        <v>0</v>
      </c>
      <c r="E51" s="9" t="n">
        <f aca="false">SUMPRODUCT((Dados!$I$2:$I$5001=A51)*(Dados!$D$2:$D$5001="Formalização")*(Dados!$E$2:$E$5001="Concluído")*(Dados!$K$2:$K$5001=0)*(Dados!$L$2:$L$5001=1))</f>
        <v>0</v>
      </c>
    </row>
    <row r="52" customFormat="false" ht="15" hidden="false" customHeight="false" outlineLevel="0" collapsed="false">
      <c r="A52" s="17" t="n">
        <f aca="false">A51+1</f>
        <v>46285</v>
      </c>
      <c r="B52" s="9" t="n">
        <f aca="false">SUMPRODUCT((Dados!$I$2:$I$5001=A52)*(Dados!$J$2:$J$5001=1))</f>
        <v>0</v>
      </c>
      <c r="C52" s="9" t="n">
        <f aca="false">SUMPRODUCT((Dados!$I$2:$I$5001=A52)*(Dados!$E$2:$E$5001="Em ajustes")*(Dados!$L$2:$L$5001=1))</f>
        <v>0</v>
      </c>
      <c r="D52" s="9" t="n">
        <f aca="false">SUMPRODUCT((Dados!$I$2:$I$5001=A52)*(Dados!$K$2:$K$5001=1)*(Dados!$L$2:$L$5001=1))</f>
        <v>0</v>
      </c>
      <c r="E52" s="9" t="n">
        <f aca="false">SUMPRODUCT((Dados!$I$2:$I$5001=A52)*(Dados!$D$2:$D$5001="Formalização")*(Dados!$E$2:$E$5001="Concluído")*(Dados!$K$2:$K$5001=0)*(Dados!$L$2:$L$5001=1))</f>
        <v>0</v>
      </c>
    </row>
    <row r="53" customFormat="false" ht="15" hidden="false" customHeight="false" outlineLevel="0" collapsed="false">
      <c r="A53" s="17" t="n">
        <f aca="false">A52+1</f>
        <v>46286</v>
      </c>
      <c r="B53" s="9" t="n">
        <f aca="false">SUMPRODUCT((Dados!$I$2:$I$5001=A53)*(Dados!$J$2:$J$5001=1))</f>
        <v>0</v>
      </c>
      <c r="C53" s="9" t="n">
        <f aca="false">SUMPRODUCT((Dados!$I$2:$I$5001=A53)*(Dados!$E$2:$E$5001="Em ajustes")*(Dados!$L$2:$L$5001=1))</f>
        <v>0</v>
      </c>
      <c r="D53" s="9" t="n">
        <f aca="false">SUMPRODUCT((Dados!$I$2:$I$5001=A53)*(Dados!$K$2:$K$5001=1)*(Dados!$L$2:$L$5001=1))</f>
        <v>0</v>
      </c>
      <c r="E53" s="9" t="n">
        <f aca="false">SUMPRODUCT((Dados!$I$2:$I$5001=A53)*(Dados!$D$2:$D$5001="Formalização")*(Dados!$E$2:$E$5001="Concluído")*(Dados!$K$2:$K$5001=0)*(Dados!$L$2:$L$5001=1))</f>
        <v>0</v>
      </c>
    </row>
    <row r="54" customFormat="false" ht="15" hidden="false" customHeight="false" outlineLevel="0" collapsed="false">
      <c r="A54" s="17" t="n">
        <f aca="false">A53+1</f>
        <v>46287</v>
      </c>
      <c r="B54" s="9" t="n">
        <f aca="false">SUMPRODUCT((Dados!$I$2:$I$5001=A54)*(Dados!$J$2:$J$5001=1))</f>
        <v>0</v>
      </c>
      <c r="C54" s="9" t="n">
        <f aca="false">SUMPRODUCT((Dados!$I$2:$I$5001=A54)*(Dados!$E$2:$E$5001="Em ajustes")*(Dados!$L$2:$L$5001=1))</f>
        <v>0</v>
      </c>
      <c r="D54" s="9" t="n">
        <f aca="false">SUMPRODUCT((Dados!$I$2:$I$5001=A54)*(Dados!$K$2:$K$5001=1)*(Dados!$L$2:$L$5001=1))</f>
        <v>0</v>
      </c>
      <c r="E54" s="9" t="n">
        <f aca="false">SUMPRODUCT((Dados!$I$2:$I$5001=A54)*(Dados!$D$2:$D$5001="Formalização")*(Dados!$E$2:$E$5001="Concluído")*(Dados!$K$2:$K$5001=0)*(Dados!$L$2:$L$5001=1))</f>
        <v>0</v>
      </c>
    </row>
    <row r="55" customFormat="false" ht="15" hidden="false" customHeight="false" outlineLevel="0" collapsed="false">
      <c r="A55" s="17" t="n">
        <f aca="false">A54+1</f>
        <v>46288</v>
      </c>
      <c r="B55" s="9" t="n">
        <f aca="false">SUMPRODUCT((Dados!$I$2:$I$5001=A55)*(Dados!$J$2:$J$5001=1))</f>
        <v>0</v>
      </c>
      <c r="C55" s="9" t="n">
        <f aca="false">SUMPRODUCT((Dados!$I$2:$I$5001=A55)*(Dados!$E$2:$E$5001="Em ajustes")*(Dados!$L$2:$L$5001=1))</f>
        <v>0</v>
      </c>
      <c r="D55" s="9" t="n">
        <f aca="false">SUMPRODUCT((Dados!$I$2:$I$5001=A55)*(Dados!$K$2:$K$5001=1)*(Dados!$L$2:$L$5001=1))</f>
        <v>0</v>
      </c>
      <c r="E55" s="9" t="n">
        <f aca="false">SUMPRODUCT((Dados!$I$2:$I$5001=A55)*(Dados!$D$2:$D$5001="Formalização")*(Dados!$E$2:$E$5001="Concluído")*(Dados!$K$2:$K$5001=0)*(Dados!$L$2:$L$5001=1))</f>
        <v>0</v>
      </c>
    </row>
    <row r="56" customFormat="false" ht="15" hidden="false" customHeight="false" outlineLevel="0" collapsed="false">
      <c r="A56" s="17" t="n">
        <f aca="false">A55+1</f>
        <v>46289</v>
      </c>
      <c r="B56" s="9" t="n">
        <f aca="false">SUMPRODUCT((Dados!$I$2:$I$5001=A56)*(Dados!$J$2:$J$5001=1))</f>
        <v>0</v>
      </c>
      <c r="C56" s="9" t="n">
        <f aca="false">SUMPRODUCT((Dados!$I$2:$I$5001=A56)*(Dados!$E$2:$E$5001="Em ajustes")*(Dados!$L$2:$L$5001=1))</f>
        <v>0</v>
      </c>
      <c r="D56" s="9" t="n">
        <f aca="false">SUMPRODUCT((Dados!$I$2:$I$5001=A56)*(Dados!$K$2:$K$5001=1)*(Dados!$L$2:$L$5001=1))</f>
        <v>0</v>
      </c>
      <c r="E56" s="9" t="n">
        <f aca="false">SUMPRODUCT((Dados!$I$2:$I$5001=A56)*(Dados!$D$2:$D$5001="Formalização")*(Dados!$E$2:$E$5001="Concluído")*(Dados!$K$2:$K$5001=0)*(Dados!$L$2:$L$5001=1))</f>
        <v>0</v>
      </c>
    </row>
    <row r="57" customFormat="false" ht="15" hidden="false" customHeight="false" outlineLevel="0" collapsed="false">
      <c r="A57" s="17" t="n">
        <f aca="false">A56+1</f>
        <v>46290</v>
      </c>
      <c r="B57" s="9" t="n">
        <f aca="false">SUMPRODUCT((Dados!$I$2:$I$5001=A57)*(Dados!$J$2:$J$5001=1))</f>
        <v>0</v>
      </c>
      <c r="C57" s="9" t="n">
        <f aca="false">SUMPRODUCT((Dados!$I$2:$I$5001=A57)*(Dados!$E$2:$E$5001="Em ajustes")*(Dados!$L$2:$L$5001=1))</f>
        <v>0</v>
      </c>
      <c r="D57" s="9" t="n">
        <f aca="false">SUMPRODUCT((Dados!$I$2:$I$5001=A57)*(Dados!$K$2:$K$5001=1)*(Dados!$L$2:$L$5001=1))</f>
        <v>0</v>
      </c>
      <c r="E57" s="9" t="n">
        <f aca="false">SUMPRODUCT((Dados!$I$2:$I$5001=A57)*(Dados!$D$2:$D$5001="Formalização")*(Dados!$E$2:$E$5001="Concluído")*(Dados!$K$2:$K$5001=0)*(Dados!$L$2:$L$5001=1))</f>
        <v>0</v>
      </c>
    </row>
    <row r="58" customFormat="false" ht="15" hidden="false" customHeight="false" outlineLevel="0" collapsed="false">
      <c r="A58" s="17" t="n">
        <f aca="false">A57+1</f>
        <v>46291</v>
      </c>
      <c r="B58" s="9" t="n">
        <f aca="false">SUMPRODUCT((Dados!$I$2:$I$5001=A58)*(Dados!$J$2:$J$5001=1))</f>
        <v>0</v>
      </c>
      <c r="C58" s="9" t="n">
        <f aca="false">SUMPRODUCT((Dados!$I$2:$I$5001=A58)*(Dados!$E$2:$E$5001="Em ajustes")*(Dados!$L$2:$L$5001=1))</f>
        <v>0</v>
      </c>
      <c r="D58" s="9" t="n">
        <f aca="false">SUMPRODUCT((Dados!$I$2:$I$5001=A58)*(Dados!$K$2:$K$5001=1)*(Dados!$L$2:$L$5001=1))</f>
        <v>0</v>
      </c>
      <c r="E58" s="9" t="n">
        <f aca="false">SUMPRODUCT((Dados!$I$2:$I$5001=A58)*(Dados!$D$2:$D$5001="Formalização")*(Dados!$E$2:$E$5001="Concluído")*(Dados!$K$2:$K$5001=0)*(Dados!$L$2:$L$5001=1))</f>
        <v>0</v>
      </c>
    </row>
    <row r="59" customFormat="false" ht="15" hidden="false" customHeight="false" outlineLevel="0" collapsed="false">
      <c r="A59" s="17" t="n">
        <f aca="false">A58+1</f>
        <v>46292</v>
      </c>
      <c r="B59" s="9" t="n">
        <f aca="false">SUMPRODUCT((Dados!$I$2:$I$5001=A59)*(Dados!$J$2:$J$5001=1))</f>
        <v>0</v>
      </c>
      <c r="C59" s="9" t="n">
        <f aca="false">SUMPRODUCT((Dados!$I$2:$I$5001=A59)*(Dados!$E$2:$E$5001="Em ajustes")*(Dados!$L$2:$L$5001=1))</f>
        <v>0</v>
      </c>
      <c r="D59" s="9" t="n">
        <f aca="false">SUMPRODUCT((Dados!$I$2:$I$5001=A59)*(Dados!$K$2:$K$5001=1)*(Dados!$L$2:$L$5001=1))</f>
        <v>0</v>
      </c>
      <c r="E59" s="9" t="n">
        <f aca="false">SUMPRODUCT((Dados!$I$2:$I$5001=A59)*(Dados!$D$2:$D$5001="Formalização")*(Dados!$E$2:$E$5001="Concluído")*(Dados!$K$2:$K$5001=0)*(Dados!$L$2:$L$5001=1))</f>
        <v>0</v>
      </c>
    </row>
    <row r="60" customFormat="false" ht="15" hidden="false" customHeight="false" outlineLevel="0" collapsed="false">
      <c r="A60" s="17" t="n">
        <f aca="false">A59+1</f>
        <v>46293</v>
      </c>
      <c r="B60" s="9" t="n">
        <f aca="false">SUMPRODUCT((Dados!$I$2:$I$5001=A60)*(Dados!$J$2:$J$5001=1))</f>
        <v>0</v>
      </c>
      <c r="C60" s="9" t="n">
        <f aca="false">SUMPRODUCT((Dados!$I$2:$I$5001=A60)*(Dados!$E$2:$E$5001="Em ajustes")*(Dados!$L$2:$L$5001=1))</f>
        <v>0</v>
      </c>
      <c r="D60" s="9" t="n">
        <f aca="false">SUMPRODUCT((Dados!$I$2:$I$5001=A60)*(Dados!$K$2:$K$5001=1)*(Dados!$L$2:$L$5001=1))</f>
        <v>0</v>
      </c>
      <c r="E60" s="9" t="n">
        <f aca="false">SUMPRODUCT((Dados!$I$2:$I$5001=A60)*(Dados!$D$2:$D$5001="Formalização")*(Dados!$E$2:$E$5001="Concluído")*(Dados!$K$2:$K$5001=0)*(Dados!$L$2:$L$5001=1))</f>
        <v>0</v>
      </c>
    </row>
    <row r="61" customFormat="false" ht="15" hidden="false" customHeight="false" outlineLevel="0" collapsed="false">
      <c r="A61" s="17" t="n">
        <f aca="false">A60+1</f>
        <v>46294</v>
      </c>
      <c r="B61" s="9" t="n">
        <f aca="false">SUMPRODUCT((Dados!$I$2:$I$5001=A61)*(Dados!$J$2:$J$5001=1))</f>
        <v>0</v>
      </c>
      <c r="C61" s="9" t="n">
        <f aca="false">SUMPRODUCT((Dados!$I$2:$I$5001=A61)*(Dados!$E$2:$E$5001="Em ajustes")*(Dados!$L$2:$L$5001=1))</f>
        <v>0</v>
      </c>
      <c r="D61" s="9" t="n">
        <f aca="false">SUMPRODUCT((Dados!$I$2:$I$5001=A61)*(Dados!$K$2:$K$5001=1)*(Dados!$L$2:$L$5001=1))</f>
        <v>0</v>
      </c>
      <c r="E61" s="9" t="n">
        <f aca="false">SUMPRODUCT((Dados!$I$2:$I$5001=A61)*(Dados!$D$2:$D$5001="Formalização")*(Dados!$E$2:$E$5001="Concluído")*(Dados!$K$2:$K$5001=0)*(Dados!$L$2:$L$5001=1))</f>
        <v>0</v>
      </c>
    </row>
    <row r="62" customFormat="false" ht="15" hidden="false" customHeight="false" outlineLevel="0" collapsed="false">
      <c r="A62" s="17" t="n">
        <f aca="false">A61+1</f>
        <v>46295</v>
      </c>
      <c r="B62" s="9" t="n">
        <f aca="false">SUMPRODUCT((Dados!$I$2:$I$5001=A62)*(Dados!$J$2:$J$5001=1))</f>
        <v>0</v>
      </c>
      <c r="C62" s="9" t="n">
        <f aca="false">SUMPRODUCT((Dados!$I$2:$I$5001=A62)*(Dados!$E$2:$E$5001="Em ajustes")*(Dados!$L$2:$L$5001=1))</f>
        <v>0</v>
      </c>
      <c r="D62" s="9" t="n">
        <f aca="false">SUMPRODUCT((Dados!$I$2:$I$5001=A62)*(Dados!$K$2:$K$5001=1)*(Dados!$L$2:$L$5001=1))</f>
        <v>0</v>
      </c>
      <c r="E62" s="9" t="n">
        <f aca="false">SUMPRODUCT((Dados!$I$2:$I$5001=A62)*(Dados!$D$2:$D$5001="Formalização")*(Dados!$E$2:$E$5001="Concluído")*(Dados!$K$2:$K$5001=0)*(Dados!$L$2:$L$5001=1))</f>
        <v>0</v>
      </c>
    </row>
    <row r="63" customFormat="false" ht="15" hidden="false" customHeight="false" outlineLevel="0" collapsed="false">
      <c r="A63" s="17" t="n">
        <f aca="false">A62+1</f>
        <v>46296</v>
      </c>
      <c r="B63" s="9" t="n">
        <f aca="false">SUMPRODUCT((Dados!$I$2:$I$5001=A63)*(Dados!$J$2:$J$5001=1))</f>
        <v>0</v>
      </c>
      <c r="C63" s="9" t="n">
        <f aca="false">SUMPRODUCT((Dados!$I$2:$I$5001=A63)*(Dados!$E$2:$E$5001="Em ajustes")*(Dados!$L$2:$L$5001=1))</f>
        <v>0</v>
      </c>
      <c r="D63" s="9" t="n">
        <f aca="false">SUMPRODUCT((Dados!$I$2:$I$5001=A63)*(Dados!$K$2:$K$5001=1)*(Dados!$L$2:$L$5001=1))</f>
        <v>0</v>
      </c>
      <c r="E63" s="9" t="n">
        <f aca="false">SUMPRODUCT((Dados!$I$2:$I$5001=A63)*(Dados!$D$2:$D$5001="Formalização")*(Dados!$E$2:$E$5001="Concluído")*(Dados!$K$2:$K$5001=0)*(Dados!$L$2:$L$5001=1))</f>
        <v>0</v>
      </c>
    </row>
    <row r="64" customFormat="false" ht="15" hidden="false" customHeight="false" outlineLevel="0" collapsed="false">
      <c r="A64" s="17" t="n">
        <f aca="false">A63+1</f>
        <v>46297</v>
      </c>
      <c r="B64" s="9" t="n">
        <f aca="false">SUMPRODUCT((Dados!$I$2:$I$5001=A64)*(Dados!$J$2:$J$5001=1))</f>
        <v>0</v>
      </c>
      <c r="C64" s="9" t="n">
        <f aca="false">SUMPRODUCT((Dados!$I$2:$I$5001=A64)*(Dados!$E$2:$E$5001="Em ajustes")*(Dados!$L$2:$L$5001=1))</f>
        <v>0</v>
      </c>
      <c r="D64" s="9" t="n">
        <f aca="false">SUMPRODUCT((Dados!$I$2:$I$5001=A64)*(Dados!$K$2:$K$5001=1)*(Dados!$L$2:$L$5001=1))</f>
        <v>0</v>
      </c>
      <c r="E64" s="9" t="n">
        <f aca="false">SUMPRODUCT((Dados!$I$2:$I$5001=A64)*(Dados!$D$2:$D$5001="Formalização")*(Dados!$E$2:$E$5001="Concluído")*(Dados!$K$2:$K$5001=0)*(Dados!$L$2:$L$5001=1))</f>
        <v>0</v>
      </c>
    </row>
    <row r="65" customFormat="false" ht="15" hidden="false" customHeight="false" outlineLevel="0" collapsed="false">
      <c r="A65" s="17" t="n">
        <f aca="false">A64+1</f>
        <v>46298</v>
      </c>
      <c r="B65" s="9" t="n">
        <f aca="false">SUMPRODUCT((Dados!$I$2:$I$5001=A65)*(Dados!$J$2:$J$5001=1))</f>
        <v>0</v>
      </c>
      <c r="C65" s="9" t="n">
        <f aca="false">SUMPRODUCT((Dados!$I$2:$I$5001=A65)*(Dados!$E$2:$E$5001="Em ajustes")*(Dados!$L$2:$L$5001=1))</f>
        <v>0</v>
      </c>
      <c r="D65" s="9" t="n">
        <f aca="false">SUMPRODUCT((Dados!$I$2:$I$5001=A65)*(Dados!$K$2:$K$5001=1)*(Dados!$L$2:$L$5001=1))</f>
        <v>0</v>
      </c>
      <c r="E65" s="9" t="n">
        <f aca="false">SUMPRODUCT((Dados!$I$2:$I$5001=A65)*(Dados!$D$2:$D$5001="Formalização")*(Dados!$E$2:$E$5001="Concluído")*(Dados!$K$2:$K$5001=0)*(Dados!$L$2:$L$5001=1))</f>
        <v>0</v>
      </c>
    </row>
    <row r="66" customFormat="false" ht="15" hidden="false" customHeight="false" outlineLevel="0" collapsed="false">
      <c r="A66" s="17" t="n">
        <f aca="false">A65+1</f>
        <v>46299</v>
      </c>
      <c r="B66" s="9" t="n">
        <f aca="false">SUMPRODUCT((Dados!$I$2:$I$5001=A66)*(Dados!$J$2:$J$5001=1))</f>
        <v>0</v>
      </c>
      <c r="C66" s="9" t="n">
        <f aca="false">SUMPRODUCT((Dados!$I$2:$I$5001=A66)*(Dados!$E$2:$E$5001="Em ajustes")*(Dados!$L$2:$L$5001=1))</f>
        <v>0</v>
      </c>
      <c r="D66" s="9" t="n">
        <f aca="false">SUMPRODUCT((Dados!$I$2:$I$5001=A66)*(Dados!$K$2:$K$5001=1)*(Dados!$L$2:$L$5001=1))</f>
        <v>0</v>
      </c>
      <c r="E66" s="9" t="n">
        <f aca="false">SUMPRODUCT((Dados!$I$2:$I$5001=A66)*(Dados!$D$2:$D$5001="Formalização")*(Dados!$E$2:$E$5001="Concluído")*(Dados!$K$2:$K$5001=0)*(Dados!$L$2:$L$5001=1))</f>
        <v>0</v>
      </c>
    </row>
    <row r="67" customFormat="false" ht="15" hidden="false" customHeight="false" outlineLevel="0" collapsed="false">
      <c r="A67" s="17" t="n">
        <f aca="false">A66+1</f>
        <v>46300</v>
      </c>
      <c r="B67" s="9" t="n">
        <f aca="false">SUMPRODUCT((Dados!$I$2:$I$5001=A67)*(Dados!$J$2:$J$5001=1))</f>
        <v>0</v>
      </c>
      <c r="C67" s="9" t="n">
        <f aca="false">SUMPRODUCT((Dados!$I$2:$I$5001=A67)*(Dados!$E$2:$E$5001="Em ajustes")*(Dados!$L$2:$L$5001=1))</f>
        <v>0</v>
      </c>
      <c r="D67" s="9" t="n">
        <f aca="false">SUMPRODUCT((Dados!$I$2:$I$5001=A67)*(Dados!$K$2:$K$5001=1)*(Dados!$L$2:$L$5001=1))</f>
        <v>0</v>
      </c>
      <c r="E67" s="9" t="n">
        <f aca="false">SUMPRODUCT((Dados!$I$2:$I$5001=A67)*(Dados!$D$2:$D$5001="Formalização")*(Dados!$E$2:$E$5001="Concluído")*(Dados!$K$2:$K$5001=0)*(Dados!$L$2:$L$5001=1))</f>
        <v>0</v>
      </c>
    </row>
    <row r="68" customFormat="false" ht="15" hidden="false" customHeight="false" outlineLevel="0" collapsed="false">
      <c r="A68" s="17" t="n">
        <f aca="false">A67+1</f>
        <v>46301</v>
      </c>
      <c r="B68" s="9" t="n">
        <f aca="false">SUMPRODUCT((Dados!$I$2:$I$5001=A68)*(Dados!$J$2:$J$5001=1))</f>
        <v>0</v>
      </c>
      <c r="C68" s="9" t="n">
        <f aca="false">SUMPRODUCT((Dados!$I$2:$I$5001=A68)*(Dados!$E$2:$E$5001="Em ajustes")*(Dados!$L$2:$L$5001=1))</f>
        <v>0</v>
      </c>
      <c r="D68" s="9" t="n">
        <f aca="false">SUMPRODUCT((Dados!$I$2:$I$5001=A68)*(Dados!$K$2:$K$5001=1)*(Dados!$L$2:$L$5001=1))</f>
        <v>0</v>
      </c>
      <c r="E68" s="9" t="n">
        <f aca="false">SUMPRODUCT((Dados!$I$2:$I$5001=A68)*(Dados!$D$2:$D$5001="Formalização")*(Dados!$E$2:$E$5001="Concluído")*(Dados!$K$2:$K$5001=0)*(Dados!$L$2:$L$5001=1))</f>
        <v>0</v>
      </c>
    </row>
    <row r="69" customFormat="false" ht="15" hidden="false" customHeight="false" outlineLevel="0" collapsed="false">
      <c r="A69" s="17" t="n">
        <f aca="false">A68+1</f>
        <v>46302</v>
      </c>
      <c r="B69" s="9" t="n">
        <f aca="false">SUMPRODUCT((Dados!$I$2:$I$5001=A69)*(Dados!$J$2:$J$5001=1))</f>
        <v>0</v>
      </c>
      <c r="C69" s="9" t="n">
        <f aca="false">SUMPRODUCT((Dados!$I$2:$I$5001=A69)*(Dados!$E$2:$E$5001="Em ajustes")*(Dados!$L$2:$L$5001=1))</f>
        <v>0</v>
      </c>
      <c r="D69" s="9" t="n">
        <f aca="false">SUMPRODUCT((Dados!$I$2:$I$5001=A69)*(Dados!$K$2:$K$5001=1)*(Dados!$L$2:$L$5001=1))</f>
        <v>0</v>
      </c>
      <c r="E69" s="9" t="n">
        <f aca="false">SUMPRODUCT((Dados!$I$2:$I$5001=A69)*(Dados!$D$2:$D$5001="Formalização")*(Dados!$E$2:$E$5001="Concluído")*(Dados!$K$2:$K$5001=0)*(Dados!$L$2:$L$5001=1))</f>
        <v>0</v>
      </c>
    </row>
    <row r="70" customFormat="false" ht="15" hidden="false" customHeight="false" outlineLevel="0" collapsed="false">
      <c r="A70" s="17" t="n">
        <f aca="false">A69+1</f>
        <v>46303</v>
      </c>
      <c r="B70" s="9" t="n">
        <f aca="false">SUMPRODUCT((Dados!$I$2:$I$5001=A70)*(Dados!$J$2:$J$5001=1))</f>
        <v>0</v>
      </c>
      <c r="C70" s="9" t="n">
        <f aca="false">SUMPRODUCT((Dados!$I$2:$I$5001=A70)*(Dados!$E$2:$E$5001="Em ajustes")*(Dados!$L$2:$L$5001=1))</f>
        <v>0</v>
      </c>
      <c r="D70" s="9" t="n">
        <f aca="false">SUMPRODUCT((Dados!$I$2:$I$5001=A70)*(Dados!$K$2:$K$5001=1)*(Dados!$L$2:$L$5001=1))</f>
        <v>0</v>
      </c>
      <c r="E70" s="9" t="n">
        <f aca="false">SUMPRODUCT((Dados!$I$2:$I$5001=A70)*(Dados!$D$2:$D$5001="Formalização")*(Dados!$E$2:$E$5001="Concluído")*(Dados!$K$2:$K$5001=0)*(Dados!$L$2:$L$5001=1))</f>
        <v>0</v>
      </c>
    </row>
    <row r="71" customFormat="false" ht="15" hidden="false" customHeight="false" outlineLevel="0" collapsed="false">
      <c r="A71" s="17" t="n">
        <f aca="false">A70+1</f>
        <v>46304</v>
      </c>
      <c r="B71" s="9" t="n">
        <f aca="false">SUMPRODUCT((Dados!$I$2:$I$5001=A71)*(Dados!$J$2:$J$5001=1))</f>
        <v>0</v>
      </c>
      <c r="C71" s="9" t="n">
        <f aca="false">SUMPRODUCT((Dados!$I$2:$I$5001=A71)*(Dados!$E$2:$E$5001="Em ajustes")*(Dados!$L$2:$L$5001=1))</f>
        <v>0</v>
      </c>
      <c r="D71" s="9" t="n">
        <f aca="false">SUMPRODUCT((Dados!$I$2:$I$5001=A71)*(Dados!$K$2:$K$5001=1)*(Dados!$L$2:$L$5001=1))</f>
        <v>0</v>
      </c>
      <c r="E71" s="9" t="n">
        <f aca="false">SUMPRODUCT((Dados!$I$2:$I$5001=A71)*(Dados!$D$2:$D$5001="Formalização")*(Dados!$E$2:$E$5001="Concluído")*(Dados!$K$2:$K$5001=0)*(Dados!$L$2:$L$5001=1))</f>
        <v>0</v>
      </c>
    </row>
    <row r="72" customFormat="false" ht="15" hidden="false" customHeight="false" outlineLevel="0" collapsed="false">
      <c r="A72" s="17" t="n">
        <f aca="false">A71+1</f>
        <v>46305</v>
      </c>
      <c r="B72" s="9" t="n">
        <f aca="false">SUMPRODUCT((Dados!$I$2:$I$5001=A72)*(Dados!$J$2:$J$5001=1))</f>
        <v>0</v>
      </c>
      <c r="C72" s="9" t="n">
        <f aca="false">SUMPRODUCT((Dados!$I$2:$I$5001=A72)*(Dados!$E$2:$E$5001="Em ajustes")*(Dados!$L$2:$L$5001=1))</f>
        <v>0</v>
      </c>
      <c r="D72" s="9" t="n">
        <f aca="false">SUMPRODUCT((Dados!$I$2:$I$5001=A72)*(Dados!$K$2:$K$5001=1)*(Dados!$L$2:$L$5001=1))</f>
        <v>0</v>
      </c>
      <c r="E72" s="9" t="n">
        <f aca="false">SUMPRODUCT((Dados!$I$2:$I$5001=A72)*(Dados!$D$2:$D$5001="Formalização")*(Dados!$E$2:$E$5001="Concluído")*(Dados!$K$2:$K$5001=0)*(Dados!$L$2:$L$5001=1))</f>
        <v>0</v>
      </c>
    </row>
    <row r="73" customFormat="false" ht="15" hidden="false" customHeight="false" outlineLevel="0" collapsed="false">
      <c r="A73" s="17" t="n">
        <f aca="false">A72+1</f>
        <v>46306</v>
      </c>
      <c r="B73" s="9" t="n">
        <f aca="false">SUMPRODUCT((Dados!$I$2:$I$5001=A73)*(Dados!$J$2:$J$5001=1))</f>
        <v>0</v>
      </c>
      <c r="C73" s="9" t="n">
        <f aca="false">SUMPRODUCT((Dados!$I$2:$I$5001=A73)*(Dados!$E$2:$E$5001="Em ajustes")*(Dados!$L$2:$L$5001=1))</f>
        <v>0</v>
      </c>
      <c r="D73" s="9" t="n">
        <f aca="false">SUMPRODUCT((Dados!$I$2:$I$5001=A73)*(Dados!$K$2:$K$5001=1)*(Dados!$L$2:$L$5001=1))</f>
        <v>0</v>
      </c>
      <c r="E73" s="9" t="n">
        <f aca="false">SUMPRODUCT((Dados!$I$2:$I$5001=A73)*(Dados!$D$2:$D$5001="Formalização")*(Dados!$E$2:$E$5001="Concluído")*(Dados!$K$2:$K$5001=0)*(Dados!$L$2:$L$5001=1))</f>
        <v>0</v>
      </c>
    </row>
    <row r="74" customFormat="false" ht="15" hidden="false" customHeight="false" outlineLevel="0" collapsed="false">
      <c r="A74" s="17" t="n">
        <f aca="false">A73+1</f>
        <v>46307</v>
      </c>
      <c r="B74" s="9" t="n">
        <f aca="false">SUMPRODUCT((Dados!$I$2:$I$5001=A74)*(Dados!$J$2:$J$5001=1))</f>
        <v>0</v>
      </c>
      <c r="C74" s="9" t="n">
        <f aca="false">SUMPRODUCT((Dados!$I$2:$I$5001=A74)*(Dados!$E$2:$E$5001="Em ajustes")*(Dados!$L$2:$L$5001=1))</f>
        <v>0</v>
      </c>
      <c r="D74" s="9" t="n">
        <f aca="false">SUMPRODUCT((Dados!$I$2:$I$5001=A74)*(Dados!$K$2:$K$5001=1)*(Dados!$L$2:$L$5001=1))</f>
        <v>0</v>
      </c>
      <c r="E74" s="9" t="n">
        <f aca="false">SUMPRODUCT((Dados!$I$2:$I$5001=A74)*(Dados!$D$2:$D$5001="Formalização")*(Dados!$E$2:$E$5001="Concluído")*(Dados!$K$2:$K$5001=0)*(Dados!$L$2:$L$5001=1))</f>
        <v>0</v>
      </c>
    </row>
    <row r="75" customFormat="false" ht="15" hidden="false" customHeight="false" outlineLevel="0" collapsed="false">
      <c r="A75" s="17" t="n">
        <f aca="false">A74+1</f>
        <v>46308</v>
      </c>
      <c r="B75" s="9" t="n">
        <f aca="false">SUMPRODUCT((Dados!$I$2:$I$5001=A75)*(Dados!$J$2:$J$5001=1))</f>
        <v>0</v>
      </c>
      <c r="C75" s="9" t="n">
        <f aca="false">SUMPRODUCT((Dados!$I$2:$I$5001=A75)*(Dados!$E$2:$E$5001="Em ajustes")*(Dados!$L$2:$L$5001=1))</f>
        <v>0</v>
      </c>
      <c r="D75" s="9" t="n">
        <f aca="false">SUMPRODUCT((Dados!$I$2:$I$5001=A75)*(Dados!$K$2:$K$5001=1)*(Dados!$L$2:$L$5001=1))</f>
        <v>0</v>
      </c>
      <c r="E75" s="9" t="n">
        <f aca="false">SUMPRODUCT((Dados!$I$2:$I$5001=A75)*(Dados!$D$2:$D$5001="Formalização")*(Dados!$E$2:$E$5001="Concluído")*(Dados!$K$2:$K$5001=0)*(Dados!$L$2:$L$5001=1))</f>
        <v>0</v>
      </c>
    </row>
    <row r="76" customFormat="false" ht="15" hidden="false" customHeight="false" outlineLevel="0" collapsed="false">
      <c r="A76" s="17" t="n">
        <f aca="false">A75+1</f>
        <v>46309</v>
      </c>
      <c r="B76" s="9" t="n">
        <f aca="false">SUMPRODUCT((Dados!$I$2:$I$5001=A76)*(Dados!$J$2:$J$5001=1))</f>
        <v>0</v>
      </c>
      <c r="C76" s="9" t="n">
        <f aca="false">SUMPRODUCT((Dados!$I$2:$I$5001=A76)*(Dados!$E$2:$E$5001="Em ajustes")*(Dados!$L$2:$L$5001=1))</f>
        <v>0</v>
      </c>
      <c r="D76" s="9" t="n">
        <f aca="false">SUMPRODUCT((Dados!$I$2:$I$5001=A76)*(Dados!$K$2:$K$5001=1)*(Dados!$L$2:$L$5001=1))</f>
        <v>0</v>
      </c>
      <c r="E76" s="9" t="n">
        <f aca="false">SUMPRODUCT((Dados!$I$2:$I$5001=A76)*(Dados!$D$2:$D$5001="Formalização")*(Dados!$E$2:$E$5001="Concluído")*(Dados!$K$2:$K$5001=0)*(Dados!$L$2:$L$5001=1))</f>
        <v>0</v>
      </c>
    </row>
    <row r="77" customFormat="false" ht="15" hidden="false" customHeight="false" outlineLevel="0" collapsed="false">
      <c r="A77" s="17" t="n">
        <f aca="false">A76+1</f>
        <v>46310</v>
      </c>
      <c r="B77" s="9" t="n">
        <f aca="false">SUMPRODUCT((Dados!$I$2:$I$5001=A77)*(Dados!$J$2:$J$5001=1))</f>
        <v>0</v>
      </c>
      <c r="C77" s="9" t="n">
        <f aca="false">SUMPRODUCT((Dados!$I$2:$I$5001=A77)*(Dados!$E$2:$E$5001="Em ajustes")*(Dados!$L$2:$L$5001=1))</f>
        <v>0</v>
      </c>
      <c r="D77" s="9" t="n">
        <f aca="false">SUMPRODUCT((Dados!$I$2:$I$5001=A77)*(Dados!$K$2:$K$5001=1)*(Dados!$L$2:$L$5001=1))</f>
        <v>0</v>
      </c>
      <c r="E77" s="9" t="n">
        <f aca="false">SUMPRODUCT((Dados!$I$2:$I$5001=A77)*(Dados!$D$2:$D$5001="Formalização")*(Dados!$E$2:$E$5001="Concluído")*(Dados!$K$2:$K$5001=0)*(Dados!$L$2:$L$5001=1))</f>
        <v>0</v>
      </c>
    </row>
    <row r="78" customFormat="false" ht="15" hidden="false" customHeight="false" outlineLevel="0" collapsed="false">
      <c r="A78" s="17" t="n">
        <f aca="false">A77+1</f>
        <v>46311</v>
      </c>
      <c r="B78" s="9" t="n">
        <f aca="false">SUMPRODUCT((Dados!$I$2:$I$5001=A78)*(Dados!$J$2:$J$5001=1))</f>
        <v>0</v>
      </c>
      <c r="C78" s="9" t="n">
        <f aca="false">SUMPRODUCT((Dados!$I$2:$I$5001=A78)*(Dados!$E$2:$E$5001="Em ajustes")*(Dados!$L$2:$L$5001=1))</f>
        <v>0</v>
      </c>
      <c r="D78" s="9" t="n">
        <f aca="false">SUMPRODUCT((Dados!$I$2:$I$5001=A78)*(Dados!$K$2:$K$5001=1)*(Dados!$L$2:$L$5001=1))</f>
        <v>0</v>
      </c>
      <c r="E78" s="9" t="n">
        <f aca="false">SUMPRODUCT((Dados!$I$2:$I$5001=A78)*(Dados!$D$2:$D$5001="Formalização")*(Dados!$E$2:$E$5001="Concluído")*(Dados!$K$2:$K$5001=0)*(Dados!$L$2:$L$5001=1))</f>
        <v>0</v>
      </c>
    </row>
    <row r="79" customFormat="false" ht="15" hidden="false" customHeight="false" outlineLevel="0" collapsed="false">
      <c r="A79" s="17" t="n">
        <f aca="false">A78+1</f>
        <v>46312</v>
      </c>
      <c r="B79" s="9" t="n">
        <f aca="false">SUMPRODUCT((Dados!$I$2:$I$5001=A79)*(Dados!$J$2:$J$5001=1))</f>
        <v>0</v>
      </c>
      <c r="C79" s="9" t="n">
        <f aca="false">SUMPRODUCT((Dados!$I$2:$I$5001=A79)*(Dados!$E$2:$E$5001="Em ajustes")*(Dados!$L$2:$L$5001=1))</f>
        <v>0</v>
      </c>
      <c r="D79" s="9" t="n">
        <f aca="false">SUMPRODUCT((Dados!$I$2:$I$5001=A79)*(Dados!$K$2:$K$5001=1)*(Dados!$L$2:$L$5001=1))</f>
        <v>0</v>
      </c>
      <c r="E79" s="9" t="n">
        <f aca="false">SUMPRODUCT((Dados!$I$2:$I$5001=A79)*(Dados!$D$2:$D$5001="Formalização")*(Dados!$E$2:$E$5001="Concluído")*(Dados!$K$2:$K$5001=0)*(Dados!$L$2:$L$5001=1))</f>
        <v>0</v>
      </c>
    </row>
    <row r="80" customFormat="false" ht="15" hidden="false" customHeight="false" outlineLevel="0" collapsed="false">
      <c r="A80" s="17" t="n">
        <f aca="false">A79+1</f>
        <v>46313</v>
      </c>
      <c r="B80" s="9" t="n">
        <f aca="false">SUMPRODUCT((Dados!$I$2:$I$5001=A80)*(Dados!$J$2:$J$5001=1))</f>
        <v>0</v>
      </c>
      <c r="C80" s="9" t="n">
        <f aca="false">SUMPRODUCT((Dados!$I$2:$I$5001=A80)*(Dados!$E$2:$E$5001="Em ajustes")*(Dados!$L$2:$L$5001=1))</f>
        <v>0</v>
      </c>
      <c r="D80" s="9" t="n">
        <f aca="false">SUMPRODUCT((Dados!$I$2:$I$5001=A80)*(Dados!$K$2:$K$5001=1)*(Dados!$L$2:$L$5001=1))</f>
        <v>0</v>
      </c>
      <c r="E80" s="9" t="n">
        <f aca="false">SUMPRODUCT((Dados!$I$2:$I$5001=A80)*(Dados!$D$2:$D$5001="Formalização")*(Dados!$E$2:$E$5001="Concluído")*(Dados!$K$2:$K$5001=0)*(Dados!$L$2:$L$5001=1))</f>
        <v>0</v>
      </c>
    </row>
    <row r="81" customFormat="false" ht="15" hidden="false" customHeight="false" outlineLevel="0" collapsed="false">
      <c r="A81" s="17" t="n">
        <f aca="false">A80+1</f>
        <v>46314</v>
      </c>
      <c r="B81" s="9" t="n">
        <f aca="false">SUMPRODUCT((Dados!$I$2:$I$5001=A81)*(Dados!$J$2:$J$5001=1))</f>
        <v>0</v>
      </c>
      <c r="C81" s="9" t="n">
        <f aca="false">SUMPRODUCT((Dados!$I$2:$I$5001=A81)*(Dados!$E$2:$E$5001="Em ajustes")*(Dados!$L$2:$L$5001=1))</f>
        <v>0</v>
      </c>
      <c r="D81" s="9" t="n">
        <f aca="false">SUMPRODUCT((Dados!$I$2:$I$5001=A81)*(Dados!$K$2:$K$5001=1)*(Dados!$L$2:$L$5001=1))</f>
        <v>0</v>
      </c>
      <c r="E81" s="9" t="n">
        <f aca="false">SUMPRODUCT((Dados!$I$2:$I$5001=A81)*(Dados!$D$2:$D$5001="Formalização")*(Dados!$E$2:$E$5001="Concluído")*(Dados!$K$2:$K$5001=0)*(Dados!$L$2:$L$5001=1))</f>
        <v>0</v>
      </c>
    </row>
    <row r="82" customFormat="false" ht="15" hidden="false" customHeight="false" outlineLevel="0" collapsed="false">
      <c r="A82" s="17" t="n">
        <f aca="false">A81+1</f>
        <v>46315</v>
      </c>
      <c r="B82" s="9" t="n">
        <f aca="false">SUMPRODUCT((Dados!$I$2:$I$5001=A82)*(Dados!$J$2:$J$5001=1))</f>
        <v>0</v>
      </c>
      <c r="C82" s="9" t="n">
        <f aca="false">SUMPRODUCT((Dados!$I$2:$I$5001=A82)*(Dados!$E$2:$E$5001="Em ajustes")*(Dados!$L$2:$L$5001=1))</f>
        <v>0</v>
      </c>
      <c r="D82" s="9" t="n">
        <f aca="false">SUMPRODUCT((Dados!$I$2:$I$5001=A82)*(Dados!$K$2:$K$5001=1)*(Dados!$L$2:$L$5001=1))</f>
        <v>0</v>
      </c>
      <c r="E82" s="9" t="n">
        <f aca="false">SUMPRODUCT((Dados!$I$2:$I$5001=A82)*(Dados!$D$2:$D$5001="Formalização")*(Dados!$E$2:$E$5001="Concluído")*(Dados!$K$2:$K$5001=0)*(Dados!$L$2:$L$5001=1))</f>
        <v>0</v>
      </c>
    </row>
    <row r="83" customFormat="false" ht="15" hidden="false" customHeight="false" outlineLevel="0" collapsed="false">
      <c r="A83" s="17" t="n">
        <f aca="false">A82+1</f>
        <v>46316</v>
      </c>
      <c r="B83" s="9" t="n">
        <f aca="false">SUMPRODUCT((Dados!$I$2:$I$5001=A83)*(Dados!$J$2:$J$5001=1))</f>
        <v>0</v>
      </c>
      <c r="C83" s="9" t="n">
        <f aca="false">SUMPRODUCT((Dados!$I$2:$I$5001=A83)*(Dados!$E$2:$E$5001="Em ajustes")*(Dados!$L$2:$L$5001=1))</f>
        <v>0</v>
      </c>
      <c r="D83" s="9" t="n">
        <f aca="false">SUMPRODUCT((Dados!$I$2:$I$5001=A83)*(Dados!$K$2:$K$5001=1)*(Dados!$L$2:$L$5001=1))</f>
        <v>0</v>
      </c>
      <c r="E83" s="9" t="n">
        <f aca="false">SUMPRODUCT((Dados!$I$2:$I$5001=A83)*(Dados!$D$2:$D$5001="Formalização")*(Dados!$E$2:$E$5001="Concluído")*(Dados!$K$2:$K$5001=0)*(Dados!$L$2:$L$5001=1))</f>
        <v>0</v>
      </c>
    </row>
    <row r="84" customFormat="false" ht="15" hidden="false" customHeight="false" outlineLevel="0" collapsed="false">
      <c r="A84" s="17" t="n">
        <f aca="false">A83+1</f>
        <v>46317</v>
      </c>
      <c r="B84" s="9" t="n">
        <f aca="false">SUMPRODUCT((Dados!$I$2:$I$5001=A84)*(Dados!$J$2:$J$5001=1))</f>
        <v>0</v>
      </c>
      <c r="C84" s="9" t="n">
        <f aca="false">SUMPRODUCT((Dados!$I$2:$I$5001=A84)*(Dados!$E$2:$E$5001="Em ajustes")*(Dados!$L$2:$L$5001=1))</f>
        <v>0</v>
      </c>
      <c r="D84" s="9" t="n">
        <f aca="false">SUMPRODUCT((Dados!$I$2:$I$5001=A84)*(Dados!$K$2:$K$5001=1)*(Dados!$L$2:$L$5001=1))</f>
        <v>0</v>
      </c>
      <c r="E84" s="9" t="n">
        <f aca="false">SUMPRODUCT((Dados!$I$2:$I$5001=A84)*(Dados!$D$2:$D$5001="Formalização")*(Dados!$E$2:$E$5001="Concluído")*(Dados!$K$2:$K$5001=0)*(Dados!$L$2:$L$5001=1))</f>
        <v>0</v>
      </c>
    </row>
    <row r="85" customFormat="false" ht="15" hidden="false" customHeight="false" outlineLevel="0" collapsed="false">
      <c r="A85" s="17" t="n">
        <f aca="false">A84+1</f>
        <v>46318</v>
      </c>
      <c r="B85" s="9" t="n">
        <f aca="false">SUMPRODUCT((Dados!$I$2:$I$5001=A85)*(Dados!$J$2:$J$5001=1))</f>
        <v>0</v>
      </c>
      <c r="C85" s="9" t="n">
        <f aca="false">SUMPRODUCT((Dados!$I$2:$I$5001=A85)*(Dados!$E$2:$E$5001="Em ajustes")*(Dados!$L$2:$L$5001=1))</f>
        <v>0</v>
      </c>
      <c r="D85" s="9" t="n">
        <f aca="false">SUMPRODUCT((Dados!$I$2:$I$5001=A85)*(Dados!$K$2:$K$5001=1)*(Dados!$L$2:$L$5001=1))</f>
        <v>0</v>
      </c>
      <c r="E85" s="9" t="n">
        <f aca="false">SUMPRODUCT((Dados!$I$2:$I$5001=A85)*(Dados!$D$2:$D$5001="Formalização")*(Dados!$E$2:$E$5001="Concluído")*(Dados!$K$2:$K$5001=0)*(Dados!$L$2:$L$5001=1))</f>
        <v>0</v>
      </c>
    </row>
    <row r="86" customFormat="false" ht="15" hidden="false" customHeight="false" outlineLevel="0" collapsed="false">
      <c r="A86" s="17" t="n">
        <f aca="false">A85+1</f>
        <v>46319</v>
      </c>
      <c r="B86" s="9" t="n">
        <f aca="false">SUMPRODUCT((Dados!$I$2:$I$5001=A86)*(Dados!$J$2:$J$5001=1))</f>
        <v>0</v>
      </c>
      <c r="C86" s="9" t="n">
        <f aca="false">SUMPRODUCT((Dados!$I$2:$I$5001=A86)*(Dados!$E$2:$E$5001="Em ajustes")*(Dados!$L$2:$L$5001=1))</f>
        <v>0</v>
      </c>
      <c r="D86" s="9" t="n">
        <f aca="false">SUMPRODUCT((Dados!$I$2:$I$5001=A86)*(Dados!$K$2:$K$5001=1)*(Dados!$L$2:$L$5001=1))</f>
        <v>0</v>
      </c>
      <c r="E86" s="9" t="n">
        <f aca="false">SUMPRODUCT((Dados!$I$2:$I$5001=A86)*(Dados!$D$2:$D$5001="Formalização")*(Dados!$E$2:$E$5001="Concluído")*(Dados!$K$2:$K$5001=0)*(Dados!$L$2:$L$5001=1))</f>
        <v>0</v>
      </c>
    </row>
    <row r="87" customFormat="false" ht="15" hidden="false" customHeight="false" outlineLevel="0" collapsed="false">
      <c r="A87" s="17" t="n">
        <f aca="false">A86+1</f>
        <v>46320</v>
      </c>
      <c r="B87" s="9" t="n">
        <f aca="false">SUMPRODUCT((Dados!$I$2:$I$5001=A87)*(Dados!$J$2:$J$5001=1))</f>
        <v>0</v>
      </c>
      <c r="C87" s="9" t="n">
        <f aca="false">SUMPRODUCT((Dados!$I$2:$I$5001=A87)*(Dados!$E$2:$E$5001="Em ajustes")*(Dados!$L$2:$L$5001=1))</f>
        <v>0</v>
      </c>
      <c r="D87" s="9" t="n">
        <f aca="false">SUMPRODUCT((Dados!$I$2:$I$5001=A87)*(Dados!$K$2:$K$5001=1)*(Dados!$L$2:$L$5001=1))</f>
        <v>0</v>
      </c>
      <c r="E87" s="9" t="n">
        <f aca="false">SUMPRODUCT((Dados!$I$2:$I$5001=A87)*(Dados!$D$2:$D$5001="Formalização")*(Dados!$E$2:$E$5001="Concluído")*(Dados!$K$2:$K$5001=0)*(Dados!$L$2:$L$5001=1))</f>
        <v>0</v>
      </c>
    </row>
    <row r="88" customFormat="false" ht="15" hidden="false" customHeight="false" outlineLevel="0" collapsed="false">
      <c r="A88" s="17" t="n">
        <f aca="false">A87+1</f>
        <v>46321</v>
      </c>
      <c r="B88" s="9" t="n">
        <f aca="false">SUMPRODUCT((Dados!$I$2:$I$5001=A88)*(Dados!$J$2:$J$5001=1))</f>
        <v>0</v>
      </c>
      <c r="C88" s="9" t="n">
        <f aca="false">SUMPRODUCT((Dados!$I$2:$I$5001=A88)*(Dados!$E$2:$E$5001="Em ajustes")*(Dados!$L$2:$L$5001=1))</f>
        <v>0</v>
      </c>
      <c r="D88" s="9" t="n">
        <f aca="false">SUMPRODUCT((Dados!$I$2:$I$5001=A88)*(Dados!$K$2:$K$5001=1)*(Dados!$L$2:$L$5001=1))</f>
        <v>0</v>
      </c>
      <c r="E88" s="9" t="n">
        <f aca="false">SUMPRODUCT((Dados!$I$2:$I$5001=A88)*(Dados!$D$2:$D$5001="Formalização")*(Dados!$E$2:$E$5001="Concluído")*(Dados!$K$2:$K$5001=0)*(Dados!$L$2:$L$5001=1))</f>
        <v>0</v>
      </c>
    </row>
    <row r="89" customFormat="false" ht="15" hidden="false" customHeight="false" outlineLevel="0" collapsed="false">
      <c r="A89" s="17" t="n">
        <f aca="false">A88+1</f>
        <v>46322</v>
      </c>
      <c r="B89" s="9" t="n">
        <f aca="false">SUMPRODUCT((Dados!$I$2:$I$5001=A89)*(Dados!$J$2:$J$5001=1))</f>
        <v>0</v>
      </c>
      <c r="C89" s="9" t="n">
        <f aca="false">SUMPRODUCT((Dados!$I$2:$I$5001=A89)*(Dados!$E$2:$E$5001="Em ajustes")*(Dados!$L$2:$L$5001=1))</f>
        <v>0</v>
      </c>
      <c r="D89" s="9" t="n">
        <f aca="false">SUMPRODUCT((Dados!$I$2:$I$5001=A89)*(Dados!$K$2:$K$5001=1)*(Dados!$L$2:$L$5001=1))</f>
        <v>0</v>
      </c>
      <c r="E89" s="9" t="n">
        <f aca="false">SUMPRODUCT((Dados!$I$2:$I$5001=A89)*(Dados!$D$2:$D$5001="Formalização")*(Dados!$E$2:$E$5001="Concluído")*(Dados!$K$2:$K$5001=0)*(Dados!$L$2:$L$5001=1))</f>
        <v>0</v>
      </c>
    </row>
    <row r="90" customFormat="false" ht="15" hidden="false" customHeight="false" outlineLevel="0" collapsed="false">
      <c r="A90" s="17" t="n">
        <f aca="false">A89+1</f>
        <v>46323</v>
      </c>
      <c r="B90" s="9" t="n">
        <f aca="false">SUMPRODUCT((Dados!$I$2:$I$5001=A90)*(Dados!$J$2:$J$5001=1))</f>
        <v>0</v>
      </c>
      <c r="C90" s="9" t="n">
        <f aca="false">SUMPRODUCT((Dados!$I$2:$I$5001=A90)*(Dados!$E$2:$E$5001="Em ajustes")*(Dados!$L$2:$L$5001=1))</f>
        <v>0</v>
      </c>
      <c r="D90" s="9" t="n">
        <f aca="false">SUMPRODUCT((Dados!$I$2:$I$5001=A90)*(Dados!$K$2:$K$5001=1)*(Dados!$L$2:$L$5001=1))</f>
        <v>0</v>
      </c>
      <c r="E90" s="9" t="n">
        <f aca="false">SUMPRODUCT((Dados!$I$2:$I$5001=A90)*(Dados!$D$2:$D$5001="Formalização")*(Dados!$E$2:$E$5001="Concluído")*(Dados!$K$2:$K$5001=0)*(Dados!$L$2:$L$5001=1))</f>
        <v>0</v>
      </c>
    </row>
    <row r="91" customFormat="false" ht="15" hidden="false" customHeight="false" outlineLevel="0" collapsed="false">
      <c r="A91" s="17" t="n">
        <f aca="false">A90+1</f>
        <v>46324</v>
      </c>
      <c r="B91" s="9" t="n">
        <f aca="false">SUMPRODUCT((Dados!$I$2:$I$5001=A91)*(Dados!$J$2:$J$5001=1))</f>
        <v>0</v>
      </c>
      <c r="C91" s="9" t="n">
        <f aca="false">SUMPRODUCT((Dados!$I$2:$I$5001=A91)*(Dados!$E$2:$E$5001="Em ajustes")*(Dados!$L$2:$L$5001=1))</f>
        <v>0</v>
      </c>
      <c r="D91" s="9" t="n">
        <f aca="false">SUMPRODUCT((Dados!$I$2:$I$5001=A91)*(Dados!$K$2:$K$5001=1)*(Dados!$L$2:$L$5001=1))</f>
        <v>0</v>
      </c>
      <c r="E91" s="9" t="n">
        <f aca="false">SUMPRODUCT((Dados!$I$2:$I$5001=A91)*(Dados!$D$2:$D$5001="Formalização")*(Dados!$E$2:$E$5001="Concluído")*(Dados!$K$2:$K$5001=0)*(Dados!$L$2:$L$5001=1))</f>
        <v>0</v>
      </c>
    </row>
    <row r="92" customFormat="false" ht="15" hidden="false" customHeight="false" outlineLevel="0" collapsed="false">
      <c r="A92" s="17" t="n">
        <f aca="false">A91+1</f>
        <v>46325</v>
      </c>
      <c r="B92" s="9" t="n">
        <f aca="false">SUMPRODUCT((Dados!$I$2:$I$5001=A92)*(Dados!$J$2:$J$5001=1))</f>
        <v>0</v>
      </c>
      <c r="C92" s="9" t="n">
        <f aca="false">SUMPRODUCT((Dados!$I$2:$I$5001=A92)*(Dados!$E$2:$E$5001="Em ajustes")*(Dados!$L$2:$L$5001=1))</f>
        <v>0</v>
      </c>
      <c r="D92" s="9" t="n">
        <f aca="false">SUMPRODUCT((Dados!$I$2:$I$5001=A92)*(Dados!$K$2:$K$5001=1)*(Dados!$L$2:$L$5001=1))</f>
        <v>0</v>
      </c>
      <c r="E92" s="9" t="n">
        <f aca="false">SUMPRODUCT((Dados!$I$2:$I$5001=A92)*(Dados!$D$2:$D$5001="Formalização")*(Dados!$E$2:$E$5001="Concluído")*(Dados!$K$2:$K$5001=0)*(Dados!$L$2:$L$5001=1))</f>
        <v>0</v>
      </c>
    </row>
    <row r="93" customFormat="false" ht="15" hidden="false" customHeight="false" outlineLevel="0" collapsed="false">
      <c r="A93" s="17" t="n">
        <f aca="false">A92+1</f>
        <v>46326</v>
      </c>
      <c r="B93" s="9" t="n">
        <f aca="false">SUMPRODUCT((Dados!$I$2:$I$5001=A93)*(Dados!$J$2:$J$5001=1))</f>
        <v>0</v>
      </c>
      <c r="C93" s="9" t="n">
        <f aca="false">SUMPRODUCT((Dados!$I$2:$I$5001=A93)*(Dados!$E$2:$E$5001="Em ajustes")*(Dados!$L$2:$L$5001=1))</f>
        <v>0</v>
      </c>
      <c r="D93" s="9" t="n">
        <f aca="false">SUMPRODUCT((Dados!$I$2:$I$5001=A93)*(Dados!$K$2:$K$5001=1)*(Dados!$L$2:$L$5001=1))</f>
        <v>0</v>
      </c>
      <c r="E93" s="9" t="n">
        <f aca="false">SUMPRODUCT((Dados!$I$2:$I$5001=A93)*(Dados!$D$2:$D$5001="Formalização")*(Dados!$E$2:$E$5001="Concluído")*(Dados!$K$2:$K$5001=0)*(Dados!$L$2:$L$5001=1))</f>
        <v>0</v>
      </c>
    </row>
    <row r="94" customFormat="false" ht="15" hidden="false" customHeight="false" outlineLevel="0" collapsed="false">
      <c r="A94" s="17" t="n">
        <f aca="false">A93+1</f>
        <v>46327</v>
      </c>
      <c r="B94" s="9" t="n">
        <f aca="false">SUMPRODUCT((Dados!$I$2:$I$5001=A94)*(Dados!$J$2:$J$5001=1))</f>
        <v>0</v>
      </c>
      <c r="C94" s="9" t="n">
        <f aca="false">SUMPRODUCT((Dados!$I$2:$I$5001=A94)*(Dados!$E$2:$E$5001="Em ajustes")*(Dados!$L$2:$L$5001=1))</f>
        <v>0</v>
      </c>
      <c r="D94" s="9" t="n">
        <f aca="false">SUMPRODUCT((Dados!$I$2:$I$5001=A94)*(Dados!$K$2:$K$5001=1)*(Dados!$L$2:$L$5001=1))</f>
        <v>0</v>
      </c>
      <c r="E94" s="9" t="n">
        <f aca="false">SUMPRODUCT((Dados!$I$2:$I$5001=A94)*(Dados!$D$2:$D$5001="Formalização")*(Dados!$E$2:$E$5001="Concluído")*(Dados!$K$2:$K$5001=0)*(Dados!$L$2:$L$5001=1))</f>
        <v>0</v>
      </c>
    </row>
    <row r="95" customFormat="false" ht="15" hidden="false" customHeight="false" outlineLevel="0" collapsed="false">
      <c r="A95" s="17" t="n">
        <f aca="false">A94+1</f>
        <v>46328</v>
      </c>
      <c r="B95" s="9" t="n">
        <f aca="false">SUMPRODUCT((Dados!$I$2:$I$5001=A95)*(Dados!$J$2:$J$5001=1))</f>
        <v>0</v>
      </c>
      <c r="C95" s="9" t="n">
        <f aca="false">SUMPRODUCT((Dados!$I$2:$I$5001=A95)*(Dados!$E$2:$E$5001="Em ajustes")*(Dados!$L$2:$L$5001=1))</f>
        <v>0</v>
      </c>
      <c r="D95" s="9" t="n">
        <f aca="false">SUMPRODUCT((Dados!$I$2:$I$5001=A95)*(Dados!$K$2:$K$5001=1)*(Dados!$L$2:$L$5001=1))</f>
        <v>0</v>
      </c>
      <c r="E95" s="9" t="n">
        <f aca="false">SUMPRODUCT((Dados!$I$2:$I$5001=A95)*(Dados!$D$2:$D$5001="Formalização")*(Dados!$E$2:$E$5001="Concluído")*(Dados!$K$2:$K$5001=0)*(Dados!$L$2:$L$5001=1))</f>
        <v>0</v>
      </c>
    </row>
    <row r="96" customFormat="false" ht="15" hidden="false" customHeight="false" outlineLevel="0" collapsed="false">
      <c r="A96" s="17" t="n">
        <f aca="false">A95+1</f>
        <v>46329</v>
      </c>
      <c r="B96" s="9" t="n">
        <f aca="false">SUMPRODUCT((Dados!$I$2:$I$5001=A96)*(Dados!$J$2:$J$5001=1))</f>
        <v>0</v>
      </c>
      <c r="C96" s="9" t="n">
        <f aca="false">SUMPRODUCT((Dados!$I$2:$I$5001=A96)*(Dados!$E$2:$E$5001="Em ajustes")*(Dados!$L$2:$L$5001=1))</f>
        <v>0</v>
      </c>
      <c r="D96" s="9" t="n">
        <f aca="false">SUMPRODUCT((Dados!$I$2:$I$5001=A96)*(Dados!$K$2:$K$5001=1)*(Dados!$L$2:$L$5001=1))</f>
        <v>0</v>
      </c>
      <c r="E96" s="9" t="n">
        <f aca="false">SUMPRODUCT((Dados!$I$2:$I$5001=A96)*(Dados!$D$2:$D$5001="Formalização")*(Dados!$E$2:$E$5001="Concluído")*(Dados!$K$2:$K$5001=0)*(Dados!$L$2:$L$5001=1))</f>
        <v>0</v>
      </c>
    </row>
    <row r="97" customFormat="false" ht="15" hidden="false" customHeight="false" outlineLevel="0" collapsed="false">
      <c r="A97" s="17" t="n">
        <f aca="false">A96+1</f>
        <v>46330</v>
      </c>
      <c r="B97" s="9" t="n">
        <f aca="false">SUMPRODUCT((Dados!$I$2:$I$5001=A97)*(Dados!$J$2:$J$5001=1))</f>
        <v>0</v>
      </c>
      <c r="C97" s="9" t="n">
        <f aca="false">SUMPRODUCT((Dados!$I$2:$I$5001=A97)*(Dados!$E$2:$E$5001="Em ajustes")*(Dados!$L$2:$L$5001=1))</f>
        <v>0</v>
      </c>
      <c r="D97" s="9" t="n">
        <f aca="false">SUMPRODUCT((Dados!$I$2:$I$5001=A97)*(Dados!$K$2:$K$5001=1)*(Dados!$L$2:$L$5001=1))</f>
        <v>0</v>
      </c>
      <c r="E97" s="9" t="n">
        <f aca="false">SUMPRODUCT((Dados!$I$2:$I$5001=A97)*(Dados!$D$2:$D$5001="Formalização")*(Dados!$E$2:$E$5001="Concluído")*(Dados!$K$2:$K$5001=0)*(Dados!$L$2:$L$5001=1))</f>
        <v>0</v>
      </c>
    </row>
    <row r="98" customFormat="false" ht="15" hidden="false" customHeight="false" outlineLevel="0" collapsed="false">
      <c r="A98" s="17" t="n">
        <f aca="false">A97+1</f>
        <v>46331</v>
      </c>
      <c r="B98" s="9" t="n">
        <f aca="false">SUMPRODUCT((Dados!$I$2:$I$5001=A98)*(Dados!$J$2:$J$5001=1))</f>
        <v>0</v>
      </c>
      <c r="C98" s="9" t="n">
        <f aca="false">SUMPRODUCT((Dados!$I$2:$I$5001=A98)*(Dados!$E$2:$E$5001="Em ajustes")*(Dados!$L$2:$L$5001=1))</f>
        <v>0</v>
      </c>
      <c r="D98" s="9" t="n">
        <f aca="false">SUMPRODUCT((Dados!$I$2:$I$5001=A98)*(Dados!$K$2:$K$5001=1)*(Dados!$L$2:$L$5001=1))</f>
        <v>0</v>
      </c>
      <c r="E98" s="9" t="n">
        <f aca="false">SUMPRODUCT((Dados!$I$2:$I$5001=A98)*(Dados!$D$2:$D$5001="Formalização")*(Dados!$E$2:$E$5001="Concluído")*(Dados!$K$2:$K$5001=0)*(Dados!$L$2:$L$5001=1))</f>
        <v>0</v>
      </c>
    </row>
    <row r="99" customFormat="false" ht="15" hidden="false" customHeight="false" outlineLevel="0" collapsed="false">
      <c r="A99" s="17" t="n">
        <f aca="false">A98+1</f>
        <v>46332</v>
      </c>
      <c r="B99" s="9" t="n">
        <f aca="false">SUMPRODUCT((Dados!$I$2:$I$5001=A99)*(Dados!$J$2:$J$5001=1))</f>
        <v>0</v>
      </c>
      <c r="C99" s="9" t="n">
        <f aca="false">SUMPRODUCT((Dados!$I$2:$I$5001=A99)*(Dados!$E$2:$E$5001="Em ajustes")*(Dados!$L$2:$L$5001=1))</f>
        <v>0</v>
      </c>
      <c r="D99" s="9" t="n">
        <f aca="false">SUMPRODUCT((Dados!$I$2:$I$5001=A99)*(Dados!$K$2:$K$5001=1)*(Dados!$L$2:$L$5001=1))</f>
        <v>0</v>
      </c>
      <c r="E99" s="9" t="n">
        <f aca="false">SUMPRODUCT((Dados!$I$2:$I$5001=A99)*(Dados!$D$2:$D$5001="Formalização")*(Dados!$E$2:$E$5001="Concluído")*(Dados!$K$2:$K$5001=0)*(Dados!$L$2:$L$5001=1))</f>
        <v>0</v>
      </c>
    </row>
    <row r="100" customFormat="false" ht="15" hidden="false" customHeight="false" outlineLevel="0" collapsed="false">
      <c r="A100" s="17" t="n">
        <f aca="false">A99+1</f>
        <v>46333</v>
      </c>
      <c r="B100" s="9" t="n">
        <f aca="false">SUMPRODUCT((Dados!$I$2:$I$5001=A100)*(Dados!$J$2:$J$5001=1))</f>
        <v>0</v>
      </c>
      <c r="C100" s="9" t="n">
        <f aca="false">SUMPRODUCT((Dados!$I$2:$I$5001=A100)*(Dados!$E$2:$E$5001="Em ajustes")*(Dados!$L$2:$L$5001=1))</f>
        <v>0</v>
      </c>
      <c r="D100" s="9" t="n">
        <f aca="false">SUMPRODUCT((Dados!$I$2:$I$5001=A100)*(Dados!$K$2:$K$5001=1)*(Dados!$L$2:$L$5001=1))</f>
        <v>0</v>
      </c>
      <c r="E100" s="9" t="n">
        <f aca="false">SUMPRODUCT((Dados!$I$2:$I$5001=A100)*(Dados!$D$2:$D$5001="Formalização")*(Dados!$E$2:$E$5001="Concluído")*(Dados!$K$2:$K$5001=0)*(Dados!$L$2:$L$5001=1))</f>
        <v>0</v>
      </c>
    </row>
    <row r="101" customFormat="false" ht="15" hidden="false" customHeight="false" outlineLevel="0" collapsed="false">
      <c r="A101" s="17" t="n">
        <f aca="false">A100+1</f>
        <v>46334</v>
      </c>
      <c r="B101" s="9" t="n">
        <f aca="false">SUMPRODUCT((Dados!$I$2:$I$5001=A101)*(Dados!$J$2:$J$5001=1))</f>
        <v>0</v>
      </c>
      <c r="C101" s="9" t="n">
        <f aca="false">SUMPRODUCT((Dados!$I$2:$I$5001=A101)*(Dados!$E$2:$E$5001="Em ajustes")*(Dados!$L$2:$L$5001=1))</f>
        <v>0</v>
      </c>
      <c r="D101" s="9" t="n">
        <f aca="false">SUMPRODUCT((Dados!$I$2:$I$5001=A101)*(Dados!$K$2:$K$5001=1)*(Dados!$L$2:$L$5001=1))</f>
        <v>0</v>
      </c>
      <c r="E101" s="9" t="n">
        <f aca="false">SUMPRODUCT((Dados!$I$2:$I$5001=A101)*(Dados!$D$2:$D$5001="Formalização")*(Dados!$E$2:$E$5001="Concluído")*(Dados!$K$2:$K$5001=0)*(Dados!$L$2:$L$5001=1))</f>
        <v>0</v>
      </c>
    </row>
    <row r="102" customFormat="false" ht="15" hidden="false" customHeight="false" outlineLevel="0" collapsed="false">
      <c r="A102" s="17" t="n">
        <f aca="false">A101+1</f>
        <v>46335</v>
      </c>
      <c r="B102" s="9" t="n">
        <f aca="false">SUMPRODUCT((Dados!$I$2:$I$5001=A102)*(Dados!$J$2:$J$5001=1))</f>
        <v>0</v>
      </c>
      <c r="C102" s="9" t="n">
        <f aca="false">SUMPRODUCT((Dados!$I$2:$I$5001=A102)*(Dados!$E$2:$E$5001="Em ajustes")*(Dados!$L$2:$L$5001=1))</f>
        <v>0</v>
      </c>
      <c r="D102" s="9" t="n">
        <f aca="false">SUMPRODUCT((Dados!$I$2:$I$5001=A102)*(Dados!$K$2:$K$5001=1)*(Dados!$L$2:$L$5001=1))</f>
        <v>0</v>
      </c>
      <c r="E102" s="9" t="n">
        <f aca="false">SUMPRODUCT((Dados!$I$2:$I$5001=A102)*(Dados!$D$2:$D$5001="Formalização")*(Dados!$E$2:$E$5001="Concluído")*(Dados!$K$2:$K$5001=0)*(Dados!$L$2:$L$5001=1))</f>
        <v>0</v>
      </c>
    </row>
    <row r="103" customFormat="false" ht="15" hidden="false" customHeight="false" outlineLevel="0" collapsed="false">
      <c r="A103" s="17" t="n">
        <f aca="false">A102+1</f>
        <v>46336</v>
      </c>
      <c r="B103" s="9" t="n">
        <f aca="false">SUMPRODUCT((Dados!$I$2:$I$5001=A103)*(Dados!$J$2:$J$5001=1))</f>
        <v>0</v>
      </c>
      <c r="C103" s="9" t="n">
        <f aca="false">SUMPRODUCT((Dados!$I$2:$I$5001=A103)*(Dados!$E$2:$E$5001="Em ajustes")*(Dados!$L$2:$L$5001=1))</f>
        <v>0</v>
      </c>
      <c r="D103" s="9" t="n">
        <f aca="false">SUMPRODUCT((Dados!$I$2:$I$5001=A103)*(Dados!$K$2:$K$5001=1)*(Dados!$L$2:$L$5001=1))</f>
        <v>0</v>
      </c>
      <c r="E103" s="9" t="n">
        <f aca="false">SUMPRODUCT((Dados!$I$2:$I$5001=A103)*(Dados!$D$2:$D$5001="Formalização")*(Dados!$E$2:$E$5001="Concluído")*(Dados!$K$2:$K$5001=0)*(Dados!$L$2:$L$5001=1))</f>
        <v>0</v>
      </c>
    </row>
    <row r="104" customFormat="false" ht="15" hidden="false" customHeight="false" outlineLevel="0" collapsed="false">
      <c r="A104" s="17" t="n">
        <f aca="false">A103+1</f>
        <v>46337</v>
      </c>
      <c r="B104" s="9" t="n">
        <f aca="false">SUMPRODUCT((Dados!$I$2:$I$5001=A104)*(Dados!$J$2:$J$5001=1))</f>
        <v>0</v>
      </c>
      <c r="C104" s="9" t="n">
        <f aca="false">SUMPRODUCT((Dados!$I$2:$I$5001=A104)*(Dados!$E$2:$E$5001="Em ajustes")*(Dados!$L$2:$L$5001=1))</f>
        <v>0</v>
      </c>
      <c r="D104" s="9" t="n">
        <f aca="false">SUMPRODUCT((Dados!$I$2:$I$5001=A104)*(Dados!$K$2:$K$5001=1)*(Dados!$L$2:$L$5001=1))</f>
        <v>0</v>
      </c>
      <c r="E104" s="9" t="n">
        <f aca="false">SUMPRODUCT((Dados!$I$2:$I$5001=A104)*(Dados!$D$2:$D$5001="Formalização")*(Dados!$E$2:$E$5001="Concluído")*(Dados!$K$2:$K$5001=0)*(Dados!$L$2:$L$5001=1))</f>
        <v>0</v>
      </c>
    </row>
    <row r="105" customFormat="false" ht="15" hidden="false" customHeight="false" outlineLevel="0" collapsed="false">
      <c r="A105" s="17" t="n">
        <f aca="false">A104+1</f>
        <v>46338</v>
      </c>
      <c r="B105" s="9" t="n">
        <f aca="false">SUMPRODUCT((Dados!$I$2:$I$5001=A105)*(Dados!$J$2:$J$5001=1))</f>
        <v>0</v>
      </c>
      <c r="C105" s="9" t="n">
        <f aca="false">SUMPRODUCT((Dados!$I$2:$I$5001=A105)*(Dados!$E$2:$E$5001="Em ajustes")*(Dados!$L$2:$L$5001=1))</f>
        <v>0</v>
      </c>
      <c r="D105" s="9" t="n">
        <f aca="false">SUMPRODUCT((Dados!$I$2:$I$5001=A105)*(Dados!$K$2:$K$5001=1)*(Dados!$L$2:$L$5001=1))</f>
        <v>0</v>
      </c>
      <c r="E105" s="9" t="n">
        <f aca="false">SUMPRODUCT((Dados!$I$2:$I$5001=A105)*(Dados!$D$2:$D$5001="Formalização")*(Dados!$E$2:$E$5001="Concluído")*(Dados!$K$2:$K$5001=0)*(Dados!$L$2:$L$5001=1))</f>
        <v>0</v>
      </c>
    </row>
    <row r="106" customFormat="false" ht="15" hidden="false" customHeight="false" outlineLevel="0" collapsed="false">
      <c r="A106" s="17" t="n">
        <f aca="false">A105+1</f>
        <v>46339</v>
      </c>
      <c r="B106" s="9" t="n">
        <f aca="false">SUMPRODUCT((Dados!$I$2:$I$5001=A106)*(Dados!$J$2:$J$5001=1))</f>
        <v>0</v>
      </c>
      <c r="C106" s="9" t="n">
        <f aca="false">SUMPRODUCT((Dados!$I$2:$I$5001=A106)*(Dados!$E$2:$E$5001="Em ajustes")*(Dados!$L$2:$L$5001=1))</f>
        <v>0</v>
      </c>
      <c r="D106" s="9" t="n">
        <f aca="false">SUMPRODUCT((Dados!$I$2:$I$5001=A106)*(Dados!$K$2:$K$5001=1)*(Dados!$L$2:$L$5001=1))</f>
        <v>0</v>
      </c>
      <c r="E106" s="9" t="n">
        <f aca="false">SUMPRODUCT((Dados!$I$2:$I$5001=A106)*(Dados!$D$2:$D$5001="Formalização")*(Dados!$E$2:$E$5001="Concluído")*(Dados!$K$2:$K$5001=0)*(Dados!$L$2:$L$5001=1))</f>
        <v>0</v>
      </c>
    </row>
    <row r="107" customFormat="false" ht="15" hidden="false" customHeight="false" outlineLevel="0" collapsed="false">
      <c r="A107" s="17" t="n">
        <f aca="false">A106+1</f>
        <v>46340</v>
      </c>
      <c r="B107" s="9" t="n">
        <f aca="false">SUMPRODUCT((Dados!$I$2:$I$5001=A107)*(Dados!$J$2:$J$5001=1))</f>
        <v>0</v>
      </c>
      <c r="C107" s="9" t="n">
        <f aca="false">SUMPRODUCT((Dados!$I$2:$I$5001=A107)*(Dados!$E$2:$E$5001="Em ajustes")*(Dados!$L$2:$L$5001=1))</f>
        <v>0</v>
      </c>
      <c r="D107" s="9" t="n">
        <f aca="false">SUMPRODUCT((Dados!$I$2:$I$5001=A107)*(Dados!$K$2:$K$5001=1)*(Dados!$L$2:$L$5001=1))</f>
        <v>0</v>
      </c>
      <c r="E107" s="9" t="n">
        <f aca="false">SUMPRODUCT((Dados!$I$2:$I$5001=A107)*(Dados!$D$2:$D$5001="Formalização")*(Dados!$E$2:$E$5001="Concluído")*(Dados!$K$2:$K$5001=0)*(Dados!$L$2:$L$5001=1))</f>
        <v>0</v>
      </c>
    </row>
    <row r="108" customFormat="false" ht="15" hidden="false" customHeight="false" outlineLevel="0" collapsed="false">
      <c r="A108" s="17" t="n">
        <f aca="false">A107+1</f>
        <v>46341</v>
      </c>
      <c r="B108" s="9" t="n">
        <f aca="false">SUMPRODUCT((Dados!$I$2:$I$5001=A108)*(Dados!$J$2:$J$5001=1))</f>
        <v>0</v>
      </c>
      <c r="C108" s="9" t="n">
        <f aca="false">SUMPRODUCT((Dados!$I$2:$I$5001=A108)*(Dados!$E$2:$E$5001="Em ajustes")*(Dados!$L$2:$L$5001=1))</f>
        <v>0</v>
      </c>
      <c r="D108" s="9" t="n">
        <f aca="false">SUMPRODUCT((Dados!$I$2:$I$5001=A108)*(Dados!$K$2:$K$5001=1)*(Dados!$L$2:$L$5001=1))</f>
        <v>0</v>
      </c>
      <c r="E108" s="9" t="n">
        <f aca="false">SUMPRODUCT((Dados!$I$2:$I$5001=A108)*(Dados!$D$2:$D$5001="Formalização")*(Dados!$E$2:$E$5001="Concluído")*(Dados!$K$2:$K$5001=0)*(Dados!$L$2:$L$5001=1))</f>
        <v>0</v>
      </c>
    </row>
    <row r="109" customFormat="false" ht="15" hidden="false" customHeight="false" outlineLevel="0" collapsed="false">
      <c r="A109" s="17" t="n">
        <f aca="false">A108+1</f>
        <v>46342</v>
      </c>
      <c r="B109" s="9" t="n">
        <f aca="false">SUMPRODUCT((Dados!$I$2:$I$5001=A109)*(Dados!$J$2:$J$5001=1))</f>
        <v>0</v>
      </c>
      <c r="C109" s="9" t="n">
        <f aca="false">SUMPRODUCT((Dados!$I$2:$I$5001=A109)*(Dados!$E$2:$E$5001="Em ajustes")*(Dados!$L$2:$L$5001=1))</f>
        <v>0</v>
      </c>
      <c r="D109" s="9" t="n">
        <f aca="false">SUMPRODUCT((Dados!$I$2:$I$5001=A109)*(Dados!$K$2:$K$5001=1)*(Dados!$L$2:$L$5001=1))</f>
        <v>0</v>
      </c>
      <c r="E109" s="9" t="n">
        <f aca="false">SUMPRODUCT((Dados!$I$2:$I$5001=A109)*(Dados!$D$2:$D$5001="Formalização")*(Dados!$E$2:$E$5001="Concluído")*(Dados!$K$2:$K$5001=0)*(Dados!$L$2:$L$5001=1))</f>
        <v>0</v>
      </c>
    </row>
    <row r="110" customFormat="false" ht="15" hidden="false" customHeight="false" outlineLevel="0" collapsed="false">
      <c r="A110" s="17" t="n">
        <f aca="false">A109+1</f>
        <v>46343</v>
      </c>
      <c r="B110" s="9" t="n">
        <f aca="false">SUMPRODUCT((Dados!$I$2:$I$5001=A110)*(Dados!$J$2:$J$5001=1))</f>
        <v>0</v>
      </c>
      <c r="C110" s="9" t="n">
        <f aca="false">SUMPRODUCT((Dados!$I$2:$I$5001=A110)*(Dados!$E$2:$E$5001="Em ajustes")*(Dados!$L$2:$L$5001=1))</f>
        <v>0</v>
      </c>
      <c r="D110" s="9" t="n">
        <f aca="false">SUMPRODUCT((Dados!$I$2:$I$5001=A110)*(Dados!$K$2:$K$5001=1)*(Dados!$L$2:$L$5001=1))</f>
        <v>0</v>
      </c>
      <c r="E110" s="9" t="n">
        <f aca="false">SUMPRODUCT((Dados!$I$2:$I$5001=A110)*(Dados!$D$2:$D$5001="Formalização")*(Dados!$E$2:$E$5001="Concluído")*(Dados!$K$2:$K$5001=0)*(Dados!$L$2:$L$5001=1))</f>
        <v>0</v>
      </c>
    </row>
    <row r="111" customFormat="false" ht="15" hidden="false" customHeight="false" outlineLevel="0" collapsed="false">
      <c r="A111" s="17" t="n">
        <f aca="false">A110+1</f>
        <v>46344</v>
      </c>
      <c r="B111" s="9" t="n">
        <f aca="false">SUMPRODUCT((Dados!$I$2:$I$5001=A111)*(Dados!$J$2:$J$5001=1))</f>
        <v>0</v>
      </c>
      <c r="C111" s="9" t="n">
        <f aca="false">SUMPRODUCT((Dados!$I$2:$I$5001=A111)*(Dados!$E$2:$E$5001="Em ajustes")*(Dados!$L$2:$L$5001=1))</f>
        <v>0</v>
      </c>
      <c r="D111" s="9" t="n">
        <f aca="false">SUMPRODUCT((Dados!$I$2:$I$5001=A111)*(Dados!$K$2:$K$5001=1)*(Dados!$L$2:$L$5001=1))</f>
        <v>0</v>
      </c>
      <c r="E111" s="9" t="n">
        <f aca="false">SUMPRODUCT((Dados!$I$2:$I$5001=A111)*(Dados!$D$2:$D$5001="Formalização")*(Dados!$E$2:$E$5001="Concluído")*(Dados!$K$2:$K$5001=0)*(Dados!$L$2:$L$5001=1))</f>
        <v>0</v>
      </c>
    </row>
    <row r="112" customFormat="false" ht="15" hidden="false" customHeight="false" outlineLevel="0" collapsed="false">
      <c r="A112" s="17" t="n">
        <f aca="false">A111+1</f>
        <v>46345</v>
      </c>
      <c r="B112" s="9" t="n">
        <f aca="false">SUMPRODUCT((Dados!$I$2:$I$5001=A112)*(Dados!$J$2:$J$5001=1))</f>
        <v>0</v>
      </c>
      <c r="C112" s="9" t="n">
        <f aca="false">SUMPRODUCT((Dados!$I$2:$I$5001=A112)*(Dados!$E$2:$E$5001="Em ajustes")*(Dados!$L$2:$L$5001=1))</f>
        <v>0</v>
      </c>
      <c r="D112" s="9" t="n">
        <f aca="false">SUMPRODUCT((Dados!$I$2:$I$5001=A112)*(Dados!$K$2:$K$5001=1)*(Dados!$L$2:$L$5001=1))</f>
        <v>0</v>
      </c>
      <c r="E112" s="9" t="n">
        <f aca="false">SUMPRODUCT((Dados!$I$2:$I$5001=A112)*(Dados!$D$2:$D$5001="Formalização")*(Dados!$E$2:$E$5001="Concluído")*(Dados!$K$2:$K$5001=0)*(Dados!$L$2:$L$5001=1))</f>
        <v>0</v>
      </c>
    </row>
    <row r="113" customFormat="false" ht="15" hidden="false" customHeight="false" outlineLevel="0" collapsed="false">
      <c r="A113" s="17" t="n">
        <f aca="false">A112+1</f>
        <v>46346</v>
      </c>
      <c r="B113" s="9" t="n">
        <f aca="false">SUMPRODUCT((Dados!$I$2:$I$5001=A113)*(Dados!$J$2:$J$5001=1))</f>
        <v>0</v>
      </c>
      <c r="C113" s="9" t="n">
        <f aca="false">SUMPRODUCT((Dados!$I$2:$I$5001=A113)*(Dados!$E$2:$E$5001="Em ajustes")*(Dados!$L$2:$L$5001=1))</f>
        <v>0</v>
      </c>
      <c r="D113" s="9" t="n">
        <f aca="false">SUMPRODUCT((Dados!$I$2:$I$5001=A113)*(Dados!$K$2:$K$5001=1)*(Dados!$L$2:$L$5001=1))</f>
        <v>0</v>
      </c>
      <c r="E113" s="9" t="n">
        <f aca="false">SUMPRODUCT((Dados!$I$2:$I$5001=A113)*(Dados!$D$2:$D$5001="Formalização")*(Dados!$E$2:$E$5001="Concluído")*(Dados!$K$2:$K$5001=0)*(Dados!$L$2:$L$5001=1))</f>
        <v>0</v>
      </c>
    </row>
    <row r="114" customFormat="false" ht="15" hidden="false" customHeight="false" outlineLevel="0" collapsed="false">
      <c r="A114" s="17" t="n">
        <f aca="false">A113+1</f>
        <v>46347</v>
      </c>
      <c r="B114" s="9" t="n">
        <f aca="false">SUMPRODUCT((Dados!$I$2:$I$5001=A114)*(Dados!$J$2:$J$5001=1))</f>
        <v>0</v>
      </c>
      <c r="C114" s="9" t="n">
        <f aca="false">SUMPRODUCT((Dados!$I$2:$I$5001=A114)*(Dados!$E$2:$E$5001="Em ajustes")*(Dados!$L$2:$L$5001=1))</f>
        <v>0</v>
      </c>
      <c r="D114" s="9" t="n">
        <f aca="false">SUMPRODUCT((Dados!$I$2:$I$5001=A114)*(Dados!$K$2:$K$5001=1)*(Dados!$L$2:$L$5001=1))</f>
        <v>0</v>
      </c>
      <c r="E114" s="9" t="n">
        <f aca="false">SUMPRODUCT((Dados!$I$2:$I$5001=A114)*(Dados!$D$2:$D$5001="Formalização")*(Dados!$E$2:$E$5001="Concluído")*(Dados!$K$2:$K$5001=0)*(Dados!$L$2:$L$5001=1))</f>
        <v>0</v>
      </c>
    </row>
    <row r="115" customFormat="false" ht="15" hidden="false" customHeight="false" outlineLevel="0" collapsed="false">
      <c r="A115" s="17" t="n">
        <f aca="false">A114+1</f>
        <v>46348</v>
      </c>
      <c r="B115" s="9" t="n">
        <f aca="false">SUMPRODUCT((Dados!$I$2:$I$5001=A115)*(Dados!$J$2:$J$5001=1))</f>
        <v>0</v>
      </c>
      <c r="C115" s="9" t="n">
        <f aca="false">SUMPRODUCT((Dados!$I$2:$I$5001=A115)*(Dados!$E$2:$E$5001="Em ajustes")*(Dados!$L$2:$L$5001=1))</f>
        <v>0</v>
      </c>
      <c r="D115" s="9" t="n">
        <f aca="false">SUMPRODUCT((Dados!$I$2:$I$5001=A115)*(Dados!$K$2:$K$5001=1)*(Dados!$L$2:$L$5001=1))</f>
        <v>0</v>
      </c>
      <c r="E115" s="9" t="n">
        <f aca="false">SUMPRODUCT((Dados!$I$2:$I$5001=A115)*(Dados!$D$2:$D$5001="Formalização")*(Dados!$E$2:$E$5001="Concluído")*(Dados!$K$2:$K$5001=0)*(Dados!$L$2:$L$5001=1))</f>
        <v>0</v>
      </c>
    </row>
    <row r="116" customFormat="false" ht="15" hidden="false" customHeight="false" outlineLevel="0" collapsed="false">
      <c r="A116" s="17" t="n">
        <f aca="false">A115+1</f>
        <v>46349</v>
      </c>
      <c r="B116" s="9" t="n">
        <f aca="false">SUMPRODUCT((Dados!$I$2:$I$5001=A116)*(Dados!$J$2:$J$5001=1))</f>
        <v>0</v>
      </c>
      <c r="C116" s="9" t="n">
        <f aca="false">SUMPRODUCT((Dados!$I$2:$I$5001=A116)*(Dados!$E$2:$E$5001="Em ajustes")*(Dados!$L$2:$L$5001=1))</f>
        <v>0</v>
      </c>
      <c r="D116" s="9" t="n">
        <f aca="false">SUMPRODUCT((Dados!$I$2:$I$5001=A116)*(Dados!$K$2:$K$5001=1)*(Dados!$L$2:$L$5001=1))</f>
        <v>0</v>
      </c>
      <c r="E116" s="9" t="n">
        <f aca="false">SUMPRODUCT((Dados!$I$2:$I$5001=A116)*(Dados!$D$2:$D$5001="Formalização")*(Dados!$E$2:$E$5001="Concluído")*(Dados!$K$2:$K$5001=0)*(Dados!$L$2:$L$5001=1))</f>
        <v>0</v>
      </c>
    </row>
    <row r="117" customFormat="false" ht="15" hidden="false" customHeight="false" outlineLevel="0" collapsed="false">
      <c r="A117" s="17" t="n">
        <f aca="false">A116+1</f>
        <v>46350</v>
      </c>
      <c r="B117" s="9" t="n">
        <f aca="false">SUMPRODUCT((Dados!$I$2:$I$5001=A117)*(Dados!$J$2:$J$5001=1))</f>
        <v>0</v>
      </c>
      <c r="C117" s="9" t="n">
        <f aca="false">SUMPRODUCT((Dados!$I$2:$I$5001=A117)*(Dados!$E$2:$E$5001="Em ajustes")*(Dados!$L$2:$L$5001=1))</f>
        <v>0</v>
      </c>
      <c r="D117" s="9" t="n">
        <f aca="false">SUMPRODUCT((Dados!$I$2:$I$5001=A117)*(Dados!$K$2:$K$5001=1)*(Dados!$L$2:$L$5001=1))</f>
        <v>0</v>
      </c>
      <c r="E117" s="9" t="n">
        <f aca="false">SUMPRODUCT((Dados!$I$2:$I$5001=A117)*(Dados!$D$2:$D$5001="Formalização")*(Dados!$E$2:$E$5001="Concluído")*(Dados!$K$2:$K$5001=0)*(Dados!$L$2:$L$5001=1))</f>
        <v>0</v>
      </c>
    </row>
    <row r="118" customFormat="false" ht="15" hidden="false" customHeight="false" outlineLevel="0" collapsed="false">
      <c r="A118" s="17" t="n">
        <f aca="false">A117+1</f>
        <v>46351</v>
      </c>
      <c r="B118" s="9" t="n">
        <f aca="false">SUMPRODUCT((Dados!$I$2:$I$5001=A118)*(Dados!$J$2:$J$5001=1))</f>
        <v>0</v>
      </c>
      <c r="C118" s="9" t="n">
        <f aca="false">SUMPRODUCT((Dados!$I$2:$I$5001=A118)*(Dados!$E$2:$E$5001="Em ajustes")*(Dados!$L$2:$L$5001=1))</f>
        <v>0</v>
      </c>
      <c r="D118" s="9" t="n">
        <f aca="false">SUMPRODUCT((Dados!$I$2:$I$5001=A118)*(Dados!$K$2:$K$5001=1)*(Dados!$L$2:$L$5001=1))</f>
        <v>0</v>
      </c>
      <c r="E118" s="9" t="n">
        <f aca="false">SUMPRODUCT((Dados!$I$2:$I$5001=A118)*(Dados!$D$2:$D$5001="Formalização")*(Dados!$E$2:$E$5001="Concluído")*(Dados!$K$2:$K$5001=0)*(Dados!$L$2:$L$5001=1))</f>
        <v>0</v>
      </c>
    </row>
    <row r="119" customFormat="false" ht="15" hidden="false" customHeight="false" outlineLevel="0" collapsed="false">
      <c r="A119" s="17" t="n">
        <f aca="false">A118+1</f>
        <v>46352</v>
      </c>
      <c r="B119" s="9" t="n">
        <f aca="false">SUMPRODUCT((Dados!$I$2:$I$5001=A119)*(Dados!$J$2:$J$5001=1))</f>
        <v>0</v>
      </c>
      <c r="C119" s="9" t="n">
        <f aca="false">SUMPRODUCT((Dados!$I$2:$I$5001=A119)*(Dados!$E$2:$E$5001="Em ajustes")*(Dados!$L$2:$L$5001=1))</f>
        <v>0</v>
      </c>
      <c r="D119" s="9" t="n">
        <f aca="false">SUMPRODUCT((Dados!$I$2:$I$5001=A119)*(Dados!$K$2:$K$5001=1)*(Dados!$L$2:$L$5001=1))</f>
        <v>0</v>
      </c>
      <c r="E119" s="9" t="n">
        <f aca="false">SUMPRODUCT((Dados!$I$2:$I$5001=A119)*(Dados!$D$2:$D$5001="Formalização")*(Dados!$E$2:$E$5001="Concluído")*(Dados!$K$2:$K$5001=0)*(Dados!$L$2:$L$5001=1))</f>
        <v>0</v>
      </c>
    </row>
    <row r="120" customFormat="false" ht="15" hidden="false" customHeight="false" outlineLevel="0" collapsed="false">
      <c r="A120" s="17" t="n">
        <f aca="false">A119+1</f>
        <v>46353</v>
      </c>
      <c r="B120" s="9" t="n">
        <f aca="false">SUMPRODUCT((Dados!$I$2:$I$5001=A120)*(Dados!$J$2:$J$5001=1))</f>
        <v>0</v>
      </c>
      <c r="C120" s="9" t="n">
        <f aca="false">SUMPRODUCT((Dados!$I$2:$I$5001=A120)*(Dados!$E$2:$E$5001="Em ajustes")*(Dados!$L$2:$L$5001=1))</f>
        <v>0</v>
      </c>
      <c r="D120" s="9" t="n">
        <f aca="false">SUMPRODUCT((Dados!$I$2:$I$5001=A120)*(Dados!$K$2:$K$5001=1)*(Dados!$L$2:$L$5001=1))</f>
        <v>0</v>
      </c>
      <c r="E120" s="9" t="n">
        <f aca="false">SUMPRODUCT((Dados!$I$2:$I$5001=A120)*(Dados!$D$2:$D$5001="Formalização")*(Dados!$E$2:$E$5001="Concluído")*(Dados!$K$2:$K$5001=0)*(Dados!$L$2:$L$5001=1))</f>
        <v>0</v>
      </c>
    </row>
    <row r="121" customFormat="false" ht="15" hidden="false" customHeight="false" outlineLevel="0" collapsed="false">
      <c r="A121" s="17" t="n">
        <f aca="false">A120+1</f>
        <v>46354</v>
      </c>
      <c r="B121" s="9" t="n">
        <f aca="false">SUMPRODUCT((Dados!$I$2:$I$5001=A121)*(Dados!$J$2:$J$5001=1))</f>
        <v>0</v>
      </c>
      <c r="C121" s="9" t="n">
        <f aca="false">SUMPRODUCT((Dados!$I$2:$I$5001=A121)*(Dados!$E$2:$E$5001="Em ajustes")*(Dados!$L$2:$L$5001=1))</f>
        <v>0</v>
      </c>
      <c r="D121" s="9" t="n">
        <f aca="false">SUMPRODUCT((Dados!$I$2:$I$5001=A121)*(Dados!$K$2:$K$5001=1)*(Dados!$L$2:$L$5001=1))</f>
        <v>0</v>
      </c>
      <c r="E121" s="9" t="n">
        <f aca="false">SUMPRODUCT((Dados!$I$2:$I$5001=A121)*(Dados!$D$2:$D$5001="Formalização")*(Dados!$E$2:$E$5001="Concluído")*(Dados!$K$2:$K$5001=0)*(Dados!$L$2:$L$5001=1))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2026-08-17T14:43:10Z</dcterms:created>
  <dc:creator>openpyxl</dc:creator>
  <dc:description/>
  <dc:language>en-US</dc:language>
  <cp:lastModifiedBy/>
  <dcterms:modified xsi:type="dcterms:W3CDTF">2026-08-17T14:43:18Z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